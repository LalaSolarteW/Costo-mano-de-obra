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lauras_molt_com_co/Documents/Documentos/GitHub/Costo mano de obra/"/>
    </mc:Choice>
  </mc:AlternateContent>
  <xr:revisionPtr revIDLastSave="42" documentId="11_621513AAD340D14033B93811595ED87656C45730" xr6:coauthVersionLast="47" xr6:coauthVersionMax="47" xr10:uidLastSave="{86AED7E8-EA37-408A-8939-CE0CE0C4F186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Y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Y118" i="1" s="1"/>
  <c r="X119" i="1"/>
  <c r="Y119" i="1" s="1"/>
  <c r="X120" i="1"/>
  <c r="Y120" i="1" s="1"/>
  <c r="X121" i="1"/>
  <c r="Y121" i="1" s="1"/>
  <c r="X122" i="1"/>
  <c r="Y122" i="1" s="1"/>
  <c r="X123" i="1"/>
  <c r="Y123" i="1" s="1"/>
  <c r="X124" i="1"/>
  <c r="Y124" i="1" s="1"/>
  <c r="X125" i="1"/>
  <c r="Y125" i="1" s="1"/>
  <c r="X126" i="1"/>
  <c r="Y126" i="1" s="1"/>
  <c r="X127" i="1"/>
  <c r="Y127" i="1" s="1"/>
  <c r="X128" i="1"/>
  <c r="Y128" i="1" s="1"/>
  <c r="X129" i="1"/>
  <c r="Y129" i="1" s="1"/>
  <c r="X130" i="1"/>
  <c r="Y130" i="1" s="1"/>
  <c r="X131" i="1"/>
  <c r="Y131" i="1" s="1"/>
  <c r="X132" i="1"/>
  <c r="Y132" i="1" s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Y198" i="1" s="1"/>
  <c r="X199" i="1"/>
  <c r="Y199" i="1" s="1"/>
  <c r="X200" i="1"/>
  <c r="Y200" i="1" s="1"/>
  <c r="X201" i="1"/>
  <c r="Y201" i="1" s="1"/>
  <c r="X202" i="1"/>
  <c r="Y202" i="1" s="1"/>
  <c r="X203" i="1"/>
  <c r="Y203" i="1" s="1"/>
  <c r="X204" i="1"/>
  <c r="Y204" i="1" s="1"/>
  <c r="X205" i="1"/>
  <c r="Y205" i="1" s="1"/>
  <c r="X206" i="1"/>
  <c r="Y206" i="1" s="1"/>
  <c r="X207" i="1"/>
  <c r="Y207" i="1" s="1"/>
  <c r="X208" i="1"/>
  <c r="Y208" i="1" s="1"/>
  <c r="X209" i="1"/>
  <c r="Y209" i="1" s="1"/>
  <c r="X210" i="1"/>
  <c r="Y210" i="1" s="1"/>
  <c r="X211" i="1"/>
  <c r="Y211" i="1" s="1"/>
  <c r="X212" i="1"/>
  <c r="Y212" i="1" s="1"/>
  <c r="X213" i="1"/>
  <c r="Y213" i="1" s="1"/>
  <c r="X214" i="1"/>
  <c r="Y214" i="1" s="1"/>
  <c r="X215" i="1"/>
  <c r="Y215" i="1" s="1"/>
  <c r="X216" i="1"/>
  <c r="Y216" i="1" s="1"/>
  <c r="X217" i="1"/>
  <c r="Y217" i="1" s="1"/>
  <c r="X218" i="1"/>
  <c r="Y218" i="1" s="1"/>
  <c r="X219" i="1"/>
  <c r="Y219" i="1" s="1"/>
  <c r="X220" i="1"/>
  <c r="Y220" i="1" s="1"/>
  <c r="X221" i="1"/>
  <c r="Y221" i="1" s="1"/>
  <c r="X222" i="1"/>
  <c r="Y222" i="1" s="1"/>
  <c r="X223" i="1"/>
  <c r="Y223" i="1" s="1"/>
  <c r="X224" i="1"/>
  <c r="Y224" i="1" s="1"/>
  <c r="X225" i="1"/>
  <c r="Y225" i="1" s="1"/>
  <c r="X226" i="1"/>
  <c r="Y226" i="1" s="1"/>
  <c r="X227" i="1"/>
  <c r="Y227" i="1" s="1"/>
  <c r="X228" i="1"/>
  <c r="Y228" i="1" s="1"/>
  <c r="X229" i="1"/>
  <c r="Y229" i="1" s="1"/>
  <c r="X230" i="1"/>
  <c r="Y230" i="1" s="1"/>
  <c r="X231" i="1"/>
  <c r="Y231" i="1" s="1"/>
  <c r="X232" i="1"/>
  <c r="Y232" i="1" s="1"/>
  <c r="X233" i="1"/>
  <c r="Y233" i="1" s="1"/>
  <c r="X234" i="1"/>
  <c r="Y234" i="1" s="1"/>
  <c r="X235" i="1"/>
  <c r="Y235" i="1" s="1"/>
  <c r="X236" i="1"/>
  <c r="Y236" i="1" s="1"/>
  <c r="X237" i="1"/>
  <c r="Y237" i="1" s="1"/>
  <c r="X238" i="1"/>
  <c r="Y238" i="1" s="1"/>
  <c r="X239" i="1"/>
  <c r="Y239" i="1" s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W2" i="1"/>
  <c r="Y2" i="1" s="1"/>
  <c r="W3" i="1"/>
  <c r="Y3" i="1" s="1"/>
  <c r="W4" i="1"/>
  <c r="Y4" i="1" s="1"/>
  <c r="W5" i="1"/>
  <c r="Y5" i="1" s="1"/>
  <c r="W6" i="1"/>
  <c r="Y6" i="1" s="1"/>
  <c r="W7" i="1"/>
  <c r="Y7" i="1" s="1"/>
  <c r="W8" i="1"/>
  <c r="Y8" i="1" s="1"/>
  <c r="W9" i="1"/>
  <c r="Y9" i="1" s="1"/>
  <c r="W10" i="1"/>
  <c r="Y10" i="1" s="1"/>
  <c r="W11" i="1"/>
  <c r="Y11" i="1" s="1"/>
  <c r="W12" i="1"/>
  <c r="Y12" i="1" s="1"/>
  <c r="W13" i="1"/>
  <c r="Y13" i="1" s="1"/>
  <c r="W14" i="1"/>
  <c r="Y14" i="1" s="1"/>
  <c r="W15" i="1"/>
  <c r="Y15" i="1" s="1"/>
  <c r="W16" i="1"/>
  <c r="Y16" i="1" s="1"/>
  <c r="W17" i="1"/>
  <c r="Y17" i="1" s="1"/>
  <c r="W18" i="1"/>
  <c r="Y18" i="1" s="1"/>
  <c r="W19" i="1"/>
  <c r="Y19" i="1" s="1"/>
  <c r="W20" i="1"/>
  <c r="Y20" i="1" s="1"/>
  <c r="W21" i="1"/>
  <c r="Y21" i="1" s="1"/>
  <c r="W22" i="1"/>
  <c r="Y22" i="1" s="1"/>
  <c r="W23" i="1"/>
  <c r="Y23" i="1" s="1"/>
  <c r="W24" i="1"/>
  <c r="Y24" i="1" s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Y133" i="1" s="1"/>
  <c r="W134" i="1"/>
  <c r="Y134" i="1" s="1"/>
  <c r="W135" i="1"/>
  <c r="Y135" i="1" s="1"/>
  <c r="W136" i="1"/>
  <c r="Y136" i="1" s="1"/>
  <c r="W137" i="1"/>
  <c r="Y137" i="1" s="1"/>
  <c r="W138" i="1"/>
  <c r="Y138" i="1" s="1"/>
  <c r="W139" i="1"/>
  <c r="Y139" i="1" s="1"/>
  <c r="W140" i="1"/>
  <c r="Y140" i="1" s="1"/>
  <c r="W141" i="1"/>
  <c r="Y141" i="1" s="1"/>
  <c r="W142" i="1"/>
  <c r="Y142" i="1" s="1"/>
  <c r="W143" i="1"/>
  <c r="Y143" i="1" s="1"/>
  <c r="W144" i="1"/>
  <c r="Y144" i="1" s="1"/>
  <c r="W145" i="1"/>
  <c r="Y145" i="1" s="1"/>
  <c r="W146" i="1"/>
  <c r="Y146" i="1" s="1"/>
  <c r="W147" i="1"/>
  <c r="Y147" i="1" s="1"/>
  <c r="W148" i="1"/>
  <c r="Y148" i="1" s="1"/>
  <c r="W149" i="1"/>
  <c r="Y149" i="1" s="1"/>
  <c r="W150" i="1"/>
  <c r="Y150" i="1" s="1"/>
  <c r="W151" i="1"/>
  <c r="Y151" i="1" s="1"/>
  <c r="W152" i="1"/>
  <c r="Y152" i="1" s="1"/>
  <c r="W153" i="1"/>
  <c r="Y153" i="1" s="1"/>
  <c r="W154" i="1"/>
  <c r="Y154" i="1" s="1"/>
  <c r="W155" i="1"/>
  <c r="Y155" i="1" s="1"/>
  <c r="W156" i="1"/>
  <c r="Y156" i="1" s="1"/>
  <c r="W157" i="1"/>
  <c r="Y157" i="1" s="1"/>
  <c r="W158" i="1"/>
  <c r="Y158" i="1" s="1"/>
  <c r="W159" i="1"/>
  <c r="Y159" i="1" s="1"/>
  <c r="W160" i="1"/>
  <c r="Y160" i="1" s="1"/>
  <c r="W161" i="1"/>
  <c r="Y161" i="1" s="1"/>
  <c r="W162" i="1"/>
  <c r="Y162" i="1" s="1"/>
  <c r="W163" i="1"/>
  <c r="Y163" i="1" s="1"/>
  <c r="W164" i="1"/>
  <c r="Y164" i="1" s="1"/>
  <c r="W165" i="1"/>
  <c r="Y165" i="1" s="1"/>
  <c r="W166" i="1"/>
  <c r="Y166" i="1" s="1"/>
  <c r="W167" i="1"/>
  <c r="Y167" i="1" s="1"/>
  <c r="W168" i="1"/>
  <c r="Y168" i="1" s="1"/>
  <c r="W169" i="1"/>
  <c r="Y169" i="1" s="1"/>
  <c r="W170" i="1"/>
  <c r="Y170" i="1" s="1"/>
  <c r="W171" i="1"/>
  <c r="Y171" i="1" s="1"/>
  <c r="W172" i="1"/>
  <c r="Y172" i="1" s="1"/>
  <c r="W173" i="1"/>
  <c r="Y173" i="1" s="1"/>
  <c r="W174" i="1"/>
  <c r="Y174" i="1" s="1"/>
  <c r="W175" i="1"/>
  <c r="Y175" i="1" s="1"/>
  <c r="W176" i="1"/>
  <c r="Y176" i="1" s="1"/>
  <c r="W177" i="1"/>
  <c r="Y177" i="1" s="1"/>
  <c r="W178" i="1"/>
  <c r="Y178" i="1" s="1"/>
  <c r="W179" i="1"/>
  <c r="Y179" i="1" s="1"/>
  <c r="W180" i="1"/>
  <c r="Y180" i="1" s="1"/>
  <c r="W181" i="1"/>
  <c r="Y181" i="1" s="1"/>
  <c r="W182" i="1"/>
  <c r="Y182" i="1" s="1"/>
  <c r="W183" i="1"/>
  <c r="Y183" i="1" s="1"/>
  <c r="W184" i="1"/>
  <c r="Y184" i="1" s="1"/>
  <c r="W185" i="1"/>
  <c r="Y185" i="1" s="1"/>
  <c r="W186" i="1"/>
  <c r="Y186" i="1" s="1"/>
  <c r="W187" i="1"/>
  <c r="Y187" i="1" s="1"/>
  <c r="W188" i="1"/>
  <c r="Y188" i="1" s="1"/>
  <c r="W189" i="1"/>
  <c r="Y189" i="1" s="1"/>
  <c r="W190" i="1"/>
  <c r="Y190" i="1" s="1"/>
  <c r="W191" i="1"/>
  <c r="Y191" i="1" s="1"/>
  <c r="W192" i="1"/>
  <c r="Y192" i="1" s="1"/>
  <c r="W193" i="1"/>
  <c r="Y193" i="1" s="1"/>
  <c r="W194" i="1"/>
  <c r="Y194" i="1" s="1"/>
  <c r="W195" i="1"/>
  <c r="Y195" i="1" s="1"/>
  <c r="W196" i="1"/>
  <c r="Y196" i="1" s="1"/>
  <c r="W197" i="1"/>
  <c r="Y197" i="1" s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Y265" i="1" s="1"/>
  <c r="W266" i="1"/>
  <c r="Y266" i="1" s="1"/>
  <c r="W267" i="1"/>
  <c r="Y267" i="1" s="1"/>
  <c r="W268" i="1"/>
  <c r="Y268" i="1" s="1"/>
  <c r="W269" i="1"/>
  <c r="Y269" i="1" s="1"/>
  <c r="W270" i="1"/>
  <c r="Y270" i="1" s="1"/>
  <c r="W271" i="1"/>
  <c r="Y271" i="1" s="1"/>
  <c r="W272" i="1"/>
  <c r="Y272" i="1" s="1"/>
  <c r="W273" i="1"/>
  <c r="Y273" i="1" s="1"/>
  <c r="W274" i="1"/>
  <c r="Y274" i="1" s="1"/>
  <c r="W275" i="1"/>
  <c r="Y275" i="1" s="1"/>
  <c r="W276" i="1"/>
  <c r="Y276" i="1" s="1"/>
  <c r="W277" i="1"/>
  <c r="Y277" i="1" s="1"/>
  <c r="W278" i="1"/>
  <c r="Y278" i="1" s="1"/>
  <c r="W279" i="1"/>
  <c r="Y279" i="1" s="1"/>
  <c r="W280" i="1"/>
  <c r="Y280" i="1" s="1"/>
  <c r="W281" i="1"/>
  <c r="Y281" i="1" s="1"/>
  <c r="W282" i="1"/>
  <c r="Y282" i="1" s="1"/>
  <c r="W283" i="1"/>
  <c r="Y283" i="1" s="1"/>
  <c r="W284" i="1"/>
  <c r="Y284" i="1" s="1"/>
  <c r="W285" i="1"/>
  <c r="Y285" i="1" s="1"/>
  <c r="W286" i="1"/>
  <c r="Y286" i="1" s="1"/>
  <c r="W287" i="1"/>
  <c r="Y287" i="1" s="1"/>
  <c r="W288" i="1"/>
  <c r="Y288" i="1" s="1"/>
  <c r="W289" i="1"/>
  <c r="Y289" i="1" s="1"/>
  <c r="W290" i="1"/>
  <c r="Y290" i="1" s="1"/>
  <c r="W291" i="1"/>
  <c r="Y291" i="1" s="1"/>
  <c r="W292" i="1"/>
  <c r="Y292" i="1" s="1"/>
  <c r="W293" i="1"/>
  <c r="Y293" i="1" s="1"/>
  <c r="W294" i="1"/>
  <c r="Y294" i="1" s="1"/>
  <c r="W295" i="1"/>
  <c r="Y295" i="1" s="1"/>
  <c r="W296" i="1"/>
  <c r="Y296" i="1" s="1"/>
  <c r="W297" i="1"/>
  <c r="Y297" i="1" s="1"/>
  <c r="W298" i="1"/>
  <c r="Y298" i="1" s="1"/>
  <c r="W299" i="1"/>
  <c r="Y299" i="1" s="1"/>
  <c r="W300" i="1"/>
  <c r="Y300" i="1" s="1"/>
  <c r="W301" i="1"/>
  <c r="Y301" i="1" s="1"/>
  <c r="W302" i="1"/>
  <c r="Y302" i="1" s="1"/>
  <c r="W303" i="1"/>
  <c r="Y303" i="1" s="1"/>
  <c r="W304" i="1"/>
  <c r="Y304" i="1" s="1"/>
  <c r="W305" i="1"/>
  <c r="Y305" i="1" s="1"/>
  <c r="W306" i="1"/>
  <c r="Y306" i="1" s="1"/>
  <c r="W307" i="1"/>
  <c r="Y307" i="1" s="1"/>
  <c r="W308" i="1"/>
  <c r="Y308" i="1" s="1"/>
  <c r="W309" i="1"/>
  <c r="Y309" i="1" s="1"/>
  <c r="W310" i="1"/>
  <c r="Y310" i="1" s="1"/>
  <c r="W311" i="1"/>
  <c r="Y311" i="1" s="1"/>
  <c r="W312" i="1"/>
  <c r="Y312" i="1" s="1"/>
  <c r="W313" i="1"/>
  <c r="Y313" i="1" s="1"/>
  <c r="W314" i="1"/>
  <c r="Y314" i="1" s="1"/>
  <c r="W315" i="1"/>
  <c r="Y315" i="1" s="1"/>
  <c r="W316" i="1"/>
  <c r="Y316" i="1" s="1"/>
  <c r="W317" i="1"/>
  <c r="Y317" i="1" s="1"/>
  <c r="W318" i="1"/>
  <c r="Y318" i="1" s="1"/>
  <c r="W319" i="1"/>
  <c r="Y319" i="1" s="1"/>
  <c r="W320" i="1"/>
  <c r="Y320" i="1" s="1"/>
  <c r="W321" i="1"/>
  <c r="Y321" i="1" s="1"/>
  <c r="W322" i="1"/>
  <c r="Y322" i="1" s="1"/>
  <c r="W323" i="1"/>
  <c r="Y323" i="1" s="1"/>
  <c r="W324" i="1"/>
  <c r="Y324" i="1" s="1"/>
  <c r="W325" i="1"/>
  <c r="Y325" i="1" s="1"/>
  <c r="W326" i="1"/>
  <c r="Y326" i="1" s="1"/>
  <c r="W327" i="1"/>
  <c r="Y327" i="1" s="1"/>
  <c r="W328" i="1"/>
  <c r="Y328" i="1" s="1"/>
  <c r="W329" i="1"/>
  <c r="Y329" i="1" s="1"/>
  <c r="W330" i="1"/>
  <c r="Y330" i="1" s="1"/>
  <c r="W331" i="1"/>
  <c r="Y331" i="1" s="1"/>
  <c r="W332" i="1"/>
  <c r="Y332" i="1" s="1"/>
  <c r="W333" i="1"/>
  <c r="Y333" i="1" s="1"/>
  <c r="W334" i="1"/>
  <c r="Y334" i="1" s="1"/>
  <c r="W335" i="1"/>
  <c r="Y335" i="1" s="1"/>
  <c r="W336" i="1"/>
  <c r="Y336" i="1" s="1"/>
  <c r="W337" i="1"/>
  <c r="Y337" i="1" s="1"/>
  <c r="W338" i="1"/>
  <c r="Y338" i="1" s="1"/>
  <c r="W339" i="1"/>
  <c r="Y339" i="1" s="1"/>
  <c r="W340" i="1"/>
  <c r="Y340" i="1" s="1"/>
  <c r="W341" i="1"/>
  <c r="Y341" i="1" s="1"/>
  <c r="W342" i="1"/>
  <c r="Y342" i="1" s="1"/>
  <c r="W343" i="1"/>
  <c r="Y343" i="1" s="1"/>
  <c r="W344" i="1"/>
  <c r="Y344" i="1" s="1"/>
  <c r="W345" i="1"/>
  <c r="Y345" i="1" s="1"/>
  <c r="W346" i="1"/>
  <c r="Y346" i="1" s="1"/>
  <c r="W347" i="1"/>
  <c r="Y347" i="1" s="1"/>
  <c r="W348" i="1"/>
  <c r="Y348" i="1" s="1"/>
  <c r="W349" i="1"/>
  <c r="Y349" i="1" s="1"/>
  <c r="W350" i="1"/>
  <c r="Y350" i="1" s="1"/>
  <c r="W351" i="1"/>
  <c r="Y351" i="1" s="1"/>
  <c r="W352" i="1"/>
  <c r="Y352" i="1" s="1"/>
  <c r="W353" i="1"/>
  <c r="Y353" i="1" s="1"/>
  <c r="W354" i="1"/>
  <c r="Y354" i="1" s="1"/>
  <c r="W355" i="1"/>
  <c r="Y355" i="1" s="1"/>
  <c r="W356" i="1"/>
  <c r="Y356" i="1" s="1"/>
  <c r="W357" i="1"/>
  <c r="Y357" i="1" s="1"/>
  <c r="W358" i="1"/>
  <c r="Y358" i="1" s="1"/>
  <c r="W359" i="1"/>
  <c r="Y359" i="1" s="1"/>
  <c r="W360" i="1"/>
  <c r="Y360" i="1" s="1"/>
  <c r="W361" i="1"/>
  <c r="Y361" i="1" s="1"/>
  <c r="W362" i="1"/>
  <c r="Y362" i="1" s="1"/>
  <c r="W363" i="1"/>
  <c r="Y363" i="1" s="1"/>
  <c r="W364" i="1"/>
  <c r="Y364" i="1" s="1"/>
  <c r="W365" i="1"/>
  <c r="Y365" i="1" s="1"/>
  <c r="W366" i="1"/>
  <c r="Y366" i="1" s="1"/>
  <c r="W367" i="1"/>
  <c r="Y367" i="1" s="1"/>
  <c r="W368" i="1"/>
  <c r="Y368" i="1" s="1"/>
  <c r="W369" i="1"/>
  <c r="Y369" i="1" s="1"/>
  <c r="W370" i="1"/>
  <c r="Y370" i="1" s="1"/>
  <c r="W371" i="1"/>
  <c r="Y371" i="1" s="1"/>
  <c r="W372" i="1"/>
  <c r="Y372" i="1" s="1"/>
  <c r="W373" i="1"/>
  <c r="Y373" i="1" s="1"/>
  <c r="W374" i="1"/>
  <c r="Y374" i="1" s="1"/>
  <c r="W375" i="1"/>
  <c r="Y375" i="1" s="1"/>
  <c r="W376" i="1"/>
  <c r="Y376" i="1" s="1"/>
  <c r="W377" i="1"/>
  <c r="Y377" i="1" s="1"/>
  <c r="W378" i="1"/>
  <c r="Y378" i="1" s="1"/>
  <c r="W379" i="1"/>
  <c r="Y379" i="1" s="1"/>
  <c r="W380" i="1"/>
  <c r="Y380" i="1" s="1"/>
  <c r="W381" i="1"/>
  <c r="Y381" i="1" s="1"/>
  <c r="W382" i="1"/>
  <c r="Y382" i="1" s="1"/>
  <c r="W383" i="1"/>
  <c r="Y383" i="1" s="1"/>
  <c r="W384" i="1"/>
  <c r="Y384" i="1" s="1"/>
  <c r="W385" i="1"/>
  <c r="Y385" i="1" s="1"/>
  <c r="W386" i="1"/>
  <c r="Y386" i="1" s="1"/>
  <c r="W387" i="1"/>
  <c r="Y387" i="1" s="1"/>
  <c r="W388" i="1"/>
  <c r="Y388" i="1" s="1"/>
  <c r="W389" i="1"/>
  <c r="Y389" i="1" s="1"/>
  <c r="W390" i="1"/>
  <c r="Y390" i="1" s="1"/>
  <c r="W391" i="1"/>
  <c r="Y391" i="1" s="1"/>
  <c r="W392" i="1"/>
  <c r="Y392" i="1" s="1"/>
  <c r="W393" i="1"/>
  <c r="Y393" i="1" s="1"/>
  <c r="W394" i="1"/>
  <c r="Y394" i="1" s="1"/>
  <c r="W395" i="1"/>
  <c r="Y395" i="1" s="1"/>
  <c r="W396" i="1"/>
  <c r="Y396" i="1" s="1"/>
  <c r="W397" i="1"/>
  <c r="Y397" i="1" s="1"/>
  <c r="W398" i="1"/>
  <c r="Y398" i="1" s="1"/>
  <c r="W399" i="1"/>
  <c r="Y399" i="1" s="1"/>
  <c r="W400" i="1"/>
  <c r="Y400" i="1" s="1"/>
  <c r="W401" i="1"/>
  <c r="Y401" i="1" s="1"/>
  <c r="W402" i="1"/>
  <c r="Y402" i="1" s="1"/>
  <c r="W403" i="1"/>
  <c r="Y403" i="1" s="1"/>
  <c r="W404" i="1"/>
  <c r="Y404" i="1" s="1"/>
  <c r="W405" i="1"/>
  <c r="Y405" i="1" s="1"/>
  <c r="W406" i="1"/>
  <c r="Y406" i="1" s="1"/>
  <c r="W407" i="1"/>
  <c r="Y407" i="1" s="1"/>
  <c r="W408" i="1"/>
  <c r="Y408" i="1" s="1"/>
  <c r="W409" i="1"/>
  <c r="Y409" i="1" s="1"/>
  <c r="W410" i="1"/>
  <c r="Y410" i="1" s="1"/>
  <c r="W411" i="1"/>
  <c r="Y411" i="1" s="1"/>
  <c r="W412" i="1"/>
  <c r="Y412" i="1" s="1"/>
  <c r="W413" i="1"/>
  <c r="Y413" i="1" s="1"/>
  <c r="W414" i="1"/>
  <c r="Y414" i="1" s="1"/>
  <c r="W415" i="1"/>
  <c r="Y415" i="1" s="1"/>
  <c r="W416" i="1"/>
  <c r="Y416" i="1" s="1"/>
  <c r="W417" i="1"/>
  <c r="Y417" i="1" s="1"/>
  <c r="W418" i="1"/>
  <c r="Y418" i="1" s="1"/>
  <c r="W419" i="1"/>
  <c r="Y419" i="1" s="1"/>
  <c r="W420" i="1"/>
  <c r="Y420" i="1" s="1"/>
  <c r="W421" i="1"/>
  <c r="Y421" i="1" s="1"/>
  <c r="W422" i="1"/>
  <c r="Y422" i="1" s="1"/>
  <c r="W423" i="1"/>
  <c r="Y423" i="1" s="1"/>
  <c r="W424" i="1"/>
  <c r="Y424" i="1" s="1"/>
  <c r="W425" i="1"/>
  <c r="Y425" i="1" s="1"/>
  <c r="W426" i="1"/>
  <c r="Y426" i="1" s="1"/>
  <c r="W427" i="1"/>
  <c r="Y427" i="1" s="1"/>
  <c r="W428" i="1"/>
  <c r="Y428" i="1" s="1"/>
  <c r="W429" i="1"/>
  <c r="Y429" i="1" s="1"/>
  <c r="W430" i="1"/>
  <c r="Y430" i="1" s="1"/>
  <c r="W431" i="1"/>
  <c r="Y431" i="1" s="1"/>
  <c r="W432" i="1"/>
  <c r="Y432" i="1" s="1"/>
  <c r="W433" i="1"/>
  <c r="Y433" i="1" s="1"/>
  <c r="W434" i="1"/>
  <c r="Y434" i="1" s="1"/>
  <c r="W435" i="1"/>
  <c r="Y435" i="1" s="1"/>
  <c r="W436" i="1"/>
  <c r="Y436" i="1" s="1"/>
  <c r="W437" i="1"/>
  <c r="Y437" i="1" s="1"/>
  <c r="W438" i="1"/>
  <c r="Y438" i="1" s="1"/>
  <c r="W439" i="1"/>
  <c r="Y439" i="1" s="1"/>
  <c r="W440" i="1"/>
  <c r="Y440" i="1" s="1"/>
  <c r="W441" i="1"/>
  <c r="Y441" i="1" s="1"/>
  <c r="W442" i="1"/>
  <c r="Y442" i="1" s="1"/>
  <c r="W443" i="1"/>
  <c r="Y443" i="1" s="1"/>
  <c r="W444" i="1"/>
  <c r="Y444" i="1" s="1"/>
  <c r="W445" i="1"/>
  <c r="Y445" i="1" s="1"/>
  <c r="W446" i="1"/>
  <c r="Y446" i="1" s="1"/>
  <c r="W447" i="1"/>
  <c r="Y447" i="1" s="1"/>
  <c r="W448" i="1"/>
  <c r="Y448" i="1" s="1"/>
  <c r="W449" i="1"/>
  <c r="Y449" i="1" s="1"/>
  <c r="W450" i="1"/>
  <c r="Y450" i="1" s="1"/>
  <c r="W451" i="1"/>
  <c r="Y451" i="1" s="1"/>
  <c r="W452" i="1"/>
  <c r="Y452" i="1" s="1"/>
  <c r="W453" i="1"/>
  <c r="Y453" i="1" s="1"/>
  <c r="W454" i="1"/>
  <c r="Y454" i="1" s="1"/>
  <c r="W455" i="1"/>
  <c r="Y455" i="1" s="1"/>
  <c r="W456" i="1"/>
  <c r="Y456" i="1" s="1"/>
  <c r="W457" i="1"/>
  <c r="Y457" i="1" s="1"/>
  <c r="W458" i="1"/>
  <c r="Y458" i="1" s="1"/>
  <c r="W459" i="1"/>
  <c r="Y459" i="1" s="1"/>
  <c r="W460" i="1"/>
  <c r="Y460" i="1" s="1"/>
  <c r="W461" i="1"/>
  <c r="Y461" i="1" s="1"/>
  <c r="W462" i="1"/>
  <c r="Y462" i="1" s="1"/>
  <c r="W463" i="1"/>
  <c r="Y463" i="1" s="1"/>
  <c r="W464" i="1"/>
  <c r="Y464" i="1" s="1"/>
  <c r="W465" i="1"/>
  <c r="Y465" i="1" s="1"/>
  <c r="W466" i="1"/>
  <c r="Y466" i="1" s="1"/>
  <c r="W467" i="1"/>
  <c r="Y467" i="1" s="1"/>
  <c r="W468" i="1"/>
  <c r="Y468" i="1" s="1"/>
  <c r="W469" i="1"/>
  <c r="Y469" i="1" s="1"/>
  <c r="W470" i="1"/>
  <c r="Y470" i="1" s="1"/>
  <c r="W471" i="1"/>
  <c r="Y471" i="1" s="1"/>
  <c r="W472" i="1"/>
  <c r="Y472" i="1" s="1"/>
  <c r="W473" i="1"/>
  <c r="Y473" i="1" s="1"/>
  <c r="W474" i="1"/>
  <c r="Y474" i="1" s="1"/>
  <c r="W475" i="1"/>
  <c r="Y475" i="1" s="1"/>
  <c r="W476" i="1"/>
  <c r="Y476" i="1" s="1"/>
  <c r="W477" i="1"/>
  <c r="Y477" i="1" s="1"/>
  <c r="W478" i="1"/>
  <c r="Y478" i="1" s="1"/>
  <c r="W479" i="1"/>
  <c r="Y479" i="1" s="1"/>
  <c r="W480" i="1"/>
  <c r="Y480" i="1" s="1"/>
  <c r="W481" i="1"/>
  <c r="Y481" i="1" s="1"/>
  <c r="W482" i="1"/>
  <c r="Y482" i="1" s="1"/>
  <c r="W483" i="1"/>
  <c r="Y483" i="1" s="1"/>
  <c r="W484" i="1"/>
  <c r="Y484" i="1" s="1"/>
  <c r="W485" i="1"/>
  <c r="Y485" i="1" s="1"/>
  <c r="W486" i="1"/>
  <c r="Y486" i="1" s="1"/>
  <c r="W487" i="1"/>
  <c r="Y487" i="1" s="1"/>
  <c r="W488" i="1"/>
  <c r="Y488" i="1" s="1"/>
  <c r="W489" i="1"/>
  <c r="Y489" i="1" s="1"/>
  <c r="W490" i="1"/>
  <c r="Y490" i="1" s="1"/>
  <c r="W491" i="1"/>
  <c r="Y491" i="1" s="1"/>
  <c r="W492" i="1"/>
  <c r="Y492" i="1" s="1"/>
  <c r="W493" i="1"/>
  <c r="Y493" i="1" s="1"/>
  <c r="W494" i="1"/>
  <c r="Y494" i="1" s="1"/>
  <c r="W495" i="1"/>
  <c r="Y495" i="1" s="1"/>
  <c r="W496" i="1"/>
  <c r="Y496" i="1" s="1"/>
  <c r="W497" i="1"/>
  <c r="Y497" i="1" s="1"/>
  <c r="W498" i="1"/>
  <c r="Y498" i="1" s="1"/>
  <c r="W499" i="1"/>
  <c r="Y499" i="1" s="1"/>
  <c r="W500" i="1"/>
  <c r="Y500" i="1" s="1"/>
  <c r="W501" i="1"/>
  <c r="Y501" i="1" s="1"/>
  <c r="W502" i="1"/>
  <c r="Y502" i="1" s="1"/>
  <c r="W503" i="1"/>
  <c r="Y503" i="1" s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Y564" i="1" s="1"/>
  <c r="W565" i="1"/>
  <c r="Y565" i="1" s="1"/>
  <c r="W566" i="1"/>
  <c r="Y566" i="1" s="1"/>
  <c r="W567" i="1"/>
  <c r="Y567" i="1" s="1"/>
  <c r="W568" i="1"/>
  <c r="Y568" i="1" s="1"/>
  <c r="W569" i="1"/>
  <c r="Y569" i="1" s="1"/>
  <c r="W570" i="1"/>
  <c r="Y570" i="1" s="1"/>
  <c r="W571" i="1"/>
  <c r="Y571" i="1" s="1"/>
  <c r="W572" i="1"/>
  <c r="Y572" i="1" s="1"/>
  <c r="W573" i="1"/>
  <c r="Y573" i="1" s="1"/>
  <c r="W574" i="1"/>
  <c r="Y574" i="1" s="1"/>
  <c r="W575" i="1"/>
  <c r="Y575" i="1" s="1"/>
  <c r="W576" i="1"/>
  <c r="Y576" i="1" s="1"/>
  <c r="W577" i="1"/>
  <c r="Y577" i="1" s="1"/>
  <c r="W578" i="1"/>
  <c r="Y578" i="1" s="1"/>
  <c r="W579" i="1"/>
  <c r="Y579" i="1" s="1"/>
  <c r="W580" i="1"/>
  <c r="Y580" i="1" s="1"/>
  <c r="W581" i="1"/>
  <c r="Y581" i="1" s="1"/>
  <c r="W582" i="1"/>
  <c r="Y582" i="1" s="1"/>
  <c r="W583" i="1"/>
  <c r="Y583" i="1" s="1"/>
  <c r="W584" i="1"/>
  <c r="Y584" i="1" s="1"/>
  <c r="W585" i="1"/>
  <c r="Y585" i="1" s="1"/>
  <c r="W586" i="1"/>
  <c r="Y586" i="1" s="1"/>
  <c r="W587" i="1"/>
  <c r="Y587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Y25" i="1" l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522" i="1"/>
  <c r="Y526" i="1"/>
  <c r="Y528" i="1"/>
  <c r="Y530" i="1"/>
  <c r="Y532" i="1"/>
  <c r="Y534" i="1"/>
  <c r="Y536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3" i="1"/>
  <c r="Y524" i="1"/>
  <c r="Y525" i="1"/>
  <c r="Y527" i="1"/>
  <c r="Y529" i="1"/>
  <c r="Y531" i="1"/>
  <c r="Y533" i="1"/>
  <c r="Y535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</calcChain>
</file>

<file path=xl/sharedStrings.xml><?xml version="1.0" encoding="utf-8"?>
<sst xmlns="http://schemas.openxmlformats.org/spreadsheetml/2006/main" count="6465" uniqueCount="1450">
  <si>
    <t>Num-OP</t>
  </si>
  <si>
    <t>Secuencia</t>
  </si>
  <si>
    <t>OP Det</t>
  </si>
  <si>
    <t>Producir</t>
  </si>
  <si>
    <t>Creado El</t>
  </si>
  <si>
    <t>Costeo_Producto</t>
  </si>
  <si>
    <t>Producto</t>
  </si>
  <si>
    <t>Cliente</t>
  </si>
  <si>
    <t>Cantidad Solicitada</t>
  </si>
  <si>
    <t>Id.</t>
  </si>
  <si>
    <t>Fecha</t>
  </si>
  <si>
    <t>costo_antes_iva</t>
  </si>
  <si>
    <t>fecha_creacion</t>
  </si>
  <si>
    <t>Proceso Producción</t>
  </si>
  <si>
    <t>OP-D</t>
  </si>
  <si>
    <t>OS-Valor Unitario</t>
  </si>
  <si>
    <t>OS-Cantidad</t>
  </si>
  <si>
    <t>Num OS</t>
  </si>
  <si>
    <t>Costeo</t>
  </si>
  <si>
    <t>Nombre</t>
  </si>
  <si>
    <t>Nombre del Comercial</t>
  </si>
  <si>
    <t>6623-1-Sastre Femenino</t>
  </si>
  <si>
    <t>COS-0012671-2</t>
  </si>
  <si>
    <t>Sastre Femenino</t>
  </si>
  <si>
    <t>CLINICOS</t>
  </si>
  <si>
    <t>2026-02-26T21:32:21Z</t>
  </si>
  <si>
    <t>Bordado</t>
  </si>
  <si>
    <t>6623-1</t>
  </si>
  <si>
    <t>[21303]</t>
  </si>
  <si>
    <t>COS-0012671</t>
  </si>
  <si>
    <t>Pedido Dotación  Clínicos  Marzo -Abril  2026</t>
  </si>
  <si>
    <t>Xiomara Aranda Perea</t>
  </si>
  <si>
    <t>6623-2-Sastre Masculino</t>
  </si>
  <si>
    <t>COS-0012671-3</t>
  </si>
  <si>
    <t>Sastre Masculino</t>
  </si>
  <si>
    <t>6623-2</t>
  </si>
  <si>
    <t>[21304]</t>
  </si>
  <si>
    <t>6623-3-Sastre Femenino</t>
  </si>
  <si>
    <t>COS-0012671-4</t>
  </si>
  <si>
    <t>6623-3</t>
  </si>
  <si>
    <t>[21305]</t>
  </si>
  <si>
    <t>6621-1-Gorro</t>
  </si>
  <si>
    <t>COS-0012371-2</t>
  </si>
  <si>
    <t>Gorro</t>
  </si>
  <si>
    <t>THE PUB S.A.S</t>
  </si>
  <si>
    <t>2026-01-21T17:11:20Z</t>
  </si>
  <si>
    <t>Paquete Completo</t>
  </si>
  <si>
    <t>6621-1</t>
  </si>
  <si>
    <t>[21059]</t>
  </si>
  <si>
    <t>COS-0012371</t>
  </si>
  <si>
    <t>Gorros St Patrick 's,  3 Enero  2026</t>
  </si>
  <si>
    <t>6620-9-BLAZER SASTRE</t>
  </si>
  <si>
    <t>COS-0012649-13</t>
  </si>
  <si>
    <t>BLAZER SASTRE</t>
  </si>
  <si>
    <t>OMNITEMPUS</t>
  </si>
  <si>
    <t>2026-02-24T17:56:16Z</t>
  </si>
  <si>
    <t>Confección</t>
  </si>
  <si>
    <t>6620-9</t>
  </si>
  <si>
    <t>[21150]</t>
  </si>
  <si>
    <t>COS-0012649</t>
  </si>
  <si>
    <t>PEDIDO DOTACION OPERATIVA FINAL  OMNITEMPUS FEBRERO- MARZO  2026</t>
  </si>
  <si>
    <t>[21182]</t>
  </si>
  <si>
    <t>6620-10-PANTALÓN SASTRE</t>
  </si>
  <si>
    <t>COS-0012649-14</t>
  </si>
  <si>
    <t>PANTALÓN SASTRE</t>
  </si>
  <si>
    <t>6620-10</t>
  </si>
  <si>
    <t>[21151]</t>
  </si>
  <si>
    <t>6618-1-POLO MANGA LARGA</t>
  </si>
  <si>
    <t>COS-0012669-2</t>
  </si>
  <si>
    <t>POLO MANGA LARGA</t>
  </si>
  <si>
    <t>MINISO</t>
  </si>
  <si>
    <t>2026-02-26T18:18:34Z</t>
  </si>
  <si>
    <t>Estampado</t>
  </si>
  <si>
    <t>6618-1</t>
  </si>
  <si>
    <t>[21297]</t>
  </si>
  <si>
    <t>COS-0012669</t>
  </si>
  <si>
    <t>PEDIDO  DOTACION  MINISO BOGOTA MARZO- ABRIL 2026</t>
  </si>
  <si>
    <t>6618-2-POLO MANGA LARGA</t>
  </si>
  <si>
    <t>COS-0012669-3</t>
  </si>
  <si>
    <t>6618-2</t>
  </si>
  <si>
    <t>[21299]</t>
  </si>
  <si>
    <t>6618-3-POLO MANGA LARGA</t>
  </si>
  <si>
    <t>COS-0012669-4</t>
  </si>
  <si>
    <t>6618-3</t>
  </si>
  <si>
    <t>[21301]</t>
  </si>
  <si>
    <t>6618-4-POLO MANGA CORTA</t>
  </si>
  <si>
    <t>COS-0012669-5</t>
  </si>
  <si>
    <t>POLO MANGA CORTA</t>
  </si>
  <si>
    <t>6618-4</t>
  </si>
  <si>
    <t>[21298]</t>
  </si>
  <si>
    <t>6618-5-POLO MANGA CORTA</t>
  </si>
  <si>
    <t>COS-0012669-6</t>
  </si>
  <si>
    <t>6618-5</t>
  </si>
  <si>
    <t>[21300]</t>
  </si>
  <si>
    <t>6618-6-POLO MANGA CORTA</t>
  </si>
  <si>
    <t>COS-0012669-7</t>
  </si>
  <si>
    <t>6618-6</t>
  </si>
  <si>
    <t>[21302]</t>
  </si>
  <si>
    <t>6618-11-T-SHIRT MANGA CORTA</t>
  </si>
  <si>
    <t>COS-0012669-13</t>
  </si>
  <si>
    <t>T-SHIRT MANGA CORTA</t>
  </si>
  <si>
    <t>6618-11</t>
  </si>
  <si>
    <t>[21127]</t>
  </si>
  <si>
    <t>6618-12-T-SHIRT MANGA CORTA</t>
  </si>
  <si>
    <t>COS-0012669-14</t>
  </si>
  <si>
    <t>6618-12</t>
  </si>
  <si>
    <t>[21126]</t>
  </si>
  <si>
    <t>6618-13-Delantal clasico</t>
  </si>
  <si>
    <t>COS-0012669-16</t>
  </si>
  <si>
    <t>Delantal clasico</t>
  </si>
  <si>
    <t>6618-13</t>
  </si>
  <si>
    <t>[21256]</t>
  </si>
  <si>
    <t>6618-14-Delantal clasico</t>
  </si>
  <si>
    <t>COS-0012669-17</t>
  </si>
  <si>
    <t>6618-14</t>
  </si>
  <si>
    <t>[21257]</t>
  </si>
  <si>
    <t>[21135]</t>
  </si>
  <si>
    <t>6618-15-Gorra Curva</t>
  </si>
  <si>
    <t>COS-0012669-18</t>
  </si>
  <si>
    <t>Gorra Curva</t>
  </si>
  <si>
    <t>6618-15</t>
  </si>
  <si>
    <t>[21132]</t>
  </si>
  <si>
    <t>6618-16-Gorra Curva</t>
  </si>
  <si>
    <t>COS-0012669-19</t>
  </si>
  <si>
    <t>6618-16</t>
  </si>
  <si>
    <t>[21133]</t>
  </si>
  <si>
    <t>6616-1-CAMISA MANGA LARGA</t>
  </si>
  <si>
    <t>COS-0012665-2</t>
  </si>
  <si>
    <t>CAMISA MANGA LARGA</t>
  </si>
  <si>
    <t>PARKING INTERNATIONAL S A S</t>
  </si>
  <si>
    <t>2026-02-26T16:42:17Z</t>
  </si>
  <si>
    <t>6616-1</t>
  </si>
  <si>
    <t>[21233 21232]</t>
  </si>
  <si>
    <t>COS-0012665</t>
  </si>
  <si>
    <t>DOTACION  MARZO'ABRIL 2026</t>
  </si>
  <si>
    <t>Santiago Barriga</t>
  </si>
  <si>
    <t>6616-2-PANTALÓN  CALLE  DAMA</t>
  </si>
  <si>
    <t>COS-0012665-3</t>
  </si>
  <si>
    <t>PANTALÓN  CALLE  DAMA</t>
  </si>
  <si>
    <t>6616-2</t>
  </si>
  <si>
    <t>[21163]</t>
  </si>
  <si>
    <t>6616-3-OXFORD</t>
  </si>
  <si>
    <t>COS-0012665-4</t>
  </si>
  <si>
    <t>OXFORD</t>
  </si>
  <si>
    <t>6616-3</t>
  </si>
  <si>
    <t>[21239]</t>
  </si>
  <si>
    <t>[21231]</t>
  </si>
  <si>
    <t>6616-4-PANTALÓN ADMINISTRATIVO HOMBRE</t>
  </si>
  <si>
    <t>COS-0012665-5</t>
  </si>
  <si>
    <t>PANTALÓN ADMINISTRATIVO HOMBRE</t>
  </si>
  <si>
    <t>6616-4</t>
  </si>
  <si>
    <t>[21164]</t>
  </si>
  <si>
    <t>6612-1-Escafandra</t>
  </si>
  <si>
    <t>COS-0012654-2</t>
  </si>
  <si>
    <t>Escafandra</t>
  </si>
  <si>
    <t>SITARA</t>
  </si>
  <si>
    <t>2026-02-25T17:18:59Z</t>
  </si>
  <si>
    <t>6612-1</t>
  </si>
  <si>
    <t>[21314]</t>
  </si>
  <si>
    <t>COS-0012654</t>
  </si>
  <si>
    <t>PEDIDO  COFIAS SITARA  FEBRERO -MARZO  2026</t>
  </si>
  <si>
    <t>6612-2-Escafandra</t>
  </si>
  <si>
    <t>COS-0012654-3</t>
  </si>
  <si>
    <t>6612-2</t>
  </si>
  <si>
    <t>[21316 21315]</t>
  </si>
  <si>
    <t>2026-02-25T17:20:22Z</t>
  </si>
  <si>
    <t>6612-3-Escafandra</t>
  </si>
  <si>
    <t>6612-3</t>
  </si>
  <si>
    <t>[21318 21317]</t>
  </si>
  <si>
    <t>6611-1-POLO MANGA CORTA</t>
  </si>
  <si>
    <t>COS-0012647-3</t>
  </si>
  <si>
    <t>ALBATEQ</t>
  </si>
  <si>
    <t>2026-02-23T22:32:49Z</t>
  </si>
  <si>
    <t>6611-1</t>
  </si>
  <si>
    <t>[21309]</t>
  </si>
  <si>
    <t>COS-0012647</t>
  </si>
  <si>
    <t>Actualización Dotación Albateq 2 Enero 2026</t>
  </si>
  <si>
    <t>Frank Sanchez</t>
  </si>
  <si>
    <t>[21221]</t>
  </si>
  <si>
    <t>6609-1-Pantalón  Cuarto Frio</t>
  </si>
  <si>
    <t>COS-0012639-2</t>
  </si>
  <si>
    <t>Pantalón  Cuarto Frio</t>
  </si>
  <si>
    <t>NUTRESA</t>
  </si>
  <si>
    <t>2026-02-23T18:34:44Z</t>
  </si>
  <si>
    <t>6609-1</t>
  </si>
  <si>
    <t>[21190]</t>
  </si>
  <si>
    <t>COS-0012639</t>
  </si>
  <si>
    <t>1RA ENTREGA  LEGAL CUARTO  FRIO LEÑOS Y  CARBON FEBRERO 2026</t>
  </si>
  <si>
    <t>Luis Guzman</t>
  </si>
  <si>
    <t>6609-2-SACO CUELLO CERRADO</t>
  </si>
  <si>
    <t>COS-0012639-3</t>
  </si>
  <si>
    <t>SACO CUELLO CERRADO</t>
  </si>
  <si>
    <t>2026-02-23T17:34:49Z</t>
  </si>
  <si>
    <t>6609-2</t>
  </si>
  <si>
    <t>[21191]</t>
  </si>
  <si>
    <t>6609-3-Gorra Curva</t>
  </si>
  <si>
    <t>COS-0012639-4</t>
  </si>
  <si>
    <t>6609-3</t>
  </si>
  <si>
    <t>[21012]</t>
  </si>
  <si>
    <t>6543-3-Chaleco Liso</t>
  </si>
  <si>
    <t>COS-0012436-3</t>
  </si>
  <si>
    <t>Chaleco Liso</t>
  </si>
  <si>
    <t>Sodimac</t>
  </si>
  <si>
    <t>2026-01-30T05:08:41Z</t>
  </si>
  <si>
    <t>6543-3</t>
  </si>
  <si>
    <t>[21229 21228 21227 21226 21225]</t>
  </si>
  <si>
    <t>COS-0012436</t>
  </si>
  <si>
    <t>LICITACION SODIMAC  2025 - PRIMERA OFERTA</t>
  </si>
  <si>
    <t>Pilar Gómez</t>
  </si>
  <si>
    <t>[21184]</t>
  </si>
  <si>
    <t>6543-4-Chaleco Liso</t>
  </si>
  <si>
    <t>COS-0012436-4</t>
  </si>
  <si>
    <t>6543-4</t>
  </si>
  <si>
    <t>[21294 21293]</t>
  </si>
  <si>
    <t>6543-5-Chaleco Liso</t>
  </si>
  <si>
    <t>COS-0012436-5</t>
  </si>
  <si>
    <t>2026-01-30T05:30:58Z</t>
  </si>
  <si>
    <t>6543-5</t>
  </si>
  <si>
    <t>[21296 21295]</t>
  </si>
  <si>
    <t>6541-1-CAMISA MANGA LARGA</t>
  </si>
  <si>
    <t>COS-0012428-2</t>
  </si>
  <si>
    <t>G4S</t>
  </si>
  <si>
    <t>2026-01-29T13:30:43Z</t>
  </si>
  <si>
    <t>6541-1</t>
  </si>
  <si>
    <t>[21049]</t>
  </si>
  <si>
    <t>COS-0012428</t>
  </si>
  <si>
    <t>DOTACION CPO BEIGE</t>
  </si>
  <si>
    <t>[21035]</t>
  </si>
  <si>
    <t>6540-1-Camiseta polo</t>
  </si>
  <si>
    <t>COS-0012432-2</t>
  </si>
  <si>
    <t>Camiseta polo</t>
  </si>
  <si>
    <t>2026-01-29T18:33:58Z</t>
  </si>
  <si>
    <t>6540-1</t>
  </si>
  <si>
    <t>[20826]</t>
  </si>
  <si>
    <t>COS-0012432</t>
  </si>
  <si>
    <t>REPROCESO POLOS COORDINADOR  PAPA JHONS ENERO 2026</t>
  </si>
  <si>
    <t>[20803]</t>
  </si>
  <si>
    <t>6540-2-Camiseta polo</t>
  </si>
  <si>
    <t>COS-0012432-3</t>
  </si>
  <si>
    <t>6540-2</t>
  </si>
  <si>
    <t>[20827]</t>
  </si>
  <si>
    <t>[20804]</t>
  </si>
  <si>
    <t>6540-3-Camiseta polo</t>
  </si>
  <si>
    <t>COS-0012432-4</t>
  </si>
  <si>
    <t>6540-3</t>
  </si>
  <si>
    <t>[20830]</t>
  </si>
  <si>
    <t>[20805]</t>
  </si>
  <si>
    <t>6540-4-Camiseta polo</t>
  </si>
  <si>
    <t>COS-0012432-5</t>
  </si>
  <si>
    <t>6540-4</t>
  </si>
  <si>
    <t>[20828]</t>
  </si>
  <si>
    <t>[20806]</t>
  </si>
  <si>
    <t>6540-5-Camiseta polo</t>
  </si>
  <si>
    <t>COS-0012432-6</t>
  </si>
  <si>
    <t>6540-5</t>
  </si>
  <si>
    <t>[20829]</t>
  </si>
  <si>
    <t>[20807]</t>
  </si>
  <si>
    <t>6540-6-Camiseta polo</t>
  </si>
  <si>
    <t>COS-0012432-7</t>
  </si>
  <si>
    <t>6540-6</t>
  </si>
  <si>
    <t>[20831]</t>
  </si>
  <si>
    <t>[20808]</t>
  </si>
  <si>
    <t>6538-1-camisa</t>
  </si>
  <si>
    <t>COS-0012431-2</t>
  </si>
  <si>
    <t>camisa</t>
  </si>
  <si>
    <t>2026-01-29T18:02:55Z</t>
  </si>
  <si>
    <t>6538-1</t>
  </si>
  <si>
    <t>[20840]</t>
  </si>
  <si>
    <t>COS-0012431</t>
  </si>
  <si>
    <t>REPROCESO BLUSAS COORDINADOR DAMA CORRAL TRADICIONAL 2026</t>
  </si>
  <si>
    <t>[20885]</t>
  </si>
  <si>
    <t>6538-2-camisa</t>
  </si>
  <si>
    <t>COS-0012431-5</t>
  </si>
  <si>
    <t>6538-2</t>
  </si>
  <si>
    <t>[20841]</t>
  </si>
  <si>
    <t>[20886]</t>
  </si>
  <si>
    <t>6534-1-POLO MANGA CORTA</t>
  </si>
  <si>
    <t>COS-0012425-2</t>
  </si>
  <si>
    <t>CREDIMINUTO</t>
  </si>
  <si>
    <t>2026-01-29T06:24:42Z</t>
  </si>
  <si>
    <t>6534-1</t>
  </si>
  <si>
    <t>[20832]</t>
  </si>
  <si>
    <t>COS-0012425</t>
  </si>
  <si>
    <t>POLOS BLANCAS LOGOS CREDISMART  MOVISTAR</t>
  </si>
  <si>
    <t>6533-1-CAMISA MANGA LARGA</t>
  </si>
  <si>
    <t>COS-0012424-2</t>
  </si>
  <si>
    <t>CLARO COLOMBIA</t>
  </si>
  <si>
    <t>2026-01-29T04:03:08Z</t>
  </si>
  <si>
    <t>6533-1</t>
  </si>
  <si>
    <t>[21161 21053 21019 21006 20991 20989 20933 20909 20845 20844]</t>
  </si>
  <si>
    <t>COS-0012424</t>
  </si>
  <si>
    <t>Dotación prendas Dotación Marzo 2025</t>
  </si>
  <si>
    <t>6533-2-Pantalón dotación</t>
  </si>
  <si>
    <t>COS-0012424-4</t>
  </si>
  <si>
    <t>Pantalón dotación</t>
  </si>
  <si>
    <t>6533-2</t>
  </si>
  <si>
    <t>[20809 20797 20795]</t>
  </si>
  <si>
    <t>6533-3-Pantalón dotación</t>
  </si>
  <si>
    <t>COS-0012424-5</t>
  </si>
  <si>
    <t>6533-3</t>
  </si>
  <si>
    <t>[20877 20876 20789 20788]</t>
  </si>
  <si>
    <t>6533-4-CAMISA MANGA LARGA</t>
  </si>
  <si>
    <t>COS-0012424-6</t>
  </si>
  <si>
    <t>6533-4</t>
  </si>
  <si>
    <t>[21162 21052 21036 21020 21007 20992 20990 20934 20910 20847 20846]</t>
  </si>
  <si>
    <t>6533-6-CAMISA MANGA LARGA</t>
  </si>
  <si>
    <t>COS-0012424-8</t>
  </si>
  <si>
    <t>6533-6</t>
  </si>
  <si>
    <t>[20849 20848]</t>
  </si>
  <si>
    <t>6533-7-Pantalón dotación</t>
  </si>
  <si>
    <t>COS-0012424-9</t>
  </si>
  <si>
    <t>6533-7</t>
  </si>
  <si>
    <t>[20810 20798 20792]</t>
  </si>
  <si>
    <t>6533-8-Pantalón dotación</t>
  </si>
  <si>
    <t>COS-0012424-10</t>
  </si>
  <si>
    <t>6533-8</t>
  </si>
  <si>
    <t>[20881 20874 20873 20791 20790]</t>
  </si>
  <si>
    <t>6529-1-T-SHIRT MANGA CORTA</t>
  </si>
  <si>
    <t>COS-0012411-3</t>
  </si>
  <si>
    <t>Molt Panamá (PA)</t>
  </si>
  <si>
    <t>2026-01-27T17:10:26Z</t>
  </si>
  <si>
    <t>6529-1</t>
  </si>
  <si>
    <t>[20774]</t>
  </si>
  <si>
    <t>COS-0012411</t>
  </si>
  <si>
    <t>Camisetas II Panagas (PA)</t>
  </si>
  <si>
    <t>Simón Román</t>
  </si>
  <si>
    <t>6528-1-Pantalón dotación</t>
  </si>
  <si>
    <t>COS-0012410-2</t>
  </si>
  <si>
    <t>2026-01-27T16:55:16Z</t>
  </si>
  <si>
    <t>Prelavado</t>
  </si>
  <si>
    <t>6528-1</t>
  </si>
  <si>
    <t>[20882]</t>
  </si>
  <si>
    <t>COS-0012410</t>
  </si>
  <si>
    <t>Panagas (PA)</t>
  </si>
  <si>
    <t>[20728]</t>
  </si>
  <si>
    <t>6527-1-CAMISA MANGA LARGA</t>
  </si>
  <si>
    <t>COS-0012406-2</t>
  </si>
  <si>
    <t>FLET X</t>
  </si>
  <si>
    <t>2026-01-27T14:57:41Z</t>
  </si>
  <si>
    <t>6527-1</t>
  </si>
  <si>
    <t>[21223 20726]</t>
  </si>
  <si>
    <t>COS-0012406</t>
  </si>
  <si>
    <t>Servicio  De Bordado Camisas Transer Enero 2026</t>
  </si>
  <si>
    <t>6526-1-CHAQUETA MICHELIN</t>
  </si>
  <si>
    <t>COS-0012401-15</t>
  </si>
  <si>
    <t>CHAQUETA MICHELIN</t>
  </si>
  <si>
    <t>TALMA COLOMBIA</t>
  </si>
  <si>
    <t>2026-01-26T18:33:15Z</t>
  </si>
  <si>
    <t>6526-1</t>
  </si>
  <si>
    <t>[20755]</t>
  </si>
  <si>
    <t>COS-0012401</t>
  </si>
  <si>
    <t>TALMA  ENERO FINAL</t>
  </si>
  <si>
    <t>[20771]</t>
  </si>
  <si>
    <t>6524-1-Camiseta Dril</t>
  </si>
  <si>
    <t>COS-0012393-7</t>
  </si>
  <si>
    <t>Camiseta Dril</t>
  </si>
  <si>
    <t>2026-01-23T18:45:32Z</t>
  </si>
  <si>
    <t>6524-1</t>
  </si>
  <si>
    <t>[20775]</t>
  </si>
  <si>
    <t>COS-0012393</t>
  </si>
  <si>
    <t>Pedido adicional planta chía  enero 2026</t>
  </si>
  <si>
    <t>6524-2-Pantalón dotación</t>
  </si>
  <si>
    <t>COS-0012393-22</t>
  </si>
  <si>
    <t>6524-2</t>
  </si>
  <si>
    <t>[20776]</t>
  </si>
  <si>
    <t>[20758]</t>
  </si>
  <si>
    <t>6524-3-Cofia</t>
  </si>
  <si>
    <t>COS-0012393-35</t>
  </si>
  <si>
    <t>Cofia</t>
  </si>
  <si>
    <t>6524-3</t>
  </si>
  <si>
    <t>[20766]</t>
  </si>
  <si>
    <t>6524-4-Cofia</t>
  </si>
  <si>
    <t>COS-0012393-36</t>
  </si>
  <si>
    <t>6524-4</t>
  </si>
  <si>
    <t>[20767]</t>
  </si>
  <si>
    <t>6524-5-Cofia</t>
  </si>
  <si>
    <t>COS-0012393-37</t>
  </si>
  <si>
    <t>6524-5</t>
  </si>
  <si>
    <t>[20768]</t>
  </si>
  <si>
    <t>6523-1-overol enterizo</t>
  </si>
  <si>
    <t>COS-0012363-2</t>
  </si>
  <si>
    <t>overol enterizo overol enterizo</t>
  </si>
  <si>
    <t>INTERRAPIDISIMO S A</t>
  </si>
  <si>
    <t>2026-01-21T15:39:25Z</t>
  </si>
  <si>
    <t>6523-1</t>
  </si>
  <si>
    <t>[20719]</t>
  </si>
  <si>
    <t>COS-0012363</t>
  </si>
  <si>
    <t>COTIZACION  ANTICIPO ENERO  2026</t>
  </si>
  <si>
    <t>[20717]</t>
  </si>
  <si>
    <t>6523-2-overol enterizo</t>
  </si>
  <si>
    <t>COS-0012363-3</t>
  </si>
  <si>
    <t>6523-2</t>
  </si>
  <si>
    <t>[20720]</t>
  </si>
  <si>
    <t>[20718]</t>
  </si>
  <si>
    <t>6517-1-T-SHIRT MANGA LARGA</t>
  </si>
  <si>
    <t>COS-0012365-2</t>
  </si>
  <si>
    <t>T-SHIRT MANGA LARGA</t>
  </si>
  <si>
    <t>ALT ARQUITECTURA</t>
  </si>
  <si>
    <t>2026-01-21T16:19:39Z</t>
  </si>
  <si>
    <t>6517-1</t>
  </si>
  <si>
    <t>[20867]</t>
  </si>
  <si>
    <t>COS-0012365</t>
  </si>
  <si>
    <t>CAMISETAS  Y GORRAS ALT ENERO 2026</t>
  </si>
  <si>
    <t>6517-2-Gorra seis cascos</t>
  </si>
  <si>
    <t>COS-0012365-3</t>
  </si>
  <si>
    <t>Gorra seis cascos</t>
  </si>
  <si>
    <t>6517-2</t>
  </si>
  <si>
    <t>[20751]</t>
  </si>
  <si>
    <t>6503-1-POLO MANGA CORTA</t>
  </si>
  <si>
    <t>COS-0012135-2</t>
  </si>
  <si>
    <t>Eleinco SAS</t>
  </si>
  <si>
    <t>2025-11-24T19:12:04Z</t>
  </si>
  <si>
    <t>6503-1</t>
  </si>
  <si>
    <t>[20745]</t>
  </si>
  <si>
    <t>COS-0012135</t>
  </si>
  <si>
    <t>Prendas ELeinco / Polo / Camibuzo  Enero 2025</t>
  </si>
  <si>
    <t>[20697]</t>
  </si>
  <si>
    <t>6503-2-POLO MANGA CORTA</t>
  </si>
  <si>
    <t>COS-0012135-3</t>
  </si>
  <si>
    <t>6503-2</t>
  </si>
  <si>
    <t>[20746]</t>
  </si>
  <si>
    <t>[20698]</t>
  </si>
  <si>
    <t>6503-3-Camiseta polo</t>
  </si>
  <si>
    <t>COS-0012135-4</t>
  </si>
  <si>
    <t>6503-3</t>
  </si>
  <si>
    <t>[20747]</t>
  </si>
  <si>
    <t>[20699]</t>
  </si>
  <si>
    <t>6496-2-Camibuzo</t>
  </si>
  <si>
    <t>COS-0011982-29</t>
  </si>
  <si>
    <t>CAMISA MANGA CORTA</t>
  </si>
  <si>
    <t>2025-12-30T00:37:00Z</t>
  </si>
  <si>
    <t>6496-2</t>
  </si>
  <si>
    <t>[20722]</t>
  </si>
  <si>
    <t>COS-0011982</t>
  </si>
  <si>
    <t>TALMA  DICIEMBRE 2025</t>
  </si>
  <si>
    <t>Camibuzo</t>
  </si>
  <si>
    <t>2025-12-31T15:19:04Z</t>
  </si>
  <si>
    <t>Sublimación</t>
  </si>
  <si>
    <t>[20581]</t>
  </si>
  <si>
    <t>2025-11-27T03:28:23Z</t>
  </si>
  <si>
    <t>2025-11-25T05:30:26Z</t>
  </si>
  <si>
    <t>6493-1-Chaqueta  Térmica</t>
  </si>
  <si>
    <t>COS-0012287-2</t>
  </si>
  <si>
    <t>Chaqueta  Térmica</t>
  </si>
  <si>
    <t>Coorserpark</t>
  </si>
  <si>
    <t>2025-12-30T12:41:33Z</t>
  </si>
  <si>
    <t>6493-1</t>
  </si>
  <si>
    <t>[20588]</t>
  </si>
  <si>
    <t>COS-0012287</t>
  </si>
  <si>
    <t>Chaqueta Térmica Coorserpark Julio 2025</t>
  </si>
  <si>
    <t>Miguel Gutierrez</t>
  </si>
  <si>
    <t>[20590]</t>
  </si>
  <si>
    <t>2025-12-30T12:43:54Z</t>
  </si>
  <si>
    <t>6493-2-Gorra Curva</t>
  </si>
  <si>
    <t>6493-2</t>
  </si>
  <si>
    <t>[20682]</t>
  </si>
  <si>
    <t>6492-1-ROMPEVIENTOS REFLECTIVA</t>
  </si>
  <si>
    <t>COS-0012284-2</t>
  </si>
  <si>
    <t>ROMPEVIENTOS REFLECTIVA</t>
  </si>
  <si>
    <t>2025-12-29T23:25:23Z</t>
  </si>
  <si>
    <t>6492-1</t>
  </si>
  <si>
    <t>[20714]</t>
  </si>
  <si>
    <t>COS-0012284</t>
  </si>
  <si>
    <t>[20723]</t>
  </si>
  <si>
    <t>6492-3-Camibuzo</t>
  </si>
  <si>
    <t>COS-0012284-4</t>
  </si>
  <si>
    <t>6492-3</t>
  </si>
  <si>
    <t>[20578]</t>
  </si>
  <si>
    <t>[20631]</t>
  </si>
  <si>
    <t>6492-4-PANTALÓN CARGO</t>
  </si>
  <si>
    <t>COS-0012284-8</t>
  </si>
  <si>
    <t>PANTALÓN CARGO</t>
  </si>
  <si>
    <t>6492-4</t>
  </si>
  <si>
    <t>[20633 20575 20565 20564]</t>
  </si>
  <si>
    <t>[20643 20576 20569 20568]</t>
  </si>
  <si>
    <t>6492-5-Saco Tejido</t>
  </si>
  <si>
    <t>COS-0012284-11</t>
  </si>
  <si>
    <t>Saco Tejido</t>
  </si>
  <si>
    <t>Paquete Completo Sin Marca</t>
  </si>
  <si>
    <t>6492-5</t>
  </si>
  <si>
    <t>[20843]</t>
  </si>
  <si>
    <t>6492-6-Sastre Femenino</t>
  </si>
  <si>
    <t>COS-0012284-12</t>
  </si>
  <si>
    <t>6492-6</t>
  </si>
  <si>
    <t>[20582]</t>
  </si>
  <si>
    <t>6492-8-BLUSA MANGA CORTA</t>
  </si>
  <si>
    <t>COS-0012284-14</t>
  </si>
  <si>
    <t>BLUSA MANGA CORTA</t>
  </si>
  <si>
    <t>6492-8</t>
  </si>
  <si>
    <t>[20645]</t>
  </si>
  <si>
    <t>[20654]</t>
  </si>
  <si>
    <t>6492-9-CAMISA MANGA LARGA</t>
  </si>
  <si>
    <t>COS-0012284-16</t>
  </si>
  <si>
    <t>6492-9</t>
  </si>
  <si>
    <t>[20713]</t>
  </si>
  <si>
    <t>[20658]</t>
  </si>
  <si>
    <t>6492-10-CHAQUETA MICHELIN</t>
  </si>
  <si>
    <t>COS-0012284-18</t>
  </si>
  <si>
    <t>6492-10</t>
  </si>
  <si>
    <t>[20715]</t>
  </si>
  <si>
    <t>[20724]</t>
  </si>
  <si>
    <t>6492-11-camisa</t>
  </si>
  <si>
    <t>COS-0012284-19</t>
  </si>
  <si>
    <t>6492-11</t>
  </si>
  <si>
    <t>[20635]</t>
  </si>
  <si>
    <t>6492-12-Pantalón dotación</t>
  </si>
  <si>
    <t>COS-0012284-22</t>
  </si>
  <si>
    <t>6492-12</t>
  </si>
  <si>
    <t>[20640]</t>
  </si>
  <si>
    <t>6492-13-Sastre Femenino</t>
  </si>
  <si>
    <t>COS-0012251-23</t>
  </si>
  <si>
    <t>2025-12-30T00:15:56Z</t>
  </si>
  <si>
    <t>6492-13</t>
  </si>
  <si>
    <t>[20583]</t>
  </si>
  <si>
    <t>COS-0012251</t>
  </si>
  <si>
    <t>TALMA  ABRIL /  TALLAS GRANDES</t>
  </si>
  <si>
    <t>URGENTES MASIVA</t>
  </si>
  <si>
    <t>CHALECO REFLECTIVO</t>
  </si>
  <si>
    <t>2025-12-30T00:24:26Z</t>
  </si>
  <si>
    <t>2025-12-29T23:09:35Z</t>
  </si>
  <si>
    <t>6492-14-CHAQUETA MICHELIN</t>
  </si>
  <si>
    <t>COS-0012284-24</t>
  </si>
  <si>
    <t>6492-14</t>
  </si>
  <si>
    <t>[20577]</t>
  </si>
  <si>
    <t>[20589]</t>
  </si>
  <si>
    <t>6492-15-CHALECO REFLECTIVO</t>
  </si>
  <si>
    <t>6492-15</t>
  </si>
  <si>
    <t>[20802]</t>
  </si>
  <si>
    <t>[20744]</t>
  </si>
  <si>
    <t>6492-16-POLO MANGA CORTA</t>
  </si>
  <si>
    <t>COS-0012284-25</t>
  </si>
  <si>
    <t>6492-16</t>
  </si>
  <si>
    <t>[20706]</t>
  </si>
  <si>
    <t>[20647]</t>
  </si>
  <si>
    <t>6492-17-CHALECO REFLECTIVO</t>
  </si>
  <si>
    <t>COS-0012251-25</t>
  </si>
  <si>
    <t>2025-12-29T23:17:10Z</t>
  </si>
  <si>
    <t>6492-17</t>
  </si>
  <si>
    <t>[20752 20710]</t>
  </si>
  <si>
    <t>[20816]</t>
  </si>
  <si>
    <t>6492-18-Pantalón dotación</t>
  </si>
  <si>
    <t>COS-0012284-26</t>
  </si>
  <si>
    <t>6492-18</t>
  </si>
  <si>
    <t>[20563]</t>
  </si>
  <si>
    <t>6492-19-CAMISA MANGA CORTA</t>
  </si>
  <si>
    <t>COS-0012251-27</t>
  </si>
  <si>
    <t>2025-12-30T00:05:26Z</t>
  </si>
  <si>
    <t>6492-19</t>
  </si>
  <si>
    <t>[20655]</t>
  </si>
  <si>
    <t>2025-12-30T00:55:44Z</t>
  </si>
  <si>
    <t>[20646]</t>
  </si>
  <si>
    <t>6492-20-CHALECO REFLECTIVO</t>
  </si>
  <si>
    <t>6492-20</t>
  </si>
  <si>
    <t>[20753 20674]</t>
  </si>
  <si>
    <t>[20817]</t>
  </si>
  <si>
    <t>6492-21-CAMISA MANGA CORTA</t>
  </si>
  <si>
    <t>6492-21</t>
  </si>
  <si>
    <t>[20636]</t>
  </si>
  <si>
    <t>6492-22-BLUSA MANGA CORTA</t>
  </si>
  <si>
    <t>COS-0012282-56</t>
  </si>
  <si>
    <t>2025-12-29T23:17:42Z</t>
  </si>
  <si>
    <t>6492-22</t>
  </si>
  <si>
    <t>[20650]</t>
  </si>
  <si>
    <t>COS-0012282</t>
  </si>
  <si>
    <t>TALMA  ENERO 2026</t>
  </si>
  <si>
    <t>[20705]</t>
  </si>
  <si>
    <t>6492-23-Conjunto antifluido</t>
  </si>
  <si>
    <t>COS-0012282-84</t>
  </si>
  <si>
    <t>Conjunto antifluido</t>
  </si>
  <si>
    <t>2025-12-29T23:19:00Z</t>
  </si>
  <si>
    <t>6492-23</t>
  </si>
  <si>
    <t>[20644]</t>
  </si>
  <si>
    <t>[20648]</t>
  </si>
  <si>
    <t>2025-12-29T23:18:59Z</t>
  </si>
  <si>
    <t>6491-1-Camiseta polo</t>
  </si>
  <si>
    <t>COS-0012285-2</t>
  </si>
  <si>
    <t>GRUPO QUALA</t>
  </si>
  <si>
    <t>2025-12-29T23:33:37Z</t>
  </si>
  <si>
    <t>6491-1</t>
  </si>
  <si>
    <t>[20859 20759]</t>
  </si>
  <si>
    <t>COS-0012285</t>
  </si>
  <si>
    <t>UNIFORME VENDEDORES BONICE</t>
  </si>
  <si>
    <t>6491-3-Gorra seis cascos</t>
  </si>
  <si>
    <t>COS-0012285-8</t>
  </si>
  <si>
    <t>Corte y Confeccion</t>
  </si>
  <si>
    <t>6491-3</t>
  </si>
  <si>
    <t>[20676]</t>
  </si>
  <si>
    <t>6489-1-Chaqueta Rompevientos</t>
  </si>
  <si>
    <t>COS-0012279-4</t>
  </si>
  <si>
    <t>Chaqueta Rompevientos</t>
  </si>
  <si>
    <t>SECOP II</t>
  </si>
  <si>
    <t>2025-12-28T20:26:13Z</t>
  </si>
  <si>
    <t>6489-1</t>
  </si>
  <si>
    <t>[20604]</t>
  </si>
  <si>
    <t>COS-0012279</t>
  </si>
  <si>
    <t>EM-399-2025 - CHAQUETAS SUBRED</t>
  </si>
  <si>
    <t>Angela Jaramillo</t>
  </si>
  <si>
    <t>[20611]</t>
  </si>
  <si>
    <t>6488-1-Harrington</t>
  </si>
  <si>
    <t>COS-0012276-2</t>
  </si>
  <si>
    <t>Harrington</t>
  </si>
  <si>
    <t>Joe Hawkins</t>
  </si>
  <si>
    <t>2025-12-24T14:09:34Z</t>
  </si>
  <si>
    <t>6488-1</t>
  </si>
  <si>
    <t>[20649]</t>
  </si>
  <si>
    <t>COS-0012276</t>
  </si>
  <si>
    <t>Reproceso JH</t>
  </si>
  <si>
    <t>6487-1-POLO MANGA CORTA</t>
  </si>
  <si>
    <t>COS-0012274-6</t>
  </si>
  <si>
    <t>2025-12-24T01:28:59Z</t>
  </si>
  <si>
    <t>6487-1</t>
  </si>
  <si>
    <t>[20627]</t>
  </si>
  <si>
    <t>COS-0012274</t>
  </si>
  <si>
    <t>INGRESOS Y REPOSICIONES PAPA JHONS  2026</t>
  </si>
  <si>
    <t>6487-2-POLO MANGA CORTA</t>
  </si>
  <si>
    <t>COS-0012274-7</t>
  </si>
  <si>
    <t>6487-2</t>
  </si>
  <si>
    <t>[20707]</t>
  </si>
  <si>
    <t>6487-3-POLO MANGA CORTA</t>
  </si>
  <si>
    <t>COS-0012274-8</t>
  </si>
  <si>
    <t>6487-3</t>
  </si>
  <si>
    <t>[20628]</t>
  </si>
  <si>
    <t>[20610]</t>
  </si>
  <si>
    <t>6487-4-POLO MANGA CORTA</t>
  </si>
  <si>
    <t>COS-0012274-9</t>
  </si>
  <si>
    <t>6487-4</t>
  </si>
  <si>
    <t>[20700]</t>
  </si>
  <si>
    <t>[20622]</t>
  </si>
  <si>
    <t>6487-5-POLO MANGA CORTA</t>
  </si>
  <si>
    <t>COS-0012274-10</t>
  </si>
  <si>
    <t>6487-5</t>
  </si>
  <si>
    <t>[20677]</t>
  </si>
  <si>
    <t>[20623]</t>
  </si>
  <si>
    <t>6487-6-DELANTAL CLASICO</t>
  </si>
  <si>
    <t>COS-0012274-12</t>
  </si>
  <si>
    <t>DELANTAL CLASICO</t>
  </si>
  <si>
    <t>6487-6</t>
  </si>
  <si>
    <t>[20781 20780]</t>
  </si>
  <si>
    <t>[20782]</t>
  </si>
  <si>
    <t>[20671]</t>
  </si>
  <si>
    <t>6487-7-Chaqueta  Acolchada</t>
  </si>
  <si>
    <t>COS-0012274-22</t>
  </si>
  <si>
    <t>Chaqueta  Acolchada</t>
  </si>
  <si>
    <t>6487-7</t>
  </si>
  <si>
    <t>[20680]</t>
  </si>
  <si>
    <t>[20624]</t>
  </si>
  <si>
    <t>6487-8-OVEROL ENTERIZO</t>
  </si>
  <si>
    <t>COS-0012274-23</t>
  </si>
  <si>
    <t>OVEROL ENTERIZO</t>
  </si>
  <si>
    <t>6487-8</t>
  </si>
  <si>
    <t>[20639]</t>
  </si>
  <si>
    <t>6486-1-POLO MANGA CORTA</t>
  </si>
  <si>
    <t>COS-0012273-6</t>
  </si>
  <si>
    <t>2025-12-24T00:11:16Z</t>
  </si>
  <si>
    <t>6486-1</t>
  </si>
  <si>
    <t>[20652]</t>
  </si>
  <si>
    <t>COS-0012273</t>
  </si>
  <si>
    <t>INGRESOS Y REPOSICIONES EL CORRAL EL GOURMET  2026</t>
  </si>
  <si>
    <t>[20595]</t>
  </si>
  <si>
    <t>6486-2-POLO MANGA CORTA</t>
  </si>
  <si>
    <t>COS-0012273-7</t>
  </si>
  <si>
    <t>6486-2</t>
  </si>
  <si>
    <t>[20653]</t>
  </si>
  <si>
    <t>[20596]</t>
  </si>
  <si>
    <t>6486-3-DELANTAL MICO</t>
  </si>
  <si>
    <t>COS-0012273-11</t>
  </si>
  <si>
    <t>DELANTAL MICO</t>
  </si>
  <si>
    <t>6486-3</t>
  </si>
  <si>
    <t>[20593]</t>
  </si>
  <si>
    <t>6486-4-DELANTAL MICO</t>
  </si>
  <si>
    <t>COS-0012273-12</t>
  </si>
  <si>
    <t>6486-4</t>
  </si>
  <si>
    <t>[20819]</t>
  </si>
  <si>
    <t>6486-5-DELANTAL MICO</t>
  </si>
  <si>
    <t>COS-0012273-13</t>
  </si>
  <si>
    <t>6486-5</t>
  </si>
  <si>
    <t>[20820]</t>
  </si>
  <si>
    <t>6486-6-Cofia</t>
  </si>
  <si>
    <t>COS-0012273-14</t>
  </si>
  <si>
    <t>6486-6</t>
  </si>
  <si>
    <t>[20727]</t>
  </si>
  <si>
    <t>[20666]</t>
  </si>
  <si>
    <t>6486-7-PANTALÓN TIPO CALLE CABALLERO</t>
  </si>
  <si>
    <t>COS-0012273-15</t>
  </si>
  <si>
    <t>PANTALÓN TIPO CALLE CABALLERO</t>
  </si>
  <si>
    <t>6486-7</t>
  </si>
  <si>
    <t>[20669]</t>
  </si>
  <si>
    <t>6486-8-PANTALON RESORTADO CABALLERO</t>
  </si>
  <si>
    <t>COS-0012273-16</t>
  </si>
  <si>
    <t>PANTALON RESORTADO CABALLERO</t>
  </si>
  <si>
    <t>6486-8</t>
  </si>
  <si>
    <t>[20605]</t>
  </si>
  <si>
    <t>6486-9-PANTALÓN  CALLE  DAMA</t>
  </si>
  <si>
    <t>COS-0012273-18</t>
  </si>
  <si>
    <t>6486-9</t>
  </si>
  <si>
    <t>[20670]</t>
  </si>
  <si>
    <t>6486-10-PANTALON RESORTADO DAMA</t>
  </si>
  <si>
    <t>COS-0012273-20</t>
  </si>
  <si>
    <t>6486-10</t>
  </si>
  <si>
    <t>[20606]</t>
  </si>
  <si>
    <t>6485-1-CAMISA MANGA CORTA</t>
  </si>
  <si>
    <t>COS-0012271-4</t>
  </si>
  <si>
    <t>2025-12-23T21:33:34Z</t>
  </si>
  <si>
    <t>6485-1</t>
  </si>
  <si>
    <t>[20616]</t>
  </si>
  <si>
    <t>COS-0012271</t>
  </si>
  <si>
    <t>TERCERA DOTACION LEGAL LEÑOS Y CARBON OCTUBRE -DICIEMBRE    2025</t>
  </si>
  <si>
    <t>INGRESOS Y REPOSICIONES  LEÑOS Y CARBON 2026</t>
  </si>
  <si>
    <t>2025-12-23T21:34:53Z</t>
  </si>
  <si>
    <t>6485-2-CAMISA MANGA LARGA</t>
  </si>
  <si>
    <t>COS-0012271-5</t>
  </si>
  <si>
    <t>6485-2</t>
  </si>
  <si>
    <t>[20617]</t>
  </si>
  <si>
    <t>6485-3-CAMISA MANGA LARGA</t>
  </si>
  <si>
    <t>COS-0012271-7</t>
  </si>
  <si>
    <t>6485-3</t>
  </si>
  <si>
    <t>[20683]</t>
  </si>
  <si>
    <t>[20656]</t>
  </si>
  <si>
    <t>6485-4-camisa</t>
  </si>
  <si>
    <t>COS-0012271-11</t>
  </si>
  <si>
    <t>6485-4</t>
  </si>
  <si>
    <t>[20618]</t>
  </si>
  <si>
    <t>6485-5-BLUSA MANGA CORTA</t>
  </si>
  <si>
    <t>COS-0012271-12</t>
  </si>
  <si>
    <t>6485-5</t>
  </si>
  <si>
    <t>[20619]</t>
  </si>
  <si>
    <t>6485-6-BLUSA MANGA CORTA</t>
  </si>
  <si>
    <t>COS-0012271-16</t>
  </si>
  <si>
    <t>6485-6</t>
  </si>
  <si>
    <t>[20684]</t>
  </si>
  <si>
    <t>[20657]</t>
  </si>
  <si>
    <t>6485-7-DELANTAL MICO</t>
  </si>
  <si>
    <t>COS-0012271-25</t>
  </si>
  <si>
    <t>6485-7</t>
  </si>
  <si>
    <t>[20632]</t>
  </si>
  <si>
    <t>6485-8-DELANTAL TIPO PETO</t>
  </si>
  <si>
    <t>COS-0012271-27</t>
  </si>
  <si>
    <t>DELANTAL TIPO PETO</t>
  </si>
  <si>
    <t>6485-8</t>
  </si>
  <si>
    <t>[20672]</t>
  </si>
  <si>
    <t>6485-9-Cofia</t>
  </si>
  <si>
    <t>COS-0012271-31</t>
  </si>
  <si>
    <t>6485-9</t>
  </si>
  <si>
    <t>[20594]</t>
  </si>
  <si>
    <t>6485-10-PANTALÓN  CALLE  DAMA</t>
  </si>
  <si>
    <t>COS-0012271-33</t>
  </si>
  <si>
    <t>6485-10</t>
  </si>
  <si>
    <t>[20668]</t>
  </si>
  <si>
    <t>6485-11-PANTALÓN TIPO CALLE CABALLERO</t>
  </si>
  <si>
    <t>COS-0012271-34</t>
  </si>
  <si>
    <t>6485-11</t>
  </si>
  <si>
    <t>[20667]</t>
  </si>
  <si>
    <t>6485-13-PANTALON RESORTADO CABALLERO</t>
  </si>
  <si>
    <t>COS-0012271-36</t>
  </si>
  <si>
    <t>6485-13</t>
  </si>
  <si>
    <t>[20608]</t>
  </si>
  <si>
    <t>6485-14-PANTALON RESORTADO CABALLERO</t>
  </si>
  <si>
    <t>COS-0012271-37</t>
  </si>
  <si>
    <t>6485-14</t>
  </si>
  <si>
    <t>[20607]</t>
  </si>
  <si>
    <t>6484-1-CAMISA MANGA CORTA</t>
  </si>
  <si>
    <t>COS-0012268-2</t>
  </si>
  <si>
    <t>2025-12-23T19:57:49Z</t>
  </si>
  <si>
    <t>6484-1</t>
  </si>
  <si>
    <t>[20736 20735]</t>
  </si>
  <si>
    <t>COS-0012268</t>
  </si>
  <si>
    <t>INGRESOS Y REPOSICIONES HEC 2026</t>
  </si>
  <si>
    <t>[20730 20729]</t>
  </si>
  <si>
    <t>6484-2-CAMISA MANGA LARGA</t>
  </si>
  <si>
    <t>COS-0012268-3</t>
  </si>
  <si>
    <t>6484-2</t>
  </si>
  <si>
    <t>[20737]</t>
  </si>
  <si>
    <t>[20731]</t>
  </si>
  <si>
    <t>6484-3-camisa</t>
  </si>
  <si>
    <t>COS-0012268-4</t>
  </si>
  <si>
    <t>6484-3</t>
  </si>
  <si>
    <t>[20738]</t>
  </si>
  <si>
    <t>[20868 20732]</t>
  </si>
  <si>
    <t>6484-4-camisa</t>
  </si>
  <si>
    <t>COS-0012268-5</t>
  </si>
  <si>
    <t>6484-4</t>
  </si>
  <si>
    <t>[20878 20740 20739]</t>
  </si>
  <si>
    <t>[20734 20733]</t>
  </si>
  <si>
    <t>6484-5-Blusa  Materna</t>
  </si>
  <si>
    <t>COS-0012268-6</t>
  </si>
  <si>
    <t>Blusa  Materna</t>
  </si>
  <si>
    <t>6484-5</t>
  </si>
  <si>
    <t>[20725]</t>
  </si>
  <si>
    <t>[20721]</t>
  </si>
  <si>
    <t>6452-1-Chaqueta Sport</t>
  </si>
  <si>
    <t>COS-0012143-2</t>
  </si>
  <si>
    <t>Chaqueta Sport</t>
  </si>
  <si>
    <t>INCHCAPE COLOMBIA</t>
  </si>
  <si>
    <t>2025-11-25T20:53:46Z</t>
  </si>
  <si>
    <t>6452-1</t>
  </si>
  <si>
    <t>[20547]</t>
  </si>
  <si>
    <t>COS-0012143</t>
  </si>
  <si>
    <t>CHAQUETAS</t>
  </si>
  <si>
    <t>[20452]</t>
  </si>
  <si>
    <t>6439-1-Bata quirúrgica</t>
  </si>
  <si>
    <t>COS-0012168-5</t>
  </si>
  <si>
    <t>Bata quirúrgica</t>
  </si>
  <si>
    <t>2025-11-28T21:01:03Z</t>
  </si>
  <si>
    <t>6439-1</t>
  </si>
  <si>
    <t>[20551]</t>
  </si>
  <si>
    <t>COS-0012168</t>
  </si>
  <si>
    <t>Tercera Dotación Legal Planta Aco Chía Octubre -Diciembre 2025</t>
  </si>
  <si>
    <t>6439-2-Buzo / Cerrado</t>
  </si>
  <si>
    <t>COS-0012168-6</t>
  </si>
  <si>
    <t>Buzo / Cerrado</t>
  </si>
  <si>
    <t>6439-2</t>
  </si>
  <si>
    <t>[20505]</t>
  </si>
  <si>
    <t>6439-3-Camiseta Dril</t>
  </si>
  <si>
    <t>COS-0012168-8</t>
  </si>
  <si>
    <t>6439-3</t>
  </si>
  <si>
    <t>[20500]</t>
  </si>
  <si>
    <t>6439-4-Chaqueta Cuarto Frío</t>
  </si>
  <si>
    <t>COS-0012168-10</t>
  </si>
  <si>
    <t>Chaqueta Cuarto Frío</t>
  </si>
  <si>
    <t>6439-4</t>
  </si>
  <si>
    <t>[20527]</t>
  </si>
  <si>
    <t>[20465]</t>
  </si>
  <si>
    <t>6439-5-Pasamontañas</t>
  </si>
  <si>
    <t>COS-0012168-14</t>
  </si>
  <si>
    <t>Pasamontañas</t>
  </si>
  <si>
    <t>6439-5</t>
  </si>
  <si>
    <t>[20387]</t>
  </si>
  <si>
    <t>6439-6-Cofia</t>
  </si>
  <si>
    <t>COS-0012168-15</t>
  </si>
  <si>
    <t>6439-6</t>
  </si>
  <si>
    <t>[20357]</t>
  </si>
  <si>
    <t>6439-7-Medias Cuarto Frio</t>
  </si>
  <si>
    <t>COS-0012168-18</t>
  </si>
  <si>
    <t>Medias Cuarto Frio</t>
  </si>
  <si>
    <t>6439-7</t>
  </si>
  <si>
    <t>[20348]</t>
  </si>
  <si>
    <t>6439-8-Pantalón  Cuarto Frio</t>
  </si>
  <si>
    <t>COS-0012168-21</t>
  </si>
  <si>
    <t>6439-8</t>
  </si>
  <si>
    <t>[20396]</t>
  </si>
  <si>
    <t>[20517]</t>
  </si>
  <si>
    <t>6439-9-Pantalón dotación</t>
  </si>
  <si>
    <t>COS-0012168-22</t>
  </si>
  <si>
    <t>6439-9</t>
  </si>
  <si>
    <t>[20526]</t>
  </si>
  <si>
    <t>6439-11-Chaqueta Cuarto Frío</t>
  </si>
  <si>
    <t>COS-0012168-33</t>
  </si>
  <si>
    <t>6439-11</t>
  </si>
  <si>
    <t>[20466]</t>
  </si>
  <si>
    <t>6439-12-Chaqueta Cuarto Frío</t>
  </si>
  <si>
    <t>COS-0012168-34</t>
  </si>
  <si>
    <t>6439-12</t>
  </si>
  <si>
    <t>[20529]</t>
  </si>
  <si>
    <t>[20467]</t>
  </si>
  <si>
    <t>6439-13-Cofia</t>
  </si>
  <si>
    <t>COS-0012168-35</t>
  </si>
  <si>
    <t>6439-13</t>
  </si>
  <si>
    <t>[20383]</t>
  </si>
  <si>
    <t>6439-14-Cofia</t>
  </si>
  <si>
    <t>COS-0012168-36</t>
  </si>
  <si>
    <t>6439-14</t>
  </si>
  <si>
    <t>[20384]</t>
  </si>
  <si>
    <t>6439-15-Cofia</t>
  </si>
  <si>
    <t>COS-0012168-37</t>
  </si>
  <si>
    <t>6439-15</t>
  </si>
  <si>
    <t>[20385]</t>
  </si>
  <si>
    <t>6436-1-Chaqueta Rompevientos</t>
  </si>
  <si>
    <t>COS-0012162-2</t>
  </si>
  <si>
    <t>2025-11-28T20:20:28Z</t>
  </si>
  <si>
    <t>6436-1</t>
  </si>
  <si>
    <t>[20509]</t>
  </si>
  <si>
    <t>COS-0012162</t>
  </si>
  <si>
    <t>CHAQUETAS CORTAVIENTOS  EL CORRAL TRADICIONAL</t>
  </si>
  <si>
    <t>[20375]</t>
  </si>
  <si>
    <t>6436-2-Chaqueta Rompevientos</t>
  </si>
  <si>
    <t>COS-0012162-3</t>
  </si>
  <si>
    <t>6436-2</t>
  </si>
  <si>
    <t>[20510]</t>
  </si>
  <si>
    <t>[20376]</t>
  </si>
  <si>
    <t>6436-3-Chaqueta Rompevientos</t>
  </si>
  <si>
    <t>COS-0012162-4</t>
  </si>
  <si>
    <t>6436-3</t>
  </si>
  <si>
    <t>[20511]</t>
  </si>
  <si>
    <t>[20422]</t>
  </si>
  <si>
    <t>6435-1-Chaqueta Sport</t>
  </si>
  <si>
    <t>COS-0012161-21</t>
  </si>
  <si>
    <t>2025-11-28T19:47:53Z</t>
  </si>
  <si>
    <t>6435-1</t>
  </si>
  <si>
    <t>[20507]</t>
  </si>
  <si>
    <t>COS-0012161</t>
  </si>
  <si>
    <t>CHAQUETA  DOMICILIARIO CORRAL TRAD. INGRESOS</t>
  </si>
  <si>
    <t>[20414]</t>
  </si>
  <si>
    <t>6433-1-BATA TIPO LABORATORIO</t>
  </si>
  <si>
    <t>COS-0012156-3</t>
  </si>
  <si>
    <t>BATA TIPO LABORATORIO</t>
  </si>
  <si>
    <t>2025-11-27T21:11:54Z</t>
  </si>
  <si>
    <t>6433-1</t>
  </si>
  <si>
    <t>[20512]</t>
  </si>
  <si>
    <t>COS-0012156</t>
  </si>
  <si>
    <t>Dotación Stock Producción  Planta Aco Chía -Diciembre 2025</t>
  </si>
  <si>
    <t>6433-2-BATA TIPO LABORATORIO</t>
  </si>
  <si>
    <t>COS-0012156-4</t>
  </si>
  <si>
    <t>6433-2</t>
  </si>
  <si>
    <t>[20513]</t>
  </si>
  <si>
    <t>6433-3-Bata quirúrgica</t>
  </si>
  <si>
    <t>COS-0012156-5</t>
  </si>
  <si>
    <t>6433-3</t>
  </si>
  <si>
    <t>[20515]</t>
  </si>
  <si>
    <t>6433-4-Buzo / Cerrado</t>
  </si>
  <si>
    <t>COS-0012156-6</t>
  </si>
  <si>
    <t>6433-4</t>
  </si>
  <si>
    <t>[20504]</t>
  </si>
  <si>
    <t>[20389]</t>
  </si>
  <si>
    <t>6433-5-Camiseta Dril</t>
  </si>
  <si>
    <t>COS-0012156-7</t>
  </si>
  <si>
    <t>6433-5</t>
  </si>
  <si>
    <t>[20501]</t>
  </si>
  <si>
    <t>6433-6-Camiseta Dril</t>
  </si>
  <si>
    <t>COS-0012156-8</t>
  </si>
  <si>
    <t>6433-6</t>
  </si>
  <si>
    <t>[20502]</t>
  </si>
  <si>
    <t>6433-7-Pasamontañas</t>
  </si>
  <si>
    <t>COS-0012156-14</t>
  </si>
  <si>
    <t>6433-7</t>
  </si>
  <si>
    <t>[20355]</t>
  </si>
  <si>
    <t>6433-8-Cofia</t>
  </si>
  <si>
    <t>COS-0012156-15</t>
  </si>
  <si>
    <t>6433-8</t>
  </si>
  <si>
    <t>[20356]</t>
  </si>
  <si>
    <t>6433-9-Medias Cuarto Frio</t>
  </si>
  <si>
    <t>COS-0012156-18</t>
  </si>
  <si>
    <t>6433-9</t>
  </si>
  <si>
    <t>[20347]</t>
  </si>
  <si>
    <t>6433-10-Pantalón dotación</t>
  </si>
  <si>
    <t>COS-0012156-22</t>
  </si>
  <si>
    <t>6433-10</t>
  </si>
  <si>
    <t>[20525]</t>
  </si>
  <si>
    <t>[20399]</t>
  </si>
  <si>
    <t>6433-12-Cofia</t>
  </si>
  <si>
    <t>COS-0012156-35</t>
  </si>
  <si>
    <t>6433-12</t>
  </si>
  <si>
    <t>[20380]</t>
  </si>
  <si>
    <t>6433-13-Cofia</t>
  </si>
  <si>
    <t>COS-0012156-36</t>
  </si>
  <si>
    <t>6433-13</t>
  </si>
  <si>
    <t>[20381]</t>
  </si>
  <si>
    <t>6433-14-Cofia</t>
  </si>
  <si>
    <t>COS-0012156-37</t>
  </si>
  <si>
    <t>6433-14</t>
  </si>
  <si>
    <t>[20382]</t>
  </si>
  <si>
    <t>6430-1-Camibuzo</t>
  </si>
  <si>
    <t>6430-1</t>
  </si>
  <si>
    <t>[20498 20476 20451 20444 20443]</t>
  </si>
  <si>
    <t>[20207]</t>
  </si>
  <si>
    <t>6428-1-Saco Tejido</t>
  </si>
  <si>
    <t>COS-0012142-2</t>
  </si>
  <si>
    <t>2025-11-25T16:58:38Z</t>
  </si>
  <si>
    <t>6428-1</t>
  </si>
  <si>
    <t>[20538]</t>
  </si>
  <si>
    <t>COS-0012142</t>
  </si>
  <si>
    <t>Sacos Ramada  (PA)</t>
  </si>
  <si>
    <t>6425-1-POLO MANGA CORTA</t>
  </si>
  <si>
    <t>COS-0012136-10</t>
  </si>
  <si>
    <t>2025-11-24T20:33:03Z</t>
  </si>
  <si>
    <t>6425-1</t>
  </si>
  <si>
    <t>[20483]</t>
  </si>
  <si>
    <t>COS-0012136</t>
  </si>
  <si>
    <t>PEDIDO CAMISETAS POLO ENTRENAMIENTO NOVIEMBRE 2025</t>
  </si>
  <si>
    <t>[20371]</t>
  </si>
  <si>
    <t>6425-2-POLO MANGA CORTA</t>
  </si>
  <si>
    <t>COS-0012136-2</t>
  </si>
  <si>
    <t>2025-11-24T20:56:38Z</t>
  </si>
  <si>
    <t>6425-2</t>
  </si>
  <si>
    <t>[20484]</t>
  </si>
  <si>
    <t>[21060 20372]</t>
  </si>
  <si>
    <t>6422-1-Chaleco Liso</t>
  </si>
  <si>
    <t>COS-0012132-2</t>
  </si>
  <si>
    <t>2025-11-24T13:55:50Z</t>
  </si>
  <si>
    <t>6422-1</t>
  </si>
  <si>
    <t>[20134]</t>
  </si>
  <si>
    <t>COS-0012132</t>
  </si>
  <si>
    <t>PEDIDO CHALECOS SILTARA  NOVIEMBRE  2025</t>
  </si>
  <si>
    <t>6421-1-CAMISA MANGA LARGA</t>
  </si>
  <si>
    <t>COS-0012129-2</t>
  </si>
  <si>
    <t>Grupo A</t>
  </si>
  <si>
    <t>2025-11-21T13:02:28Z</t>
  </si>
  <si>
    <t>6421-1</t>
  </si>
  <si>
    <t>[20453]</t>
  </si>
  <si>
    <t>COS-0012129</t>
  </si>
  <si>
    <t>PEDIDO CAMISAS CHENEME GRUPO A NOVIEMBRE 2025</t>
  </si>
  <si>
    <t>[20336]</t>
  </si>
  <si>
    <t>6421-2-CAMISA MANGA LARGA</t>
  </si>
  <si>
    <t>COS-0012129-3</t>
  </si>
  <si>
    <t>6421-2</t>
  </si>
  <si>
    <t>[20446]</t>
  </si>
  <si>
    <t>[20337]</t>
  </si>
  <si>
    <t>6421-3-CAMISA MANGA LARGA</t>
  </si>
  <si>
    <t>COS-0012129-4</t>
  </si>
  <si>
    <t>6421-3</t>
  </si>
  <si>
    <t>[20447]</t>
  </si>
  <si>
    <t>[20338]</t>
  </si>
  <si>
    <t>6421-4-CAMISA MANGA LARGA</t>
  </si>
  <si>
    <t>COS-0012129-5</t>
  </si>
  <si>
    <t>6421-4</t>
  </si>
  <si>
    <t>[20448]</t>
  </si>
  <si>
    <t>[20339]</t>
  </si>
  <si>
    <t>2025-11-21T13:28:28Z</t>
  </si>
  <si>
    <t>6421-5-CAMISA MANGA LARGA</t>
  </si>
  <si>
    <t>6421-5</t>
  </si>
  <si>
    <t>[20449]</t>
  </si>
  <si>
    <t>[20340]</t>
  </si>
  <si>
    <t>6415-1-Camibuzo</t>
  </si>
  <si>
    <t>COS-0011982-26</t>
  </si>
  <si>
    <t>2025-11-21T20:14:04Z</t>
  </si>
  <si>
    <t>6415-1</t>
  </si>
  <si>
    <t>[20206]</t>
  </si>
  <si>
    <t>2025-10-23T17:55:48Z</t>
  </si>
  <si>
    <t>2025-11-25T05:04:45Z</t>
  </si>
  <si>
    <t>[20025]</t>
  </si>
  <si>
    <t>2025-10-23T18:05:46Z</t>
  </si>
  <si>
    <t>6384-1-CAMISA MANGA LARGA</t>
  </si>
  <si>
    <t>COS-0012022-2</t>
  </si>
  <si>
    <t>PUNTO DE PAGO 1</t>
  </si>
  <si>
    <t>2025-10-31T11:46:36Z</t>
  </si>
  <si>
    <t>6384-1</t>
  </si>
  <si>
    <t>[20202]</t>
  </si>
  <si>
    <t>COS-0012022</t>
  </si>
  <si>
    <t>Dotación  Conred Diciembre 2025</t>
  </si>
  <si>
    <t>[20106]</t>
  </si>
  <si>
    <t>6384-2-CAMISA MANGA LARGA</t>
  </si>
  <si>
    <t>COS-0012022-3</t>
  </si>
  <si>
    <t>6384-2</t>
  </si>
  <si>
    <t>[20192]</t>
  </si>
  <si>
    <t>[20283]</t>
  </si>
  <si>
    <t>6384-3-CHAQUETA SPORT</t>
  </si>
  <si>
    <t>COS-0012022-5</t>
  </si>
  <si>
    <t>CHAQUETA SPORT</t>
  </si>
  <si>
    <t>6384-3</t>
  </si>
  <si>
    <t>[20147]</t>
  </si>
  <si>
    <t>[20260]</t>
  </si>
  <si>
    <t>6383-1-CAMISA MANGA LARGA</t>
  </si>
  <si>
    <t>COS-0012014-2</t>
  </si>
  <si>
    <t>2025-10-29T20:14:14Z</t>
  </si>
  <si>
    <t>6383-1</t>
  </si>
  <si>
    <t>[20105]</t>
  </si>
  <si>
    <t>COS-0012014</t>
  </si>
  <si>
    <t>Dotación Punto De Pago Diciembre   2025</t>
  </si>
  <si>
    <t>[20201]</t>
  </si>
  <si>
    <t>6383-2-CAMISA MANGA LARGA</t>
  </si>
  <si>
    <t>COS-0012014-3</t>
  </si>
  <si>
    <t>6383-2</t>
  </si>
  <si>
    <t>[20021]</t>
  </si>
  <si>
    <t>[20135]</t>
  </si>
  <si>
    <t>6383-3-CAMISA MANGA LARGA</t>
  </si>
  <si>
    <t>COS-0012014-4</t>
  </si>
  <si>
    <t>6383-3</t>
  </si>
  <si>
    <t>[20282]</t>
  </si>
  <si>
    <t>[20187]</t>
  </si>
  <si>
    <t>6383-4-camisa</t>
  </si>
  <si>
    <t>COS-0012014-5</t>
  </si>
  <si>
    <t>6383-4</t>
  </si>
  <si>
    <t>[20165]</t>
  </si>
  <si>
    <t>[20033]</t>
  </si>
  <si>
    <t>6383-5-Pantalón dotación</t>
  </si>
  <si>
    <t>COS-0012014-6</t>
  </si>
  <si>
    <t>6383-5</t>
  </si>
  <si>
    <t>[20132]</t>
  </si>
  <si>
    <t>6383-6-Pantalón dotación</t>
  </si>
  <si>
    <t>COS-0012014-7</t>
  </si>
  <si>
    <t>6383-6</t>
  </si>
  <si>
    <t>[19969]</t>
  </si>
  <si>
    <t>6383-7-Pantalón dotación</t>
  </si>
  <si>
    <t>COS-0012014-8</t>
  </si>
  <si>
    <t>6383-7</t>
  </si>
  <si>
    <t>[19970]</t>
  </si>
  <si>
    <t>6383-8-Pantalón dotación</t>
  </si>
  <si>
    <t>COS-0012014-9</t>
  </si>
  <si>
    <t>6383-8</t>
  </si>
  <si>
    <t>[20133]</t>
  </si>
  <si>
    <t>6383-11-Camiseta polo</t>
  </si>
  <si>
    <t>COS-0012014-13</t>
  </si>
  <si>
    <t>6383-11</t>
  </si>
  <si>
    <t>[20204]</t>
  </si>
  <si>
    <t>6383-12-Camiseta polo</t>
  </si>
  <si>
    <t>COS-0012014-14</t>
  </si>
  <si>
    <t>6383-12</t>
  </si>
  <si>
    <t>[20205]</t>
  </si>
  <si>
    <t>6383-13-Termica</t>
  </si>
  <si>
    <t>COS-0012014-15</t>
  </si>
  <si>
    <t>Termica</t>
  </si>
  <si>
    <t>6383-13</t>
  </si>
  <si>
    <t>[20145]</t>
  </si>
  <si>
    <t>[20261]</t>
  </si>
  <si>
    <t>6383-14-Termica</t>
  </si>
  <si>
    <t>COS-0012014-16</t>
  </si>
  <si>
    <t>6383-14</t>
  </si>
  <si>
    <t>[20146]</t>
  </si>
  <si>
    <t>[20262]</t>
  </si>
  <si>
    <t>6382-1-Camiseta polo</t>
  </si>
  <si>
    <t>COS-0012017-6</t>
  </si>
  <si>
    <t>2025-10-30T16:33:26Z</t>
  </si>
  <si>
    <t>6382-1</t>
  </si>
  <si>
    <t>[20228]</t>
  </si>
  <si>
    <t>COS-0012017</t>
  </si>
  <si>
    <t>DOTACION COORDINADOR  PAPA JHONS OCTUBRE - DICIEMBRE 2025</t>
  </si>
  <si>
    <t>[20141]</t>
  </si>
  <si>
    <t>2025-10-30T16:48:42Z</t>
  </si>
  <si>
    <t>6382-2-Camiseta polo</t>
  </si>
  <si>
    <t>COS-0012017-7</t>
  </si>
  <si>
    <t>6382-2</t>
  </si>
  <si>
    <t>[20230]</t>
  </si>
  <si>
    <t>[20142]</t>
  </si>
  <si>
    <t>6382-3-Camiseta polo</t>
  </si>
  <si>
    <t>COS-0012017-8</t>
  </si>
  <si>
    <t>6382-3</t>
  </si>
  <si>
    <t>[20288]</t>
  </si>
  <si>
    <t>[20166]</t>
  </si>
  <si>
    <t>6382-4-Camiseta polo</t>
  </si>
  <si>
    <t>COS-0012017-4</t>
  </si>
  <si>
    <t>2025-10-30T16:48:13Z</t>
  </si>
  <si>
    <t>6382-4</t>
  </si>
  <si>
    <t>[20229]</t>
  </si>
  <si>
    <t>[20143]</t>
  </si>
  <si>
    <t>6382-5-Camiseta polo</t>
  </si>
  <si>
    <t>COS-0012017-5</t>
  </si>
  <si>
    <t>2025-10-30T16:48:28Z</t>
  </si>
  <si>
    <t>6382-5</t>
  </si>
  <si>
    <t>[20231]</t>
  </si>
  <si>
    <t>[20144]</t>
  </si>
  <si>
    <t>6382-6-Camiseta polo</t>
  </si>
  <si>
    <t>6382-6</t>
  </si>
  <si>
    <t>[20289]</t>
  </si>
  <si>
    <t>[20167]</t>
  </si>
  <si>
    <t>6381-1-CAMISA MANGA LARGA</t>
  </si>
  <si>
    <t>COS-0012012-2</t>
  </si>
  <si>
    <t>2025-10-29T19:20:14Z</t>
  </si>
  <si>
    <t>6381-1</t>
  </si>
  <si>
    <t>[20360]</t>
  </si>
  <si>
    <t>COS-0012012</t>
  </si>
  <si>
    <t>Uniformes Silver Collection (PA)</t>
  </si>
  <si>
    <t>[20285]</t>
  </si>
  <si>
    <t>6381-2-Pantalón dotación</t>
  </si>
  <si>
    <t>COS-0012012-3</t>
  </si>
  <si>
    <t>6381-2</t>
  </si>
  <si>
    <t>[20263]</t>
  </si>
  <si>
    <t>2025-10-29T21:41:11Z</t>
  </si>
  <si>
    <t>6381-3-CAMISA MANGA LARGA</t>
  </si>
  <si>
    <t>6381-3</t>
  </si>
  <si>
    <t>[20361]</t>
  </si>
  <si>
    <t>[20286]</t>
  </si>
  <si>
    <t>6381-4-Pantalón dotación</t>
  </si>
  <si>
    <t>COS-0012012-4</t>
  </si>
  <si>
    <t>2025-10-29T21:42:13Z</t>
  </si>
  <si>
    <t>6381-4</t>
  </si>
  <si>
    <t>[20264]</t>
  </si>
  <si>
    <t>6380-2-OVEROL ENTERIZO</t>
  </si>
  <si>
    <t>COS-0012015-19</t>
  </si>
  <si>
    <t>2025-10-29T21:04:46Z</t>
  </si>
  <si>
    <t>6380-2</t>
  </si>
  <si>
    <t>[19935]</t>
  </si>
  <si>
    <t>COS-0012015</t>
  </si>
  <si>
    <t>DOTACION MATERNA  PAPA JHONS  OCTUBRE - DICIEMBRE 2025</t>
  </si>
  <si>
    <t>6379-1-CAMISA MANGA LARGA</t>
  </si>
  <si>
    <t>COS-0012004-5</t>
  </si>
  <si>
    <t>Alfred</t>
  </si>
  <si>
    <t>2025-10-28T17:17:38Z</t>
  </si>
  <si>
    <t>6379-1</t>
  </si>
  <si>
    <t>[20246]</t>
  </si>
  <si>
    <t>COS-0012004</t>
  </si>
  <si>
    <t>Dotación  Alfred Octubre-Diciembre  2025</t>
  </si>
  <si>
    <t>[20351]</t>
  </si>
  <si>
    <t>6379-2-camisa</t>
  </si>
  <si>
    <t>COS-0012004-6</t>
  </si>
  <si>
    <t>6379-2</t>
  </si>
  <si>
    <t>[20247]</t>
  </si>
  <si>
    <t>[20352]</t>
  </si>
  <si>
    <t>6379-3-CAMISA MANGA CORTA</t>
  </si>
  <si>
    <t>COS-0012004-8</t>
  </si>
  <si>
    <t>2025-10-28T17:28:08Z</t>
  </si>
  <si>
    <t>6379-3</t>
  </si>
  <si>
    <t>[20249]</t>
  </si>
  <si>
    <t>[20353]</t>
  </si>
  <si>
    <t>6379-4-BLUSA MANGA CORTA</t>
  </si>
  <si>
    <t>COS-0012004-9</t>
  </si>
  <si>
    <t>2025-10-28T17:28:21Z</t>
  </si>
  <si>
    <t>6379-4</t>
  </si>
  <si>
    <t>[20248]</t>
  </si>
  <si>
    <t>[20354]</t>
  </si>
  <si>
    <t>6379-5-POLO MANGA CORTA</t>
  </si>
  <si>
    <t>6379-5</t>
  </si>
  <si>
    <t>[20252]</t>
  </si>
  <si>
    <t>[20365]</t>
  </si>
  <si>
    <t>6379-6-POLO MANGA CORTA</t>
  </si>
  <si>
    <t>COS-0012004-7</t>
  </si>
  <si>
    <t>6379-6</t>
  </si>
  <si>
    <t>[20253]</t>
  </si>
  <si>
    <t>[20366]</t>
  </si>
  <si>
    <t>6379-7-PANTALÓN  CALLE  DAMA</t>
  </si>
  <si>
    <t>COS-0012004-4</t>
  </si>
  <si>
    <t>6379-7</t>
  </si>
  <si>
    <t>[20193]</t>
  </si>
  <si>
    <t>6379-8-PANTALÓN TIPO CALLE CABALLERO</t>
  </si>
  <si>
    <t>COS-0012004-3</t>
  </si>
  <si>
    <t>6379-8</t>
  </si>
  <si>
    <t>[20194]</t>
  </si>
  <si>
    <t>6379-9-CHAQUETA SPORT</t>
  </si>
  <si>
    <t>COS-0012004-2</t>
  </si>
  <si>
    <t>6379-9</t>
  </si>
  <si>
    <t>[20496]</t>
  </si>
  <si>
    <t>6378-1-BATA CHEF</t>
  </si>
  <si>
    <t>COS-0012003-2</t>
  </si>
  <si>
    <t>BATA CHEF</t>
  </si>
  <si>
    <t>2025-10-28T14:10:32Z</t>
  </si>
  <si>
    <t>6378-1</t>
  </si>
  <si>
    <t>[19749]</t>
  </si>
  <si>
    <t>COS-0012003</t>
  </si>
  <si>
    <t>PEDIDO  BATA CHEF  EQUIPO DE IMNOVACION Y DESARROLLO OCTUBRE 2025</t>
  </si>
  <si>
    <t>[20094]</t>
  </si>
  <si>
    <t>2025-10-28T14:11:24Z</t>
  </si>
  <si>
    <t>6378-2-BATA CHEF</t>
  </si>
  <si>
    <t>6378-2</t>
  </si>
  <si>
    <t>[19750]</t>
  </si>
  <si>
    <t>[20095]</t>
  </si>
  <si>
    <t>6378-3-BATA CHEF</t>
  </si>
  <si>
    <t>COS-0012003-3</t>
  </si>
  <si>
    <t>2025-10-28T14:12:00Z</t>
  </si>
  <si>
    <t>6378-3</t>
  </si>
  <si>
    <t>[20188]</t>
  </si>
  <si>
    <t>[20096]</t>
  </si>
  <si>
    <t>6378-4-BATA CHEF</t>
  </si>
  <si>
    <t>COS-0012003-4</t>
  </si>
  <si>
    <t>2025-10-28T14:12:12Z</t>
  </si>
  <si>
    <t>6378-4</t>
  </si>
  <si>
    <t>[20189]</t>
  </si>
  <si>
    <t>[20097]</t>
  </si>
  <si>
    <t>6377-1-camisa</t>
  </si>
  <si>
    <t>COS-0011996-2</t>
  </si>
  <si>
    <t>2025-10-27T17:00:46Z</t>
  </si>
  <si>
    <t>6377-1</t>
  </si>
  <si>
    <t>[20226]</t>
  </si>
  <si>
    <t>COS-0011996</t>
  </si>
  <si>
    <t>PRENDAS   COORDINADOR   EL CORRAL OCTUBRE - NOVIEMBRE 2025</t>
  </si>
  <si>
    <t>[20125]</t>
  </si>
  <si>
    <t>6377-2-CAMISA MANGA LARGA</t>
  </si>
  <si>
    <t>COS-0011996-3</t>
  </si>
  <si>
    <t>6377-2</t>
  </si>
  <si>
    <t>[20227]</t>
  </si>
  <si>
    <t>[20126]</t>
  </si>
  <si>
    <t>6377-3-CAMISA MANGA LARGA</t>
  </si>
  <si>
    <t>COS-0011996-4</t>
  </si>
  <si>
    <t>6377-3</t>
  </si>
  <si>
    <t>[20190]</t>
  </si>
  <si>
    <t>[20107]</t>
  </si>
  <si>
    <t>2025-10-27T18:40:41Z</t>
  </si>
  <si>
    <t>6377-4-camisa</t>
  </si>
  <si>
    <t>6377-4</t>
  </si>
  <si>
    <t>[20191]</t>
  </si>
  <si>
    <t>[20108]</t>
  </si>
  <si>
    <t>6376-2-Buzo / Cerrado</t>
  </si>
  <si>
    <t>COS-0011994-6</t>
  </si>
  <si>
    <t>2025-10-27T16:07:01Z</t>
  </si>
  <si>
    <t>6376-2</t>
  </si>
  <si>
    <t>[20168]</t>
  </si>
  <si>
    <t>COS-0011994</t>
  </si>
  <si>
    <t>Busos Hodies Colompack Octubre 2025</t>
  </si>
  <si>
    <t>Dotación Planta Aco Chia y Calle 80 Adicional Planta Logística Octubre   2025</t>
  </si>
  <si>
    <t>6376-3-Chaqueta Cuarto Frío</t>
  </si>
  <si>
    <t>COS-0011994-15</t>
  </si>
  <si>
    <t>6376-3</t>
  </si>
  <si>
    <t>[20169]</t>
  </si>
  <si>
    <t>[20016]</t>
  </si>
  <si>
    <t>6376-4-Chaqueta Cuarto Frío</t>
  </si>
  <si>
    <t>COS-0011994-16</t>
  </si>
  <si>
    <t>6376-4</t>
  </si>
  <si>
    <t>[20170]</t>
  </si>
  <si>
    <t>[20017]</t>
  </si>
  <si>
    <t>6376-5-Chaqueta Cuarto Frío</t>
  </si>
  <si>
    <t>COS-0011994-43</t>
  </si>
  <si>
    <t>2025-10-27T16:31:13Z</t>
  </si>
  <si>
    <t>6376-5</t>
  </si>
  <si>
    <t>[20171]</t>
  </si>
  <si>
    <t>[20018]</t>
  </si>
  <si>
    <t>6376-6-Chaqueta Sport</t>
  </si>
  <si>
    <t>COS-0011994-17</t>
  </si>
  <si>
    <t>6376-6</t>
  </si>
  <si>
    <t>[19949]</t>
  </si>
  <si>
    <t>[20052 20051 19919 19918]</t>
  </si>
  <si>
    <t>6376-7-Cofia</t>
  </si>
  <si>
    <t>COS-0011994-21</t>
  </si>
  <si>
    <t>6376-7</t>
  </si>
  <si>
    <t>[20020]</t>
  </si>
  <si>
    <t>6376-8-Medias Cuarto Frio</t>
  </si>
  <si>
    <t>COS-0011994-23</t>
  </si>
  <si>
    <t>6376-8</t>
  </si>
  <si>
    <t>[20013]</t>
  </si>
  <si>
    <t>6376-11-Pantalón  Cuarto Frio</t>
  </si>
  <si>
    <t>COS-0011994-27</t>
  </si>
  <si>
    <t>6376-11</t>
  </si>
  <si>
    <t>[20010]</t>
  </si>
  <si>
    <t>6376-12-Pantalón  Cuarto Frio</t>
  </si>
  <si>
    <t>COS-0011994-40</t>
  </si>
  <si>
    <t>6376-12</t>
  </si>
  <si>
    <t>[20011]</t>
  </si>
  <si>
    <t>6376-13-Pantalón  Cuarto Frio</t>
  </si>
  <si>
    <t>COS-0011994-41</t>
  </si>
  <si>
    <t>6376-13</t>
  </si>
  <si>
    <t>[20012]</t>
  </si>
  <si>
    <t>6376-14-Pantalón Flecce</t>
  </si>
  <si>
    <t>COS-0011994-31</t>
  </si>
  <si>
    <t>Pantalón Flecce</t>
  </si>
  <si>
    <t>6376-14</t>
  </si>
  <si>
    <t>[20098]</t>
  </si>
  <si>
    <t>[19977]</t>
  </si>
  <si>
    <t>6374-1-Tula</t>
  </si>
  <si>
    <t>COS-0011992-2</t>
  </si>
  <si>
    <t>TRANSPORTES Y SERVICIOS  TRANSER S.A</t>
  </si>
  <si>
    <t>2025-10-24T21:00:30Z</t>
  </si>
  <si>
    <t>6374-1</t>
  </si>
  <si>
    <t>[19908]</t>
  </si>
  <si>
    <t>COS-0011992</t>
  </si>
  <si>
    <t>Polos</t>
  </si>
  <si>
    <t>6373-1-Chaqueta Sport</t>
  </si>
  <si>
    <t>COS-0011990-2</t>
  </si>
  <si>
    <t>2025-10-24T18:33:21Z</t>
  </si>
  <si>
    <t>6373-1</t>
  </si>
  <si>
    <t>[20014]</t>
  </si>
  <si>
    <t>COS-0011990</t>
  </si>
  <si>
    <t>PEDIDO CHAQUETAS ROMPEVIENTOS  Y GORRAS ACO OCTUBRE 2025</t>
  </si>
  <si>
    <t>[19946]</t>
  </si>
  <si>
    <t>6373-2-Chaqueta Sport</t>
  </si>
  <si>
    <t>COS-0011990-3</t>
  </si>
  <si>
    <t>2025-10-24T20:04:32Z</t>
  </si>
  <si>
    <t>6373-2</t>
  </si>
  <si>
    <t>[20015]</t>
  </si>
  <si>
    <t>[19947]</t>
  </si>
  <si>
    <t>6372-1-Buzo / Cerrado</t>
  </si>
  <si>
    <t>COS-0011983-2</t>
  </si>
  <si>
    <t>Solumn Health</t>
  </si>
  <si>
    <t>2025-10-23T18:24:45Z</t>
  </si>
  <si>
    <t>6372-1</t>
  </si>
  <si>
    <t>[19627]</t>
  </si>
  <si>
    <t>COS-0011983</t>
  </si>
  <si>
    <t>Pedido Prendas Solumn Health  Octubre  2025</t>
  </si>
  <si>
    <t>6372-2-T-SHIRT MANGA CORTA</t>
  </si>
  <si>
    <t>COS-0011983-3</t>
  </si>
  <si>
    <t>6372-2</t>
  </si>
  <si>
    <t>[19629]</t>
  </si>
  <si>
    <t>6372-3-Gorra seis cascos</t>
  </si>
  <si>
    <t>COS-0011983-4</t>
  </si>
  <si>
    <t>6372-3</t>
  </si>
  <si>
    <t>[19630]</t>
  </si>
  <si>
    <t>6371-1-CHALECO REFLECTIVO</t>
  </si>
  <si>
    <t>COS-0011439-24</t>
  </si>
  <si>
    <t>2025-10-23T18:09:47Z</t>
  </si>
  <si>
    <t>6371-1</t>
  </si>
  <si>
    <t>[20303]</t>
  </si>
  <si>
    <t>COS-0011439</t>
  </si>
  <si>
    <t>[20432]</t>
  </si>
  <si>
    <t>6371-2-Conjunto antifluido</t>
  </si>
  <si>
    <t>6371-2</t>
  </si>
  <si>
    <t>[20349]</t>
  </si>
  <si>
    <t>[20299]</t>
  </si>
  <si>
    <t>6371-3-CHALECO REFLECTIVO</t>
  </si>
  <si>
    <t>COS-0011981-27</t>
  </si>
  <si>
    <t>2025-10-23T18:09:50Z</t>
  </si>
  <si>
    <t>6371-3</t>
  </si>
  <si>
    <t>[20637]</t>
  </si>
  <si>
    <t>COS-0011981</t>
  </si>
  <si>
    <t>REPOCISIÓN TALMA INGRESOS</t>
  </si>
  <si>
    <t>[20312]</t>
  </si>
  <si>
    <t>6370-1-Buzo / Cerrado</t>
  </si>
  <si>
    <t>COS-0011980-1</t>
  </si>
  <si>
    <t>DISMEC</t>
  </si>
  <si>
    <t>2025-10-23T16:55:32Z</t>
  </si>
  <si>
    <t>6370-1</t>
  </si>
  <si>
    <t>[19719]</t>
  </si>
  <si>
    <t>COS-0011980</t>
  </si>
  <si>
    <t>PRENDAS DISMEC OCTUBRE 2025</t>
  </si>
  <si>
    <t>6370-2-Gorra seis cascos</t>
  </si>
  <si>
    <t>COS-0011980-2</t>
  </si>
  <si>
    <t>2025-10-23T17:03:16Z</t>
  </si>
  <si>
    <t>6370-2</t>
  </si>
  <si>
    <t>[19674]</t>
  </si>
  <si>
    <t>6364-6-pantalón  overol</t>
  </si>
  <si>
    <t>COS-0011920-6</t>
  </si>
  <si>
    <t>pantalón  overol</t>
  </si>
  <si>
    <t>2025-10-22T13:04:23Z</t>
  </si>
  <si>
    <t>6364-6</t>
  </si>
  <si>
    <t>[20378]</t>
  </si>
  <si>
    <t>COS-0011920</t>
  </si>
  <si>
    <t>DOTACION CONDUCTORES TRANSER  - FLETX  OCTUBRE -DICIEMBRE 2025</t>
  </si>
  <si>
    <t>[21093 21022 20442 20379]</t>
  </si>
  <si>
    <t>6363-1-camisa</t>
  </si>
  <si>
    <t>COS-0011966-12</t>
  </si>
  <si>
    <t>Hoteles Decameron</t>
  </si>
  <si>
    <t>2025-10-21T21:30:26Z</t>
  </si>
  <si>
    <t>6363-1</t>
  </si>
  <si>
    <t>[19907]</t>
  </si>
  <si>
    <t>COS-0011966</t>
  </si>
  <si>
    <t>Chalecos brigadista</t>
  </si>
  <si>
    <t>Dotación Hoteles  Decamerón Octubre 2025</t>
  </si>
  <si>
    <t>[19953]</t>
  </si>
  <si>
    <t>2025-10-21T21:32:55Z</t>
  </si>
  <si>
    <t>6363-2-Pantalón dotación</t>
  </si>
  <si>
    <t>COS-0011966-15</t>
  </si>
  <si>
    <t>6363-2</t>
  </si>
  <si>
    <t>[20117]</t>
  </si>
  <si>
    <t>6362-2-CAMISA MANGA LARGA</t>
  </si>
  <si>
    <t>COS-0011917-3</t>
  </si>
  <si>
    <t>DI-MATIC</t>
  </si>
  <si>
    <t>2025-10-21T19:41:36Z</t>
  </si>
  <si>
    <t>6362-2</t>
  </si>
  <si>
    <t>[19669]</t>
  </si>
  <si>
    <t>COS-0011917</t>
  </si>
  <si>
    <t>Dotación Camisas  Dmatic Octubre 2 2025</t>
  </si>
  <si>
    <t>6362-3-CAMISA MANGA LARGA</t>
  </si>
  <si>
    <t>6362-3</t>
  </si>
  <si>
    <t>[19670]</t>
  </si>
  <si>
    <t>6362-4-CAMISA MANGA LARGA</t>
  </si>
  <si>
    <t>COS-0011917-4</t>
  </si>
  <si>
    <t>2025-10-21T19:42:36Z</t>
  </si>
  <si>
    <t>6362-4</t>
  </si>
  <si>
    <t>[19671]</t>
  </si>
  <si>
    <t>6324-1-Camibuzo</t>
  </si>
  <si>
    <t>COS-0011814-29</t>
  </si>
  <si>
    <t>2025-11-21T20:18:54Z</t>
  </si>
  <si>
    <t>6324-1</t>
  </si>
  <si>
    <t>[19753 19752]</t>
  </si>
  <si>
    <t>COS-0011814</t>
  </si>
  <si>
    <t>MASIVA DICIEMBRE</t>
  </si>
  <si>
    <t>6297-17-Conjunto antifluido</t>
  </si>
  <si>
    <t>6297-17</t>
  </si>
  <si>
    <t>[19774]</t>
  </si>
  <si>
    <t>6297-19-Pantalón dotación</t>
  </si>
  <si>
    <t>6297-19</t>
  </si>
  <si>
    <t>[19582]</t>
  </si>
  <si>
    <t>6297-20-CHAQUETA MICHELIN</t>
  </si>
  <si>
    <t>6297-20</t>
  </si>
  <si>
    <t>[19667]</t>
  </si>
  <si>
    <t>[19748]</t>
  </si>
  <si>
    <t>6297-21-POLO MANGA CORTA</t>
  </si>
  <si>
    <t>6297-21</t>
  </si>
  <si>
    <t>[19809]</t>
  </si>
  <si>
    <t>6297-22-Pantalón dotación</t>
  </si>
  <si>
    <t>6297-22</t>
  </si>
  <si>
    <t>[19751 19699 19698]</t>
  </si>
  <si>
    <t>Diferencia valor unitario</t>
  </si>
  <si>
    <t>Valor total OS</t>
  </si>
  <si>
    <t>valor total op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</si>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</sst>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833C8-0F15-4A87-ADB5-290AE019ED5B}" name="Tabla1" displayName="Tabla1" ref="A1:Y587" totalsRowShown="0" headerRowDxfId="17" headerRowBorderDxfId="16" tableBorderDxfId="15">
  <autoFilter ref="A1:Y587" xr:uid="{85A833C8-0F15-4A87-ADB5-290AE019ED5B}"/>
  <tableColumns count="25">
    <tableColumn id="1" xr3:uid="{64C8C616-EFAB-4D3C-A01D-1E6BC01CACFD}" name="Num-OP"/>
    <tableColumn id="2" xr3:uid="{4464ACF8-DA19-4EF8-AC52-7CF4992D4D02}" name="Secuencia"/>
    <tableColumn id="3" xr3:uid="{94B79CF7-5ECA-4CA2-B217-05597A002186}" name="OP Det"/>
    <tableColumn id="4" xr3:uid="{24E2E3AE-172D-45A4-9E3A-E02355BF2F22}" name="Producir"/>
    <tableColumn id="5" xr3:uid="{BFCD1E38-F11A-488C-AF8E-10D708BB2794}" name="Creado El" dataDxfId="14" totalsRowDxfId="13"/>
    <tableColumn id="6" xr3:uid="{4D9AB0FD-D55E-403F-8BCA-580F18B60E69}" name="Costeo_Producto"/>
    <tableColumn id="7" xr3:uid="{C20B166E-89C9-437B-BE2F-0575CD9B61A3}" name="Producto"/>
    <tableColumn id="8" xr3:uid="{3BACFAF4-2DB8-4231-9D27-6F456AAB29F2}" name="Cliente"/>
    <tableColumn id="9" xr3:uid="{48527FED-A1C6-4451-980E-6C488A33B512}" name="Cantidad Solicitada"/>
    <tableColumn id="10" xr3:uid="{968D6B5C-CC57-4F65-A895-0A69BF2EED98}" name="Id."/>
    <tableColumn id="11" xr3:uid="{F40E1C32-DE28-4FDD-89E6-E2A6493B478C}" name="Fecha" dataDxfId="12" totalsRowDxfId="11"/>
    <tableColumn id="12" xr3:uid="{DD9CAA1A-7A1B-4DC7-B289-2166158EBB0E}" name="costo_antes_iva" dataDxfId="10" totalsRowDxfId="9"/>
    <tableColumn id="13" xr3:uid="{9E3415EA-575B-49D8-BB2A-C71677B7801C}" name="fecha_creacion"/>
    <tableColumn id="14" xr3:uid="{338E4A5E-8884-459D-8BCA-EFE8CB708CD4}" name="Proceso Producción"/>
    <tableColumn id="15" xr3:uid="{49B8C130-E821-43FC-B974-23ADC4B1861B}" name="OP-D"/>
    <tableColumn id="16" xr3:uid="{32719A37-909D-482F-B8D5-0982780D41E3}" name="OS-Valor Unitario" dataDxfId="8" totalsRowDxfId="7"/>
    <tableColumn id="17" xr3:uid="{F8561042-AEDD-49C3-A033-1A8155D26C69}" name="OS-Cantidad"/>
    <tableColumn id="18" xr3:uid="{494B13A6-4D96-407B-B396-A29E7B0B9A92}" name="Num OS"/>
    <tableColumn id="19" xr3:uid="{30579657-230D-4D20-9ECE-63B4892645D2}" name="Costeo"/>
    <tableColumn id="20" xr3:uid="{68D95147-9433-4572-A3BA-21A33FE46032}" name="Nombre"/>
    <tableColumn id="21" xr3:uid="{6F9B902D-DA3C-4952-BF23-0683B3B70FEC}" name="Nombre del Comercial"/>
    <tableColumn id="22" xr3:uid="{8A3A2D1A-0453-457D-B0E3-37580DF8B25E}" name="Diferencia valor unitario" dataDxfId="6" totalsRowDxfId="5">
      <calculatedColumnFormula>Tabla1[[#This Row],[OS-Valor Unitario]]-Tabla1[[#This Row],[costo_antes_iva]]</calculatedColumnFormula>
    </tableColumn>
    <tableColumn id="23" xr3:uid="{20F3EE98-B924-4B76-B8D2-E72048A617DD}" name="Valor total OS" dataDxfId="4">
      <calculatedColumnFormula>Tabla1[[#This Row],[OS-Valor Unitario]]*Tabla1[[#This Row],[OS-Cantidad]]</calculatedColumnFormula>
    </tableColumn>
    <tableColumn id="24" xr3:uid="{5C8B4893-2939-4889-A46C-5A1A9193B1C1}" name="valor total op" dataDxfId="3" totalsRowDxfId="2">
      <calculatedColumnFormula>Tabla1[[#This Row],[costo_antes_iva]]*Tabla1[[#This Row],[OS-Cantidad]]</calculatedColumnFormula>
    </tableColumn>
    <tableColumn id="25" xr3:uid="{D6207476-A701-4586-9103-2B3DC710D87B}" name="Diferencia" dataDxfId="1" totalsRowDxfId="0">
      <calculatedColumnFormula>Tabla1[[#This Row],[Valor total OS]]-Tabla1[[#This Row],[valor total op]]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7"/>
  <sheetViews>
    <sheetView tabSelected="1" topLeftCell="L1" workbookViewId="0">
      <selection activeCell="Y2" sqref="Y2"/>
    </sheetView>
  </sheetViews>
  <sheetFormatPr baseColWidth="10" defaultColWidth="8.88671875" defaultRowHeight="14.4" x14ac:dyDescent="0.3"/>
  <cols>
    <col min="1" max="1" width="10.109375" customWidth="1"/>
    <col min="2" max="2" width="6.5546875" customWidth="1"/>
    <col min="3" max="3" width="12" customWidth="1"/>
    <col min="4" max="4" width="5.44140625" customWidth="1"/>
    <col min="5" max="5" width="10.77734375" style="5" customWidth="1"/>
    <col min="6" max="6" width="10.33203125" customWidth="1"/>
    <col min="7" max="7" width="10.6640625" customWidth="1"/>
    <col min="9" max="9" width="9.6640625" customWidth="1"/>
    <col min="11" max="11" width="10.5546875" style="5" bestFit="1" customWidth="1"/>
    <col min="12" max="12" width="16.44140625" style="3" customWidth="1"/>
    <col min="13" max="13" width="15.6640625" customWidth="1"/>
    <col min="14" max="14" width="19.5546875" customWidth="1"/>
    <col min="16" max="16" width="17.5546875" style="3" customWidth="1"/>
    <col min="17" max="17" width="13.44140625" customWidth="1"/>
    <col min="18" max="18" width="9.77734375" customWidth="1"/>
    <col min="20" max="20" width="9.77734375" customWidth="1"/>
    <col min="21" max="21" width="21.5546875" customWidth="1"/>
    <col min="22" max="22" width="13.77734375" customWidth="1"/>
    <col min="23" max="23" width="11.21875" customWidth="1"/>
    <col min="24" max="24" width="11.44140625" style="3" bestFit="1" customWidth="1"/>
    <col min="25" max="25" width="24.33203125" style="3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1446</v>
      </c>
      <c r="W1" s="6" t="s">
        <v>1447</v>
      </c>
      <c r="X1" s="7" t="s">
        <v>1448</v>
      </c>
      <c r="Y1" s="7" t="s">
        <v>1449</v>
      </c>
    </row>
    <row r="2" spans="1:25" x14ac:dyDescent="0.3">
      <c r="A2">
        <v>6623</v>
      </c>
      <c r="B2">
        <v>1</v>
      </c>
      <c r="C2" t="s">
        <v>21</v>
      </c>
      <c r="D2">
        <v>17</v>
      </c>
      <c r="E2" s="5">
        <v>46080.6</v>
      </c>
      <c r="F2" t="s">
        <v>22</v>
      </c>
      <c r="G2" t="s">
        <v>23</v>
      </c>
      <c r="H2" t="s">
        <v>24</v>
      </c>
      <c r="I2">
        <v>17</v>
      </c>
      <c r="J2">
        <v>80773968</v>
      </c>
      <c r="K2" s="5">
        <v>46079</v>
      </c>
      <c r="L2" s="3">
        <v>1300</v>
      </c>
      <c r="M2" t="s">
        <v>25</v>
      </c>
      <c r="N2" t="s">
        <v>26</v>
      </c>
      <c r="O2" t="s">
        <v>27</v>
      </c>
      <c r="P2" s="3">
        <v>1100</v>
      </c>
      <c r="Q2">
        <v>17</v>
      </c>
      <c r="R2" t="s">
        <v>28</v>
      </c>
      <c r="S2" t="s">
        <v>29</v>
      </c>
      <c r="T2" t="s">
        <v>30</v>
      </c>
      <c r="U2" t="s">
        <v>31</v>
      </c>
      <c r="V2" s="3">
        <f>Tabla1[[#This Row],[OS-Valor Unitario]]-Tabla1[[#This Row],[costo_antes_iva]]</f>
        <v>-200</v>
      </c>
      <c r="W2" s="3">
        <f>Tabla1[[#This Row],[OS-Valor Unitario]]*Tabla1[[#This Row],[OS-Cantidad]]</f>
        <v>18700</v>
      </c>
      <c r="X2" s="3">
        <f>Tabla1[[#This Row],[costo_antes_iva]]*Tabla1[[#This Row],[OS-Cantidad]]</f>
        <v>22100</v>
      </c>
      <c r="Y2" s="3">
        <f>Tabla1[[#This Row],[Valor total OS]]-Tabla1[[#This Row],[valor total op]]</f>
        <v>-3400</v>
      </c>
    </row>
    <row r="3" spans="1:25" x14ac:dyDescent="0.3">
      <c r="A3">
        <v>6623</v>
      </c>
      <c r="B3">
        <v>2</v>
      </c>
      <c r="C3" t="s">
        <v>32</v>
      </c>
      <c r="D3">
        <v>5</v>
      </c>
      <c r="E3" s="5">
        <v>46080.6</v>
      </c>
      <c r="F3" t="s">
        <v>33</v>
      </c>
      <c r="G3" t="s">
        <v>34</v>
      </c>
      <c r="H3" t="s">
        <v>24</v>
      </c>
      <c r="I3">
        <v>5</v>
      </c>
      <c r="J3">
        <v>80773973</v>
      </c>
      <c r="K3" s="5">
        <v>46079</v>
      </c>
      <c r="L3" s="3">
        <v>1300</v>
      </c>
      <c r="M3" t="s">
        <v>25</v>
      </c>
      <c r="N3" t="s">
        <v>26</v>
      </c>
      <c r="O3" t="s">
        <v>35</v>
      </c>
      <c r="P3" s="3">
        <v>1100</v>
      </c>
      <c r="Q3">
        <v>5</v>
      </c>
      <c r="R3" t="s">
        <v>36</v>
      </c>
      <c r="S3" t="s">
        <v>29</v>
      </c>
      <c r="T3" t="s">
        <v>30</v>
      </c>
      <c r="U3" t="s">
        <v>31</v>
      </c>
      <c r="V3" s="3">
        <f>Tabla1[[#This Row],[OS-Valor Unitario]]-Tabla1[[#This Row],[costo_antes_iva]]</f>
        <v>-200</v>
      </c>
      <c r="W3" s="3">
        <f>Tabla1[[#This Row],[OS-Valor Unitario]]*Tabla1[[#This Row],[OS-Cantidad]]</f>
        <v>5500</v>
      </c>
      <c r="X3" s="3">
        <f>Tabla1[[#This Row],[costo_antes_iva]]*Tabla1[[#This Row],[OS-Cantidad]]</f>
        <v>6500</v>
      </c>
      <c r="Y3" s="3">
        <f>Tabla1[[#This Row],[Valor total OS]]-Tabla1[[#This Row],[valor total op]]</f>
        <v>-1000</v>
      </c>
    </row>
    <row r="4" spans="1:25" x14ac:dyDescent="0.3">
      <c r="A4">
        <v>6623</v>
      </c>
      <c r="B4">
        <v>3</v>
      </c>
      <c r="C4" t="s">
        <v>37</v>
      </c>
      <c r="D4">
        <v>1</v>
      </c>
      <c r="E4" s="5">
        <v>46080.6</v>
      </c>
      <c r="F4" t="s">
        <v>38</v>
      </c>
      <c r="G4" t="s">
        <v>23</v>
      </c>
      <c r="H4" t="s">
        <v>24</v>
      </c>
      <c r="I4">
        <v>1</v>
      </c>
      <c r="J4">
        <v>80773980</v>
      </c>
      <c r="K4" s="5">
        <v>46079</v>
      </c>
      <c r="L4" s="3">
        <v>1300</v>
      </c>
      <c r="M4" t="s">
        <v>25</v>
      </c>
      <c r="N4" t="s">
        <v>26</v>
      </c>
      <c r="O4" t="s">
        <v>39</v>
      </c>
      <c r="P4" s="3">
        <v>1100</v>
      </c>
      <c r="Q4">
        <v>1</v>
      </c>
      <c r="R4" t="s">
        <v>40</v>
      </c>
      <c r="S4" t="s">
        <v>29</v>
      </c>
      <c r="T4" t="s">
        <v>30</v>
      </c>
      <c r="U4" t="s">
        <v>31</v>
      </c>
      <c r="V4" s="3">
        <f>Tabla1[[#This Row],[OS-Valor Unitario]]-Tabla1[[#This Row],[costo_antes_iva]]</f>
        <v>-200</v>
      </c>
      <c r="W4" s="3">
        <f>Tabla1[[#This Row],[OS-Valor Unitario]]*Tabla1[[#This Row],[OS-Cantidad]]</f>
        <v>1100</v>
      </c>
      <c r="X4" s="3">
        <f>Tabla1[[#This Row],[costo_antes_iva]]*Tabla1[[#This Row],[OS-Cantidad]]</f>
        <v>1300</v>
      </c>
      <c r="Y4" s="3">
        <f>Tabla1[[#This Row],[Valor total OS]]-Tabla1[[#This Row],[valor total op]]</f>
        <v>-200</v>
      </c>
    </row>
    <row r="5" spans="1:25" x14ac:dyDescent="0.3">
      <c r="A5">
        <v>6621</v>
      </c>
      <c r="B5">
        <v>1</v>
      </c>
      <c r="C5" t="s">
        <v>41</v>
      </c>
      <c r="D5">
        <v>500</v>
      </c>
      <c r="E5" s="5">
        <v>46080.568749999999</v>
      </c>
      <c r="F5" t="s">
        <v>42</v>
      </c>
      <c r="G5" t="s">
        <v>43</v>
      </c>
      <c r="H5" t="s">
        <v>44</v>
      </c>
      <c r="I5">
        <v>500</v>
      </c>
      <c r="J5">
        <v>78815672</v>
      </c>
      <c r="K5" s="5">
        <v>46043</v>
      </c>
      <c r="L5" s="3">
        <v>27500</v>
      </c>
      <c r="M5" t="s">
        <v>45</v>
      </c>
      <c r="N5" t="s">
        <v>46</v>
      </c>
      <c r="O5" t="s">
        <v>47</v>
      </c>
      <c r="P5" s="3">
        <v>26500</v>
      </c>
      <c r="Q5">
        <v>500</v>
      </c>
      <c r="R5" t="s">
        <v>48</v>
      </c>
      <c r="S5" t="s">
        <v>49</v>
      </c>
      <c r="T5" t="s">
        <v>50</v>
      </c>
      <c r="U5" t="s">
        <v>31</v>
      </c>
      <c r="V5" s="3">
        <f>Tabla1[[#This Row],[OS-Valor Unitario]]-Tabla1[[#This Row],[costo_antes_iva]]</f>
        <v>-1000</v>
      </c>
      <c r="W5" s="3">
        <f>Tabla1[[#This Row],[OS-Valor Unitario]]*Tabla1[[#This Row],[OS-Cantidad]]</f>
        <v>13250000</v>
      </c>
      <c r="X5" s="3">
        <f>Tabla1[[#This Row],[costo_antes_iva]]*Tabla1[[#This Row],[OS-Cantidad]]</f>
        <v>13750000</v>
      </c>
      <c r="Y5" s="3">
        <f>Tabla1[[#This Row],[Valor total OS]]-Tabla1[[#This Row],[valor total op]]</f>
        <v>-500000</v>
      </c>
    </row>
    <row r="6" spans="1:25" x14ac:dyDescent="0.3">
      <c r="A6">
        <v>6620</v>
      </c>
      <c r="B6">
        <v>9</v>
      </c>
      <c r="C6" t="s">
        <v>51</v>
      </c>
      <c r="D6">
        <v>35</v>
      </c>
      <c r="E6" s="5">
        <v>46080.533333333333</v>
      </c>
      <c r="F6" t="s">
        <v>52</v>
      </c>
      <c r="G6" t="s">
        <v>53</v>
      </c>
      <c r="H6" t="s">
        <v>54</v>
      </c>
      <c r="I6">
        <v>1</v>
      </c>
      <c r="J6">
        <v>80608068</v>
      </c>
      <c r="K6" s="5">
        <v>46077</v>
      </c>
      <c r="L6" s="3">
        <v>105000</v>
      </c>
      <c r="M6" t="s">
        <v>55</v>
      </c>
      <c r="N6" t="s">
        <v>56</v>
      </c>
      <c r="O6" t="s">
        <v>57</v>
      </c>
      <c r="P6" s="3">
        <v>95300</v>
      </c>
      <c r="Q6">
        <v>35</v>
      </c>
      <c r="R6" t="s">
        <v>58</v>
      </c>
      <c r="S6" t="s">
        <v>59</v>
      </c>
      <c r="T6" t="s">
        <v>60</v>
      </c>
      <c r="U6" t="s">
        <v>31</v>
      </c>
      <c r="V6" s="3">
        <f>Tabla1[[#This Row],[OS-Valor Unitario]]-Tabla1[[#This Row],[costo_antes_iva]]</f>
        <v>-9700</v>
      </c>
      <c r="W6" s="3">
        <f>Tabla1[[#This Row],[OS-Valor Unitario]]*Tabla1[[#This Row],[OS-Cantidad]]</f>
        <v>3335500</v>
      </c>
      <c r="X6" s="3">
        <f>Tabla1[[#This Row],[costo_antes_iva]]*Tabla1[[#This Row],[OS-Cantidad]]</f>
        <v>3675000</v>
      </c>
      <c r="Y6" s="3">
        <f>Tabla1[[#This Row],[Valor total OS]]-Tabla1[[#This Row],[valor total op]]</f>
        <v>-339500</v>
      </c>
    </row>
    <row r="7" spans="1:25" x14ac:dyDescent="0.3">
      <c r="A7">
        <v>6620</v>
      </c>
      <c r="B7">
        <v>9</v>
      </c>
      <c r="C7" t="s">
        <v>51</v>
      </c>
      <c r="D7">
        <v>35</v>
      </c>
      <c r="E7" s="5">
        <v>46080.533333333333</v>
      </c>
      <c r="F7" t="s">
        <v>52</v>
      </c>
      <c r="G7" t="s">
        <v>53</v>
      </c>
      <c r="H7" t="s">
        <v>54</v>
      </c>
      <c r="I7">
        <v>1</v>
      </c>
      <c r="J7">
        <v>80608068</v>
      </c>
      <c r="K7" s="5">
        <v>46077</v>
      </c>
      <c r="L7" s="3">
        <v>1800</v>
      </c>
      <c r="M7" t="s">
        <v>55</v>
      </c>
      <c r="N7" t="s">
        <v>26</v>
      </c>
      <c r="O7" t="s">
        <v>57</v>
      </c>
      <c r="P7" s="3">
        <v>1200</v>
      </c>
      <c r="Q7">
        <v>35</v>
      </c>
      <c r="R7" t="s">
        <v>61</v>
      </c>
      <c r="S7" t="s">
        <v>59</v>
      </c>
      <c r="T7" t="s">
        <v>60</v>
      </c>
      <c r="U7" t="s">
        <v>31</v>
      </c>
      <c r="V7" s="3">
        <f>Tabla1[[#This Row],[OS-Valor Unitario]]-Tabla1[[#This Row],[costo_antes_iva]]</f>
        <v>-600</v>
      </c>
      <c r="W7" s="3">
        <f>Tabla1[[#This Row],[OS-Valor Unitario]]*Tabla1[[#This Row],[OS-Cantidad]]</f>
        <v>42000</v>
      </c>
      <c r="X7" s="3">
        <f>Tabla1[[#This Row],[costo_antes_iva]]*Tabla1[[#This Row],[OS-Cantidad]]</f>
        <v>63000</v>
      </c>
      <c r="Y7" s="3">
        <f>Tabla1[[#This Row],[Valor total OS]]-Tabla1[[#This Row],[valor total op]]</f>
        <v>-21000</v>
      </c>
    </row>
    <row r="8" spans="1:25" x14ac:dyDescent="0.3">
      <c r="A8">
        <v>6620</v>
      </c>
      <c r="B8">
        <v>10</v>
      </c>
      <c r="C8" t="s">
        <v>62</v>
      </c>
      <c r="D8">
        <v>35</v>
      </c>
      <c r="E8" s="5">
        <v>46080.533333333333</v>
      </c>
      <c r="F8" t="s">
        <v>63</v>
      </c>
      <c r="G8" t="s">
        <v>64</v>
      </c>
      <c r="H8" t="s">
        <v>54</v>
      </c>
      <c r="I8">
        <v>1</v>
      </c>
      <c r="J8">
        <v>80608074</v>
      </c>
      <c r="K8" s="5">
        <v>46077</v>
      </c>
      <c r="L8" s="3">
        <v>22000</v>
      </c>
      <c r="M8" t="s">
        <v>55</v>
      </c>
      <c r="N8" t="s">
        <v>56</v>
      </c>
      <c r="O8" t="s">
        <v>65</v>
      </c>
      <c r="P8" s="3">
        <v>29500</v>
      </c>
      <c r="Q8">
        <v>35</v>
      </c>
      <c r="R8" t="s">
        <v>66</v>
      </c>
      <c r="S8" t="s">
        <v>59</v>
      </c>
      <c r="T8" t="s">
        <v>60</v>
      </c>
      <c r="U8" t="s">
        <v>31</v>
      </c>
      <c r="V8" s="3">
        <f>Tabla1[[#This Row],[OS-Valor Unitario]]-Tabla1[[#This Row],[costo_antes_iva]]</f>
        <v>7500</v>
      </c>
      <c r="W8" s="3">
        <f>Tabla1[[#This Row],[OS-Valor Unitario]]*Tabla1[[#This Row],[OS-Cantidad]]</f>
        <v>1032500</v>
      </c>
      <c r="X8" s="3">
        <f>Tabla1[[#This Row],[costo_antes_iva]]*Tabla1[[#This Row],[OS-Cantidad]]</f>
        <v>770000</v>
      </c>
      <c r="Y8" s="3">
        <f>Tabla1[[#This Row],[Valor total OS]]-Tabla1[[#This Row],[valor total op]]</f>
        <v>262500</v>
      </c>
    </row>
    <row r="9" spans="1:25" x14ac:dyDescent="0.3">
      <c r="A9">
        <v>6618</v>
      </c>
      <c r="B9">
        <v>1</v>
      </c>
      <c r="C9" t="s">
        <v>67</v>
      </c>
      <c r="D9">
        <v>996</v>
      </c>
      <c r="E9" s="5">
        <v>46079.680555555555</v>
      </c>
      <c r="F9" t="s">
        <v>68</v>
      </c>
      <c r="G9" t="s">
        <v>69</v>
      </c>
      <c r="H9" t="s">
        <v>70</v>
      </c>
      <c r="I9">
        <v>1</v>
      </c>
      <c r="J9">
        <v>80759138</v>
      </c>
      <c r="K9" s="5">
        <v>46079</v>
      </c>
      <c r="L9" s="3">
        <v>3600</v>
      </c>
      <c r="M9" t="s">
        <v>71</v>
      </c>
      <c r="N9" t="s">
        <v>72</v>
      </c>
      <c r="O9" t="s">
        <v>73</v>
      </c>
      <c r="P9" s="3">
        <v>3000</v>
      </c>
      <c r="Q9">
        <v>996</v>
      </c>
      <c r="R9" t="s">
        <v>74</v>
      </c>
      <c r="S9" t="s">
        <v>75</v>
      </c>
      <c r="T9" t="s">
        <v>76</v>
      </c>
      <c r="U9" t="s">
        <v>31</v>
      </c>
      <c r="V9" s="3">
        <f>Tabla1[[#This Row],[OS-Valor Unitario]]-Tabla1[[#This Row],[costo_antes_iva]]</f>
        <v>-600</v>
      </c>
      <c r="W9" s="3">
        <f>Tabla1[[#This Row],[OS-Valor Unitario]]*Tabla1[[#This Row],[OS-Cantidad]]</f>
        <v>2988000</v>
      </c>
      <c r="X9" s="3">
        <f>Tabla1[[#This Row],[costo_antes_iva]]*Tabla1[[#This Row],[OS-Cantidad]]</f>
        <v>3585600</v>
      </c>
      <c r="Y9" s="3">
        <f>Tabla1[[#This Row],[Valor total OS]]-Tabla1[[#This Row],[valor total op]]</f>
        <v>-597600</v>
      </c>
    </row>
    <row r="10" spans="1:25" x14ac:dyDescent="0.3">
      <c r="A10">
        <v>6618</v>
      </c>
      <c r="B10">
        <v>2</v>
      </c>
      <c r="C10" t="s">
        <v>77</v>
      </c>
      <c r="D10">
        <v>30</v>
      </c>
      <c r="E10" s="5">
        <v>46079.680555555555</v>
      </c>
      <c r="F10" t="s">
        <v>78</v>
      </c>
      <c r="G10" t="s">
        <v>69</v>
      </c>
      <c r="H10" t="s">
        <v>70</v>
      </c>
      <c r="I10">
        <v>1</v>
      </c>
      <c r="J10">
        <v>80759145</v>
      </c>
      <c r="K10" s="5">
        <v>46079</v>
      </c>
      <c r="L10" s="3">
        <v>3600</v>
      </c>
      <c r="M10" t="s">
        <v>71</v>
      </c>
      <c r="N10" t="s">
        <v>72</v>
      </c>
      <c r="O10" t="s">
        <v>79</v>
      </c>
      <c r="P10" s="3">
        <v>3000</v>
      </c>
      <c r="Q10">
        <v>30</v>
      </c>
      <c r="R10" t="s">
        <v>80</v>
      </c>
      <c r="S10" t="s">
        <v>75</v>
      </c>
      <c r="T10" t="s">
        <v>76</v>
      </c>
      <c r="U10" t="s">
        <v>31</v>
      </c>
      <c r="V10" s="3">
        <f>Tabla1[[#This Row],[OS-Valor Unitario]]-Tabla1[[#This Row],[costo_antes_iva]]</f>
        <v>-600</v>
      </c>
      <c r="W10" s="3">
        <f>Tabla1[[#This Row],[OS-Valor Unitario]]*Tabla1[[#This Row],[OS-Cantidad]]</f>
        <v>90000</v>
      </c>
      <c r="X10" s="3">
        <f>Tabla1[[#This Row],[costo_antes_iva]]*Tabla1[[#This Row],[OS-Cantidad]]</f>
        <v>108000</v>
      </c>
      <c r="Y10" s="3">
        <f>Tabla1[[#This Row],[Valor total OS]]-Tabla1[[#This Row],[valor total op]]</f>
        <v>-18000</v>
      </c>
    </row>
    <row r="11" spans="1:25" x14ac:dyDescent="0.3">
      <c r="A11">
        <v>6618</v>
      </c>
      <c r="B11">
        <v>3</v>
      </c>
      <c r="C11" t="s">
        <v>81</v>
      </c>
      <c r="D11">
        <v>96</v>
      </c>
      <c r="E11" s="5">
        <v>46079.680555555555</v>
      </c>
      <c r="F11" t="s">
        <v>82</v>
      </c>
      <c r="G11" t="s">
        <v>69</v>
      </c>
      <c r="H11" t="s">
        <v>70</v>
      </c>
      <c r="I11">
        <v>1</v>
      </c>
      <c r="J11">
        <v>80759154</v>
      </c>
      <c r="K11" s="5">
        <v>46079</v>
      </c>
      <c r="L11" s="3">
        <v>3600</v>
      </c>
      <c r="M11" t="s">
        <v>71</v>
      </c>
      <c r="N11" t="s">
        <v>72</v>
      </c>
      <c r="O11" t="s">
        <v>83</v>
      </c>
      <c r="P11" s="3">
        <v>3000</v>
      </c>
      <c r="Q11">
        <v>96</v>
      </c>
      <c r="R11" t="s">
        <v>84</v>
      </c>
      <c r="S11" t="s">
        <v>75</v>
      </c>
      <c r="T11" t="s">
        <v>76</v>
      </c>
      <c r="U11" t="s">
        <v>31</v>
      </c>
      <c r="V11" s="3">
        <f>Tabla1[[#This Row],[OS-Valor Unitario]]-Tabla1[[#This Row],[costo_antes_iva]]</f>
        <v>-600</v>
      </c>
      <c r="W11" s="3">
        <f>Tabla1[[#This Row],[OS-Valor Unitario]]*Tabla1[[#This Row],[OS-Cantidad]]</f>
        <v>288000</v>
      </c>
      <c r="X11" s="3">
        <f>Tabla1[[#This Row],[costo_antes_iva]]*Tabla1[[#This Row],[OS-Cantidad]]</f>
        <v>345600</v>
      </c>
      <c r="Y11" s="3">
        <f>Tabla1[[#This Row],[Valor total OS]]-Tabla1[[#This Row],[valor total op]]</f>
        <v>-57600</v>
      </c>
    </row>
    <row r="12" spans="1:25" x14ac:dyDescent="0.3">
      <c r="A12">
        <v>6618</v>
      </c>
      <c r="B12">
        <v>4</v>
      </c>
      <c r="C12" t="s">
        <v>85</v>
      </c>
      <c r="D12">
        <v>1248</v>
      </c>
      <c r="E12" s="5">
        <v>46079.680555555555</v>
      </c>
      <c r="F12" t="s">
        <v>86</v>
      </c>
      <c r="G12" t="s">
        <v>87</v>
      </c>
      <c r="H12" t="s">
        <v>70</v>
      </c>
      <c r="I12">
        <v>1</v>
      </c>
      <c r="J12">
        <v>80759162</v>
      </c>
      <c r="K12" s="5">
        <v>46079</v>
      </c>
      <c r="L12" s="3">
        <v>3600</v>
      </c>
      <c r="M12" t="s">
        <v>71</v>
      </c>
      <c r="N12" t="s">
        <v>72</v>
      </c>
      <c r="O12" t="s">
        <v>88</v>
      </c>
      <c r="P12" s="3">
        <v>3000</v>
      </c>
      <c r="Q12">
        <v>1248</v>
      </c>
      <c r="R12" t="s">
        <v>89</v>
      </c>
      <c r="S12" t="s">
        <v>75</v>
      </c>
      <c r="T12" t="s">
        <v>76</v>
      </c>
      <c r="U12" t="s">
        <v>31</v>
      </c>
      <c r="V12" s="3">
        <f>Tabla1[[#This Row],[OS-Valor Unitario]]-Tabla1[[#This Row],[costo_antes_iva]]</f>
        <v>-600</v>
      </c>
      <c r="W12" s="3">
        <f>Tabla1[[#This Row],[OS-Valor Unitario]]*Tabla1[[#This Row],[OS-Cantidad]]</f>
        <v>3744000</v>
      </c>
      <c r="X12" s="3">
        <f>Tabla1[[#This Row],[costo_antes_iva]]*Tabla1[[#This Row],[OS-Cantidad]]</f>
        <v>4492800</v>
      </c>
      <c r="Y12" s="3">
        <f>Tabla1[[#This Row],[Valor total OS]]-Tabla1[[#This Row],[valor total op]]</f>
        <v>-748800</v>
      </c>
    </row>
    <row r="13" spans="1:25" x14ac:dyDescent="0.3">
      <c r="A13">
        <v>6618</v>
      </c>
      <c r="B13">
        <v>5</v>
      </c>
      <c r="C13" t="s">
        <v>90</v>
      </c>
      <c r="D13">
        <v>26</v>
      </c>
      <c r="E13" s="5">
        <v>46079.680555555555</v>
      </c>
      <c r="F13" t="s">
        <v>91</v>
      </c>
      <c r="G13" t="s">
        <v>87</v>
      </c>
      <c r="H13" t="s">
        <v>70</v>
      </c>
      <c r="I13">
        <v>1</v>
      </c>
      <c r="J13">
        <v>80759171</v>
      </c>
      <c r="K13" s="5">
        <v>46079</v>
      </c>
      <c r="L13" s="3">
        <v>3600</v>
      </c>
      <c r="M13" t="s">
        <v>71</v>
      </c>
      <c r="N13" t="s">
        <v>72</v>
      </c>
      <c r="O13" t="s">
        <v>92</v>
      </c>
      <c r="P13" s="3">
        <v>3000</v>
      </c>
      <c r="Q13">
        <v>26</v>
      </c>
      <c r="R13" t="s">
        <v>93</v>
      </c>
      <c r="S13" t="s">
        <v>75</v>
      </c>
      <c r="T13" t="s">
        <v>76</v>
      </c>
      <c r="U13" t="s">
        <v>31</v>
      </c>
      <c r="V13" s="3">
        <f>Tabla1[[#This Row],[OS-Valor Unitario]]-Tabla1[[#This Row],[costo_antes_iva]]</f>
        <v>-600</v>
      </c>
      <c r="W13" s="3">
        <f>Tabla1[[#This Row],[OS-Valor Unitario]]*Tabla1[[#This Row],[OS-Cantidad]]</f>
        <v>78000</v>
      </c>
      <c r="X13" s="3">
        <f>Tabla1[[#This Row],[costo_antes_iva]]*Tabla1[[#This Row],[OS-Cantidad]]</f>
        <v>93600</v>
      </c>
      <c r="Y13" s="3">
        <f>Tabla1[[#This Row],[Valor total OS]]-Tabla1[[#This Row],[valor total op]]</f>
        <v>-15600</v>
      </c>
    </row>
    <row r="14" spans="1:25" x14ac:dyDescent="0.3">
      <c r="A14">
        <v>6618</v>
      </c>
      <c r="B14">
        <v>6</v>
      </c>
      <c r="C14" t="s">
        <v>94</v>
      </c>
      <c r="D14">
        <v>144</v>
      </c>
      <c r="E14" s="5">
        <v>46079.680555555555</v>
      </c>
      <c r="F14" t="s">
        <v>95</v>
      </c>
      <c r="G14" t="s">
        <v>87</v>
      </c>
      <c r="H14" t="s">
        <v>70</v>
      </c>
      <c r="I14">
        <v>1</v>
      </c>
      <c r="J14">
        <v>80759181</v>
      </c>
      <c r="K14" s="5">
        <v>46079</v>
      </c>
      <c r="L14" s="3">
        <v>3600</v>
      </c>
      <c r="M14" t="s">
        <v>71</v>
      </c>
      <c r="N14" t="s">
        <v>72</v>
      </c>
      <c r="O14" t="s">
        <v>96</v>
      </c>
      <c r="P14" s="3">
        <v>3000</v>
      </c>
      <c r="Q14">
        <v>144</v>
      </c>
      <c r="R14" t="s">
        <v>97</v>
      </c>
      <c r="S14" t="s">
        <v>75</v>
      </c>
      <c r="T14" t="s">
        <v>76</v>
      </c>
      <c r="U14" t="s">
        <v>31</v>
      </c>
      <c r="V14" s="3">
        <f>Tabla1[[#This Row],[OS-Valor Unitario]]-Tabla1[[#This Row],[costo_antes_iva]]</f>
        <v>-600</v>
      </c>
      <c r="W14" s="3">
        <f>Tabla1[[#This Row],[OS-Valor Unitario]]*Tabla1[[#This Row],[OS-Cantidad]]</f>
        <v>432000</v>
      </c>
      <c r="X14" s="3">
        <f>Tabla1[[#This Row],[costo_antes_iva]]*Tabla1[[#This Row],[OS-Cantidad]]</f>
        <v>518400</v>
      </c>
      <c r="Y14" s="3">
        <f>Tabla1[[#This Row],[Valor total OS]]-Tabla1[[#This Row],[valor total op]]</f>
        <v>-86400</v>
      </c>
    </row>
    <row r="15" spans="1:25" x14ac:dyDescent="0.3">
      <c r="A15">
        <v>6618</v>
      </c>
      <c r="B15">
        <v>11</v>
      </c>
      <c r="C15" t="s">
        <v>98</v>
      </c>
      <c r="D15">
        <v>30</v>
      </c>
      <c r="E15" s="5">
        <v>46079.680555555555</v>
      </c>
      <c r="F15" t="s">
        <v>99</v>
      </c>
      <c r="G15" t="s">
        <v>100</v>
      </c>
      <c r="H15" t="s">
        <v>70</v>
      </c>
      <c r="I15">
        <v>1</v>
      </c>
      <c r="J15">
        <v>80759211</v>
      </c>
      <c r="K15" s="5">
        <v>46079</v>
      </c>
      <c r="L15" s="3">
        <v>2300</v>
      </c>
      <c r="M15" t="s">
        <v>71</v>
      </c>
      <c r="N15" t="s">
        <v>72</v>
      </c>
      <c r="O15" t="s">
        <v>101</v>
      </c>
      <c r="P15" s="3">
        <v>4500</v>
      </c>
      <c r="Q15">
        <v>30</v>
      </c>
      <c r="R15" t="s">
        <v>102</v>
      </c>
      <c r="S15" t="s">
        <v>75</v>
      </c>
      <c r="T15" t="s">
        <v>76</v>
      </c>
      <c r="U15" t="s">
        <v>31</v>
      </c>
      <c r="V15" s="3">
        <f>Tabla1[[#This Row],[OS-Valor Unitario]]-Tabla1[[#This Row],[costo_antes_iva]]</f>
        <v>2200</v>
      </c>
      <c r="W15" s="3">
        <f>Tabla1[[#This Row],[OS-Valor Unitario]]*Tabla1[[#This Row],[OS-Cantidad]]</f>
        <v>135000</v>
      </c>
      <c r="X15" s="3">
        <f>Tabla1[[#This Row],[costo_antes_iva]]*Tabla1[[#This Row],[OS-Cantidad]]</f>
        <v>69000</v>
      </c>
      <c r="Y15" s="3">
        <f>Tabla1[[#This Row],[Valor total OS]]-Tabla1[[#This Row],[valor total op]]</f>
        <v>66000</v>
      </c>
    </row>
    <row r="16" spans="1:25" x14ac:dyDescent="0.3">
      <c r="A16">
        <v>6618</v>
      </c>
      <c r="B16">
        <v>12</v>
      </c>
      <c r="C16" t="s">
        <v>103</v>
      </c>
      <c r="D16">
        <v>30</v>
      </c>
      <c r="E16" s="5">
        <v>46079.680555555555</v>
      </c>
      <c r="F16" t="s">
        <v>104</v>
      </c>
      <c r="G16" t="s">
        <v>100</v>
      </c>
      <c r="H16" t="s">
        <v>70</v>
      </c>
      <c r="I16">
        <v>1</v>
      </c>
      <c r="J16">
        <v>80759216</v>
      </c>
      <c r="K16" s="5">
        <v>46079</v>
      </c>
      <c r="L16" s="3">
        <v>2300</v>
      </c>
      <c r="M16" t="s">
        <v>71</v>
      </c>
      <c r="N16" t="s">
        <v>72</v>
      </c>
      <c r="O16" t="s">
        <v>105</v>
      </c>
      <c r="P16" s="3">
        <v>4500</v>
      </c>
      <c r="Q16">
        <v>30</v>
      </c>
      <c r="R16" t="s">
        <v>106</v>
      </c>
      <c r="S16" t="s">
        <v>75</v>
      </c>
      <c r="T16" t="s">
        <v>76</v>
      </c>
      <c r="U16" t="s">
        <v>31</v>
      </c>
      <c r="V16" s="3">
        <f>Tabla1[[#This Row],[OS-Valor Unitario]]-Tabla1[[#This Row],[costo_antes_iva]]</f>
        <v>2200</v>
      </c>
      <c r="W16" s="3">
        <f>Tabla1[[#This Row],[OS-Valor Unitario]]*Tabla1[[#This Row],[OS-Cantidad]]</f>
        <v>135000</v>
      </c>
      <c r="X16" s="3">
        <f>Tabla1[[#This Row],[costo_antes_iva]]*Tabla1[[#This Row],[OS-Cantidad]]</f>
        <v>69000</v>
      </c>
      <c r="Y16" s="3">
        <f>Tabla1[[#This Row],[Valor total OS]]-Tabla1[[#This Row],[valor total op]]</f>
        <v>66000</v>
      </c>
    </row>
    <row r="17" spans="1:25" x14ac:dyDescent="0.3">
      <c r="A17">
        <v>6618</v>
      </c>
      <c r="B17">
        <v>13</v>
      </c>
      <c r="C17" t="s">
        <v>107</v>
      </c>
      <c r="D17">
        <v>10</v>
      </c>
      <c r="E17" s="5">
        <v>46079.680555555555</v>
      </c>
      <c r="F17" t="s">
        <v>108</v>
      </c>
      <c r="G17" t="s">
        <v>109</v>
      </c>
      <c r="H17" t="s">
        <v>70</v>
      </c>
      <c r="I17">
        <v>1</v>
      </c>
      <c r="J17">
        <v>80759227</v>
      </c>
      <c r="K17" s="5">
        <v>46079</v>
      </c>
      <c r="L17" s="3">
        <v>1200</v>
      </c>
      <c r="M17" t="s">
        <v>71</v>
      </c>
      <c r="N17" t="s">
        <v>72</v>
      </c>
      <c r="O17" t="s">
        <v>110</v>
      </c>
      <c r="P17" s="3">
        <v>2400</v>
      </c>
      <c r="Q17">
        <v>10</v>
      </c>
      <c r="R17" t="s">
        <v>111</v>
      </c>
      <c r="S17" t="s">
        <v>75</v>
      </c>
      <c r="T17" t="s">
        <v>76</v>
      </c>
      <c r="U17" t="s">
        <v>31</v>
      </c>
      <c r="V17" s="3">
        <f>Tabla1[[#This Row],[OS-Valor Unitario]]-Tabla1[[#This Row],[costo_antes_iva]]</f>
        <v>1200</v>
      </c>
      <c r="W17" s="3">
        <f>Tabla1[[#This Row],[OS-Valor Unitario]]*Tabla1[[#This Row],[OS-Cantidad]]</f>
        <v>24000</v>
      </c>
      <c r="X17" s="3">
        <f>Tabla1[[#This Row],[costo_antes_iva]]*Tabla1[[#This Row],[OS-Cantidad]]</f>
        <v>12000</v>
      </c>
      <c r="Y17" s="3">
        <f>Tabla1[[#This Row],[Valor total OS]]-Tabla1[[#This Row],[valor total op]]</f>
        <v>12000</v>
      </c>
    </row>
    <row r="18" spans="1:25" x14ac:dyDescent="0.3">
      <c r="A18">
        <v>6618</v>
      </c>
      <c r="B18">
        <v>14</v>
      </c>
      <c r="C18" t="s">
        <v>112</v>
      </c>
      <c r="D18">
        <v>10</v>
      </c>
      <c r="E18" s="5">
        <v>46079.680555555555</v>
      </c>
      <c r="F18" t="s">
        <v>113</v>
      </c>
      <c r="G18" t="s">
        <v>109</v>
      </c>
      <c r="H18" t="s">
        <v>70</v>
      </c>
      <c r="I18">
        <v>1</v>
      </c>
      <c r="J18">
        <v>80759238</v>
      </c>
      <c r="K18" s="5">
        <v>46079</v>
      </c>
      <c r="L18" s="3">
        <v>1200</v>
      </c>
      <c r="M18" t="s">
        <v>71</v>
      </c>
      <c r="N18" t="s">
        <v>72</v>
      </c>
      <c r="O18" t="s">
        <v>114</v>
      </c>
      <c r="P18" s="3">
        <v>2400</v>
      </c>
      <c r="Q18">
        <v>10</v>
      </c>
      <c r="R18" t="s">
        <v>115</v>
      </c>
      <c r="S18" t="s">
        <v>75</v>
      </c>
      <c r="T18" t="s">
        <v>76</v>
      </c>
      <c r="U18" t="s">
        <v>31</v>
      </c>
      <c r="V18" s="3">
        <f>Tabla1[[#This Row],[OS-Valor Unitario]]-Tabla1[[#This Row],[costo_antes_iva]]</f>
        <v>1200</v>
      </c>
      <c r="W18" s="3">
        <f>Tabla1[[#This Row],[OS-Valor Unitario]]*Tabla1[[#This Row],[OS-Cantidad]]</f>
        <v>24000</v>
      </c>
      <c r="X18" s="3">
        <f>Tabla1[[#This Row],[costo_antes_iva]]*Tabla1[[#This Row],[OS-Cantidad]]</f>
        <v>12000</v>
      </c>
      <c r="Y18" s="3">
        <f>Tabla1[[#This Row],[Valor total OS]]-Tabla1[[#This Row],[valor total op]]</f>
        <v>12000</v>
      </c>
    </row>
    <row r="19" spans="1:25" x14ac:dyDescent="0.3">
      <c r="A19">
        <v>6618</v>
      </c>
      <c r="B19">
        <v>14</v>
      </c>
      <c r="C19" t="s">
        <v>112</v>
      </c>
      <c r="D19">
        <v>10</v>
      </c>
      <c r="E19" s="5">
        <v>46079.680555555555</v>
      </c>
      <c r="F19" t="s">
        <v>113</v>
      </c>
      <c r="G19" t="s">
        <v>109</v>
      </c>
      <c r="H19" t="s">
        <v>70</v>
      </c>
      <c r="I19">
        <v>1</v>
      </c>
      <c r="J19">
        <v>80759238</v>
      </c>
      <c r="K19" s="5">
        <v>46079</v>
      </c>
      <c r="L19" s="3">
        <v>4000</v>
      </c>
      <c r="M19" t="s">
        <v>71</v>
      </c>
      <c r="N19" t="s">
        <v>56</v>
      </c>
      <c r="O19" t="s">
        <v>114</v>
      </c>
      <c r="P19" s="3">
        <v>4500</v>
      </c>
      <c r="Q19">
        <v>10</v>
      </c>
      <c r="R19" t="s">
        <v>116</v>
      </c>
      <c r="S19" t="s">
        <v>75</v>
      </c>
      <c r="T19" t="s">
        <v>76</v>
      </c>
      <c r="U19" t="s">
        <v>31</v>
      </c>
      <c r="V19" s="3">
        <f>Tabla1[[#This Row],[OS-Valor Unitario]]-Tabla1[[#This Row],[costo_antes_iva]]</f>
        <v>500</v>
      </c>
      <c r="W19" s="3">
        <f>Tabla1[[#This Row],[OS-Valor Unitario]]*Tabla1[[#This Row],[OS-Cantidad]]</f>
        <v>45000</v>
      </c>
      <c r="X19" s="3">
        <f>Tabla1[[#This Row],[costo_antes_iva]]*Tabla1[[#This Row],[OS-Cantidad]]</f>
        <v>40000</v>
      </c>
      <c r="Y19" s="3">
        <f>Tabla1[[#This Row],[Valor total OS]]-Tabla1[[#This Row],[valor total op]]</f>
        <v>5000</v>
      </c>
    </row>
    <row r="20" spans="1:25" x14ac:dyDescent="0.3">
      <c r="A20">
        <v>6618</v>
      </c>
      <c r="B20">
        <v>15</v>
      </c>
      <c r="C20" t="s">
        <v>117</v>
      </c>
      <c r="D20">
        <v>10</v>
      </c>
      <c r="E20" s="5">
        <v>46079.680555555555</v>
      </c>
      <c r="F20" t="s">
        <v>118</v>
      </c>
      <c r="G20" t="s">
        <v>119</v>
      </c>
      <c r="H20" t="s">
        <v>70</v>
      </c>
      <c r="I20">
        <v>1</v>
      </c>
      <c r="J20">
        <v>80759244</v>
      </c>
      <c r="K20" s="5">
        <v>46079</v>
      </c>
      <c r="L20" s="3">
        <v>7000</v>
      </c>
      <c r="M20" t="s">
        <v>71</v>
      </c>
      <c r="N20" t="s">
        <v>56</v>
      </c>
      <c r="O20" t="s">
        <v>120</v>
      </c>
      <c r="P20" s="3">
        <v>6500</v>
      </c>
      <c r="Q20">
        <v>10</v>
      </c>
      <c r="R20" t="s">
        <v>121</v>
      </c>
      <c r="S20" t="s">
        <v>75</v>
      </c>
      <c r="T20" t="s">
        <v>76</v>
      </c>
      <c r="U20" t="s">
        <v>31</v>
      </c>
      <c r="V20" s="3">
        <f>Tabla1[[#This Row],[OS-Valor Unitario]]-Tabla1[[#This Row],[costo_antes_iva]]</f>
        <v>-500</v>
      </c>
      <c r="W20" s="3">
        <f>Tabla1[[#This Row],[OS-Valor Unitario]]*Tabla1[[#This Row],[OS-Cantidad]]</f>
        <v>65000</v>
      </c>
      <c r="X20" s="3">
        <f>Tabla1[[#This Row],[costo_antes_iva]]*Tabla1[[#This Row],[OS-Cantidad]]</f>
        <v>70000</v>
      </c>
      <c r="Y20" s="3">
        <f>Tabla1[[#This Row],[Valor total OS]]-Tabla1[[#This Row],[valor total op]]</f>
        <v>-5000</v>
      </c>
    </row>
    <row r="21" spans="1:25" x14ac:dyDescent="0.3">
      <c r="A21">
        <v>6618</v>
      </c>
      <c r="B21">
        <v>16</v>
      </c>
      <c r="C21" t="s">
        <v>122</v>
      </c>
      <c r="D21">
        <v>10</v>
      </c>
      <c r="E21" s="5">
        <v>46079.680555555555</v>
      </c>
      <c r="F21" t="s">
        <v>123</v>
      </c>
      <c r="G21" t="s">
        <v>119</v>
      </c>
      <c r="H21" t="s">
        <v>70</v>
      </c>
      <c r="I21">
        <v>1</v>
      </c>
      <c r="J21">
        <v>80759251</v>
      </c>
      <c r="K21" s="5">
        <v>46079</v>
      </c>
      <c r="L21" s="3">
        <v>7000</v>
      </c>
      <c r="M21" t="s">
        <v>71</v>
      </c>
      <c r="N21" t="s">
        <v>56</v>
      </c>
      <c r="O21" t="s">
        <v>124</v>
      </c>
      <c r="P21" s="3">
        <v>6500</v>
      </c>
      <c r="Q21">
        <v>10</v>
      </c>
      <c r="R21" t="s">
        <v>125</v>
      </c>
      <c r="S21" t="s">
        <v>75</v>
      </c>
      <c r="T21" t="s">
        <v>76</v>
      </c>
      <c r="U21" t="s">
        <v>31</v>
      </c>
      <c r="V21" s="3">
        <f>Tabla1[[#This Row],[OS-Valor Unitario]]-Tabla1[[#This Row],[costo_antes_iva]]</f>
        <v>-500</v>
      </c>
      <c r="W21" s="3">
        <f>Tabla1[[#This Row],[OS-Valor Unitario]]*Tabla1[[#This Row],[OS-Cantidad]]</f>
        <v>65000</v>
      </c>
      <c r="X21" s="3">
        <f>Tabla1[[#This Row],[costo_antes_iva]]*Tabla1[[#This Row],[OS-Cantidad]]</f>
        <v>70000</v>
      </c>
      <c r="Y21" s="3">
        <f>Tabla1[[#This Row],[Valor total OS]]-Tabla1[[#This Row],[valor total op]]</f>
        <v>-5000</v>
      </c>
    </row>
    <row r="22" spans="1:25" x14ac:dyDescent="0.3">
      <c r="A22">
        <v>6616</v>
      </c>
      <c r="B22">
        <v>1</v>
      </c>
      <c r="C22" t="s">
        <v>126</v>
      </c>
      <c r="D22">
        <v>700</v>
      </c>
      <c r="E22" s="5">
        <v>46079.535416666666</v>
      </c>
      <c r="F22" t="s">
        <v>127</v>
      </c>
      <c r="G22" t="s">
        <v>128</v>
      </c>
      <c r="H22" t="s">
        <v>129</v>
      </c>
      <c r="I22">
        <v>600</v>
      </c>
      <c r="J22">
        <v>80743972</v>
      </c>
      <c r="K22" s="5">
        <v>46079</v>
      </c>
      <c r="L22" s="3">
        <v>13500</v>
      </c>
      <c r="M22" t="s">
        <v>130</v>
      </c>
      <c r="N22" t="s">
        <v>56</v>
      </c>
      <c r="O22" t="s">
        <v>131</v>
      </c>
      <c r="P22" s="3">
        <v>13500</v>
      </c>
      <c r="Q22">
        <v>702</v>
      </c>
      <c r="R22" t="s">
        <v>132</v>
      </c>
      <c r="S22" t="s">
        <v>133</v>
      </c>
      <c r="T22" t="s">
        <v>134</v>
      </c>
      <c r="U22" t="s">
        <v>135</v>
      </c>
      <c r="V22" s="3">
        <f>Tabla1[[#This Row],[OS-Valor Unitario]]-Tabla1[[#This Row],[costo_antes_iva]]</f>
        <v>0</v>
      </c>
      <c r="W22" s="3">
        <f>Tabla1[[#This Row],[OS-Valor Unitario]]*Tabla1[[#This Row],[OS-Cantidad]]</f>
        <v>9477000</v>
      </c>
      <c r="X22" s="3">
        <f>Tabla1[[#This Row],[costo_antes_iva]]*Tabla1[[#This Row],[OS-Cantidad]]</f>
        <v>9477000</v>
      </c>
      <c r="Y22" s="3">
        <f>Tabla1[[#This Row],[Valor total OS]]-Tabla1[[#This Row],[valor total op]]</f>
        <v>0</v>
      </c>
    </row>
    <row r="23" spans="1:25" x14ac:dyDescent="0.3">
      <c r="A23">
        <v>6616</v>
      </c>
      <c r="B23">
        <v>2</v>
      </c>
      <c r="C23" t="s">
        <v>136</v>
      </c>
      <c r="D23">
        <v>300</v>
      </c>
      <c r="E23" s="5">
        <v>46079.535416666666</v>
      </c>
      <c r="F23" t="s">
        <v>137</v>
      </c>
      <c r="G23" t="s">
        <v>138</v>
      </c>
      <c r="H23" t="s">
        <v>129</v>
      </c>
      <c r="I23">
        <v>300</v>
      </c>
      <c r="J23">
        <v>80743979</v>
      </c>
      <c r="K23" s="5">
        <v>46079</v>
      </c>
      <c r="L23" s="3">
        <v>12000</v>
      </c>
      <c r="M23" t="s">
        <v>130</v>
      </c>
      <c r="N23" t="s">
        <v>56</v>
      </c>
      <c r="O23" t="s">
        <v>139</v>
      </c>
      <c r="P23" s="3">
        <v>10000</v>
      </c>
      <c r="Q23">
        <v>300</v>
      </c>
      <c r="R23" t="s">
        <v>140</v>
      </c>
      <c r="S23" t="s">
        <v>133</v>
      </c>
      <c r="T23" t="s">
        <v>134</v>
      </c>
      <c r="U23" t="s">
        <v>135</v>
      </c>
      <c r="V23" s="3">
        <f>Tabla1[[#This Row],[OS-Valor Unitario]]-Tabla1[[#This Row],[costo_antes_iva]]</f>
        <v>-2000</v>
      </c>
      <c r="W23" s="3">
        <f>Tabla1[[#This Row],[OS-Valor Unitario]]*Tabla1[[#This Row],[OS-Cantidad]]</f>
        <v>3000000</v>
      </c>
      <c r="X23" s="3">
        <f>Tabla1[[#This Row],[costo_antes_iva]]*Tabla1[[#This Row],[OS-Cantidad]]</f>
        <v>3600000</v>
      </c>
      <c r="Y23" s="3">
        <f>Tabla1[[#This Row],[Valor total OS]]-Tabla1[[#This Row],[valor total op]]</f>
        <v>-600000</v>
      </c>
    </row>
    <row r="24" spans="1:25" x14ac:dyDescent="0.3">
      <c r="A24">
        <v>6616</v>
      </c>
      <c r="B24">
        <v>3</v>
      </c>
      <c r="C24" t="s">
        <v>141</v>
      </c>
      <c r="D24">
        <v>300</v>
      </c>
      <c r="E24" s="5">
        <v>46079.535416666666</v>
      </c>
      <c r="F24" t="s">
        <v>142</v>
      </c>
      <c r="G24" t="s">
        <v>143</v>
      </c>
      <c r="H24" t="s">
        <v>129</v>
      </c>
      <c r="I24">
        <v>300</v>
      </c>
      <c r="J24">
        <v>80743985</v>
      </c>
      <c r="K24" s="5">
        <v>46079</v>
      </c>
      <c r="L24" s="3">
        <v>1700</v>
      </c>
      <c r="M24" t="s">
        <v>130</v>
      </c>
      <c r="N24" t="s">
        <v>26</v>
      </c>
      <c r="O24" t="s">
        <v>144</v>
      </c>
      <c r="P24" s="3">
        <v>1400</v>
      </c>
      <c r="Q24">
        <v>300</v>
      </c>
      <c r="R24" t="s">
        <v>145</v>
      </c>
      <c r="S24" t="s">
        <v>133</v>
      </c>
      <c r="T24" t="s">
        <v>134</v>
      </c>
      <c r="U24" t="s">
        <v>135</v>
      </c>
      <c r="V24" s="3">
        <f>Tabla1[[#This Row],[OS-Valor Unitario]]-Tabla1[[#This Row],[costo_antes_iva]]</f>
        <v>-300</v>
      </c>
      <c r="W24" s="3">
        <f>Tabla1[[#This Row],[OS-Valor Unitario]]*Tabla1[[#This Row],[OS-Cantidad]]</f>
        <v>420000</v>
      </c>
      <c r="X24" s="3">
        <f>Tabla1[[#This Row],[costo_antes_iva]]*Tabla1[[#This Row],[OS-Cantidad]]</f>
        <v>510000</v>
      </c>
      <c r="Y24" s="3">
        <f>Tabla1[[#This Row],[Valor total OS]]-Tabla1[[#This Row],[valor total op]]</f>
        <v>-90000</v>
      </c>
    </row>
    <row r="25" spans="1:25" x14ac:dyDescent="0.3">
      <c r="A25">
        <v>6616</v>
      </c>
      <c r="B25">
        <v>3</v>
      </c>
      <c r="C25" t="s">
        <v>141</v>
      </c>
      <c r="D25">
        <v>300</v>
      </c>
      <c r="E25" s="5">
        <v>46079.535416666666</v>
      </c>
      <c r="F25" t="s">
        <v>142</v>
      </c>
      <c r="G25" t="s">
        <v>143</v>
      </c>
      <c r="H25" t="s">
        <v>129</v>
      </c>
      <c r="I25">
        <v>300</v>
      </c>
      <c r="J25">
        <v>80743985</v>
      </c>
      <c r="K25" s="5">
        <v>46079</v>
      </c>
      <c r="L25" s="3">
        <v>12500</v>
      </c>
      <c r="M25" t="s">
        <v>130</v>
      </c>
      <c r="N25" t="s">
        <v>56</v>
      </c>
      <c r="O25" t="s">
        <v>144</v>
      </c>
      <c r="P25" s="3">
        <v>12500</v>
      </c>
      <c r="Q25">
        <v>300</v>
      </c>
      <c r="R25" t="s">
        <v>146</v>
      </c>
      <c r="S25" t="s">
        <v>133</v>
      </c>
      <c r="T25" t="s">
        <v>134</v>
      </c>
      <c r="U25" t="s">
        <v>135</v>
      </c>
      <c r="V25" s="3">
        <f>Tabla1[[#This Row],[OS-Valor Unitario]]-Tabla1[[#This Row],[costo_antes_iva]]</f>
        <v>0</v>
      </c>
      <c r="W25" s="3">
        <f>Tabla1[[#This Row],[OS-Valor Unitario]]*Tabla1[[#This Row],[OS-Cantidad]]</f>
        <v>3750000</v>
      </c>
      <c r="X25" s="3">
        <f>Tabla1[[#This Row],[costo_antes_iva]]*Tabla1[[#This Row],[OS-Cantidad]]</f>
        <v>3750000</v>
      </c>
      <c r="Y25" s="3">
        <f>Tabla1[[#This Row],[Valor total OS]]-Tabla1[[#This Row],[valor total op]]</f>
        <v>0</v>
      </c>
    </row>
    <row r="26" spans="1:25" x14ac:dyDescent="0.3">
      <c r="A26">
        <v>6616</v>
      </c>
      <c r="B26">
        <v>4</v>
      </c>
      <c r="C26" t="s">
        <v>147</v>
      </c>
      <c r="D26">
        <v>700</v>
      </c>
      <c r="E26" s="5">
        <v>46079.535416666666</v>
      </c>
      <c r="F26" t="s">
        <v>148</v>
      </c>
      <c r="G26" t="s">
        <v>149</v>
      </c>
      <c r="H26" t="s">
        <v>129</v>
      </c>
      <c r="I26">
        <v>600</v>
      </c>
      <c r="J26">
        <v>80743991</v>
      </c>
      <c r="K26" s="5">
        <v>46079</v>
      </c>
      <c r="L26" s="3">
        <v>12000</v>
      </c>
      <c r="M26" t="s">
        <v>130</v>
      </c>
      <c r="N26" t="s">
        <v>56</v>
      </c>
      <c r="O26" t="s">
        <v>150</v>
      </c>
      <c r="P26" s="3">
        <v>12000</v>
      </c>
      <c r="Q26">
        <v>700</v>
      </c>
      <c r="R26" t="s">
        <v>151</v>
      </c>
      <c r="S26" t="s">
        <v>133</v>
      </c>
      <c r="T26" t="s">
        <v>134</v>
      </c>
      <c r="U26" t="s">
        <v>135</v>
      </c>
      <c r="V26" s="3">
        <f>Tabla1[[#This Row],[OS-Valor Unitario]]-Tabla1[[#This Row],[costo_antes_iva]]</f>
        <v>0</v>
      </c>
      <c r="W26" s="3">
        <f>Tabla1[[#This Row],[OS-Valor Unitario]]*Tabla1[[#This Row],[OS-Cantidad]]</f>
        <v>8400000</v>
      </c>
      <c r="X26" s="3">
        <f>Tabla1[[#This Row],[costo_antes_iva]]*Tabla1[[#This Row],[OS-Cantidad]]</f>
        <v>8400000</v>
      </c>
      <c r="Y26" s="3">
        <f>Tabla1[[#This Row],[Valor total OS]]-Tabla1[[#This Row],[valor total op]]</f>
        <v>0</v>
      </c>
    </row>
    <row r="27" spans="1:25" x14ac:dyDescent="0.3">
      <c r="A27">
        <v>6612</v>
      </c>
      <c r="B27">
        <v>1</v>
      </c>
      <c r="C27" t="s">
        <v>152</v>
      </c>
      <c r="D27">
        <v>427</v>
      </c>
      <c r="E27" s="5">
        <v>46078.518055555556</v>
      </c>
      <c r="F27" t="s">
        <v>153</v>
      </c>
      <c r="G27" t="s">
        <v>154</v>
      </c>
      <c r="H27" t="s">
        <v>155</v>
      </c>
      <c r="I27">
        <v>327</v>
      </c>
      <c r="J27">
        <v>80671217</v>
      </c>
      <c r="K27" s="5">
        <v>46078</v>
      </c>
      <c r="L27" s="3">
        <v>3000</v>
      </c>
      <c r="M27" t="s">
        <v>156</v>
      </c>
      <c r="N27" t="s">
        <v>56</v>
      </c>
      <c r="O27" t="s">
        <v>157</v>
      </c>
      <c r="P27" s="3">
        <v>2900</v>
      </c>
      <c r="Q27">
        <v>427</v>
      </c>
      <c r="R27" t="s">
        <v>158</v>
      </c>
      <c r="S27" t="s">
        <v>159</v>
      </c>
      <c r="T27" t="s">
        <v>160</v>
      </c>
      <c r="U27" t="s">
        <v>31</v>
      </c>
      <c r="V27" s="3">
        <f>Tabla1[[#This Row],[OS-Valor Unitario]]-Tabla1[[#This Row],[costo_antes_iva]]</f>
        <v>-100</v>
      </c>
      <c r="W27" s="3">
        <f>Tabla1[[#This Row],[OS-Valor Unitario]]*Tabla1[[#This Row],[OS-Cantidad]]</f>
        <v>1238300</v>
      </c>
      <c r="X27" s="3">
        <f>Tabla1[[#This Row],[costo_antes_iva]]*Tabla1[[#This Row],[OS-Cantidad]]</f>
        <v>1281000</v>
      </c>
      <c r="Y27" s="3">
        <f>Tabla1[[#This Row],[Valor total OS]]-Tabla1[[#This Row],[valor total op]]</f>
        <v>-42700</v>
      </c>
    </row>
    <row r="28" spans="1:25" x14ac:dyDescent="0.3">
      <c r="A28">
        <v>6612</v>
      </c>
      <c r="B28">
        <v>2</v>
      </c>
      <c r="C28" t="s">
        <v>161</v>
      </c>
      <c r="D28">
        <v>104</v>
      </c>
      <c r="E28" s="5">
        <v>46078.518055555556</v>
      </c>
      <c r="F28" t="s">
        <v>162</v>
      </c>
      <c r="G28" t="s">
        <v>154</v>
      </c>
      <c r="H28" t="s">
        <v>155</v>
      </c>
      <c r="I28">
        <v>84</v>
      </c>
      <c r="J28">
        <v>80671223</v>
      </c>
      <c r="K28" s="5">
        <v>46078</v>
      </c>
      <c r="L28" s="3">
        <v>3000</v>
      </c>
      <c r="M28" t="s">
        <v>156</v>
      </c>
      <c r="N28" t="s">
        <v>56</v>
      </c>
      <c r="O28" t="s">
        <v>163</v>
      </c>
      <c r="P28" s="3">
        <v>2900</v>
      </c>
      <c r="Q28">
        <v>104</v>
      </c>
      <c r="R28" t="s">
        <v>164</v>
      </c>
      <c r="S28" t="s">
        <v>159</v>
      </c>
      <c r="T28" t="s">
        <v>160</v>
      </c>
      <c r="U28" t="s">
        <v>31</v>
      </c>
      <c r="V28" s="3">
        <f>Tabla1[[#This Row],[OS-Valor Unitario]]-Tabla1[[#This Row],[costo_antes_iva]]</f>
        <v>-100</v>
      </c>
      <c r="W28" s="3">
        <f>Tabla1[[#This Row],[OS-Valor Unitario]]*Tabla1[[#This Row],[OS-Cantidad]]</f>
        <v>301600</v>
      </c>
      <c r="X28" s="3">
        <f>Tabla1[[#This Row],[costo_antes_iva]]*Tabla1[[#This Row],[OS-Cantidad]]</f>
        <v>312000</v>
      </c>
      <c r="Y28" s="3">
        <f>Tabla1[[#This Row],[Valor total OS]]-Tabla1[[#This Row],[valor total op]]</f>
        <v>-10400</v>
      </c>
    </row>
    <row r="29" spans="1:25" x14ac:dyDescent="0.3">
      <c r="A29">
        <v>6612</v>
      </c>
      <c r="B29">
        <v>2</v>
      </c>
      <c r="C29" t="s">
        <v>161</v>
      </c>
      <c r="D29">
        <v>104</v>
      </c>
      <c r="E29" s="5">
        <v>46078.518055555556</v>
      </c>
      <c r="F29" t="s">
        <v>162</v>
      </c>
      <c r="G29" t="s">
        <v>154</v>
      </c>
      <c r="H29" t="s">
        <v>155</v>
      </c>
      <c r="I29">
        <v>116</v>
      </c>
      <c r="J29">
        <v>80671346</v>
      </c>
      <c r="K29" s="5">
        <v>46078</v>
      </c>
      <c r="L29" s="3">
        <v>3000</v>
      </c>
      <c r="M29" t="s">
        <v>165</v>
      </c>
      <c r="N29" t="s">
        <v>56</v>
      </c>
      <c r="O29" t="s">
        <v>163</v>
      </c>
      <c r="P29" s="3">
        <v>2900</v>
      </c>
      <c r="Q29">
        <v>104</v>
      </c>
      <c r="R29" t="s">
        <v>164</v>
      </c>
      <c r="S29" t="s">
        <v>159</v>
      </c>
      <c r="T29" t="s">
        <v>160</v>
      </c>
      <c r="U29" t="s">
        <v>31</v>
      </c>
      <c r="V29" s="3">
        <f>Tabla1[[#This Row],[OS-Valor Unitario]]-Tabla1[[#This Row],[costo_antes_iva]]</f>
        <v>-100</v>
      </c>
      <c r="W29" s="3">
        <f>Tabla1[[#This Row],[OS-Valor Unitario]]*Tabla1[[#This Row],[OS-Cantidad]]</f>
        <v>301600</v>
      </c>
      <c r="X29" s="3">
        <f>Tabla1[[#This Row],[costo_antes_iva]]*Tabla1[[#This Row],[OS-Cantidad]]</f>
        <v>312000</v>
      </c>
      <c r="Y29" s="3">
        <f>Tabla1[[#This Row],[Valor total OS]]-Tabla1[[#This Row],[valor total op]]</f>
        <v>-10400</v>
      </c>
    </row>
    <row r="30" spans="1:25" x14ac:dyDescent="0.3">
      <c r="A30">
        <v>6612</v>
      </c>
      <c r="B30">
        <v>3</v>
      </c>
      <c r="C30" t="s">
        <v>166</v>
      </c>
      <c r="D30">
        <v>176</v>
      </c>
      <c r="E30" s="5">
        <v>46078.518055555556</v>
      </c>
      <c r="F30" t="s">
        <v>162</v>
      </c>
      <c r="G30" t="s">
        <v>154</v>
      </c>
      <c r="H30" t="s">
        <v>155</v>
      </c>
      <c r="I30">
        <v>84</v>
      </c>
      <c r="J30">
        <v>80671223</v>
      </c>
      <c r="K30" s="5">
        <v>46078</v>
      </c>
      <c r="L30" s="3">
        <v>3000</v>
      </c>
      <c r="M30" t="s">
        <v>156</v>
      </c>
      <c r="N30" t="s">
        <v>56</v>
      </c>
      <c r="O30" t="s">
        <v>167</v>
      </c>
      <c r="P30" s="3">
        <v>2900</v>
      </c>
      <c r="Q30">
        <v>176</v>
      </c>
      <c r="R30" t="s">
        <v>168</v>
      </c>
      <c r="S30" t="s">
        <v>159</v>
      </c>
      <c r="T30" t="s">
        <v>160</v>
      </c>
      <c r="U30" t="s">
        <v>31</v>
      </c>
      <c r="V30" s="3">
        <f>Tabla1[[#This Row],[OS-Valor Unitario]]-Tabla1[[#This Row],[costo_antes_iva]]</f>
        <v>-100</v>
      </c>
      <c r="W30" s="3">
        <f>Tabla1[[#This Row],[OS-Valor Unitario]]*Tabla1[[#This Row],[OS-Cantidad]]</f>
        <v>510400</v>
      </c>
      <c r="X30" s="3">
        <f>Tabla1[[#This Row],[costo_antes_iva]]*Tabla1[[#This Row],[OS-Cantidad]]</f>
        <v>528000</v>
      </c>
      <c r="Y30" s="3">
        <f>Tabla1[[#This Row],[Valor total OS]]-Tabla1[[#This Row],[valor total op]]</f>
        <v>-17600</v>
      </c>
    </row>
    <row r="31" spans="1:25" x14ac:dyDescent="0.3">
      <c r="A31">
        <v>6612</v>
      </c>
      <c r="B31">
        <v>3</v>
      </c>
      <c r="C31" t="s">
        <v>166</v>
      </c>
      <c r="D31">
        <v>176</v>
      </c>
      <c r="E31" s="5">
        <v>46078.518055555556</v>
      </c>
      <c r="F31" t="s">
        <v>162</v>
      </c>
      <c r="G31" t="s">
        <v>154</v>
      </c>
      <c r="H31" t="s">
        <v>155</v>
      </c>
      <c r="I31">
        <v>116</v>
      </c>
      <c r="J31">
        <v>80671346</v>
      </c>
      <c r="K31" s="5">
        <v>46078</v>
      </c>
      <c r="L31" s="3">
        <v>3000</v>
      </c>
      <c r="M31" t="s">
        <v>165</v>
      </c>
      <c r="N31" t="s">
        <v>56</v>
      </c>
      <c r="O31" t="s">
        <v>167</v>
      </c>
      <c r="P31" s="3">
        <v>2900</v>
      </c>
      <c r="Q31">
        <v>176</v>
      </c>
      <c r="R31" t="s">
        <v>168</v>
      </c>
      <c r="S31" t="s">
        <v>159</v>
      </c>
      <c r="T31" t="s">
        <v>160</v>
      </c>
      <c r="U31" t="s">
        <v>31</v>
      </c>
      <c r="V31" s="3">
        <f>Tabla1[[#This Row],[OS-Valor Unitario]]-Tabla1[[#This Row],[costo_antes_iva]]</f>
        <v>-100</v>
      </c>
      <c r="W31" s="3">
        <f>Tabla1[[#This Row],[OS-Valor Unitario]]*Tabla1[[#This Row],[OS-Cantidad]]</f>
        <v>510400</v>
      </c>
      <c r="X31" s="3">
        <f>Tabla1[[#This Row],[costo_antes_iva]]*Tabla1[[#This Row],[OS-Cantidad]]</f>
        <v>528000</v>
      </c>
      <c r="Y31" s="3">
        <f>Tabla1[[#This Row],[Valor total OS]]-Tabla1[[#This Row],[valor total op]]</f>
        <v>-17600</v>
      </c>
    </row>
    <row r="32" spans="1:25" x14ac:dyDescent="0.3">
      <c r="A32">
        <v>6611</v>
      </c>
      <c r="B32">
        <v>1</v>
      </c>
      <c r="C32" t="s">
        <v>169</v>
      </c>
      <c r="D32">
        <v>104</v>
      </c>
      <c r="E32" s="5">
        <v>46078.439583333333</v>
      </c>
      <c r="F32" t="s">
        <v>170</v>
      </c>
      <c r="G32" t="s">
        <v>87</v>
      </c>
      <c r="H32" t="s">
        <v>171</v>
      </c>
      <c r="I32">
        <v>104</v>
      </c>
      <c r="J32">
        <v>80555323</v>
      </c>
      <c r="K32" s="5">
        <v>46076</v>
      </c>
      <c r="L32" s="3">
        <v>5000</v>
      </c>
      <c r="M32" t="s">
        <v>172</v>
      </c>
      <c r="N32" t="s">
        <v>56</v>
      </c>
      <c r="O32" t="s">
        <v>173</v>
      </c>
      <c r="P32" s="3">
        <v>5500</v>
      </c>
      <c r="Q32">
        <v>104</v>
      </c>
      <c r="R32" t="s">
        <v>174</v>
      </c>
      <c r="S32" t="s">
        <v>175</v>
      </c>
      <c r="T32" t="s">
        <v>176</v>
      </c>
      <c r="U32" t="s">
        <v>177</v>
      </c>
      <c r="V32" s="3">
        <f>Tabla1[[#This Row],[OS-Valor Unitario]]-Tabla1[[#This Row],[costo_antes_iva]]</f>
        <v>500</v>
      </c>
      <c r="W32" s="3">
        <f>Tabla1[[#This Row],[OS-Valor Unitario]]*Tabla1[[#This Row],[OS-Cantidad]]</f>
        <v>572000</v>
      </c>
      <c r="X32" s="3">
        <f>Tabla1[[#This Row],[costo_antes_iva]]*Tabla1[[#This Row],[OS-Cantidad]]</f>
        <v>520000</v>
      </c>
      <c r="Y32" s="3">
        <f>Tabla1[[#This Row],[Valor total OS]]-Tabla1[[#This Row],[valor total op]]</f>
        <v>52000</v>
      </c>
    </row>
    <row r="33" spans="1:25" x14ac:dyDescent="0.3">
      <c r="A33">
        <v>6611</v>
      </c>
      <c r="B33">
        <v>1</v>
      </c>
      <c r="C33" t="s">
        <v>169</v>
      </c>
      <c r="D33">
        <v>104</v>
      </c>
      <c r="E33" s="5">
        <v>46078.439583333333</v>
      </c>
      <c r="F33" t="s">
        <v>170</v>
      </c>
      <c r="G33" t="s">
        <v>87</v>
      </c>
      <c r="H33" t="s">
        <v>171</v>
      </c>
      <c r="I33">
        <v>104</v>
      </c>
      <c r="J33">
        <v>80555323</v>
      </c>
      <c r="K33" s="5">
        <v>46076</v>
      </c>
      <c r="L33" s="3">
        <v>1200</v>
      </c>
      <c r="M33" t="s">
        <v>172</v>
      </c>
      <c r="N33" t="s">
        <v>26</v>
      </c>
      <c r="O33" t="s">
        <v>173</v>
      </c>
      <c r="P33" s="3">
        <v>1400</v>
      </c>
      <c r="Q33">
        <v>104</v>
      </c>
      <c r="R33" t="s">
        <v>178</v>
      </c>
      <c r="S33" t="s">
        <v>175</v>
      </c>
      <c r="T33" t="s">
        <v>176</v>
      </c>
      <c r="U33" t="s">
        <v>177</v>
      </c>
      <c r="V33" s="3">
        <f>Tabla1[[#This Row],[OS-Valor Unitario]]-Tabla1[[#This Row],[costo_antes_iva]]</f>
        <v>200</v>
      </c>
      <c r="W33" s="3">
        <f>Tabla1[[#This Row],[OS-Valor Unitario]]*Tabla1[[#This Row],[OS-Cantidad]]</f>
        <v>145600</v>
      </c>
      <c r="X33" s="3">
        <f>Tabla1[[#This Row],[costo_antes_iva]]*Tabla1[[#This Row],[OS-Cantidad]]</f>
        <v>124800</v>
      </c>
      <c r="Y33" s="3">
        <f>Tabla1[[#This Row],[Valor total OS]]-Tabla1[[#This Row],[valor total op]]</f>
        <v>20800</v>
      </c>
    </row>
    <row r="34" spans="1:25" x14ac:dyDescent="0.3">
      <c r="A34">
        <v>6609</v>
      </c>
      <c r="B34">
        <v>1</v>
      </c>
      <c r="C34" t="s">
        <v>179</v>
      </c>
      <c r="D34">
        <v>20</v>
      </c>
      <c r="E34" s="5">
        <v>46076.576388888891</v>
      </c>
      <c r="F34" t="s">
        <v>180</v>
      </c>
      <c r="G34" t="s">
        <v>181</v>
      </c>
      <c r="H34" t="s">
        <v>182</v>
      </c>
      <c r="I34">
        <v>1</v>
      </c>
      <c r="J34">
        <v>80544569</v>
      </c>
      <c r="K34" s="5">
        <v>46076</v>
      </c>
      <c r="L34" s="3">
        <v>5500</v>
      </c>
      <c r="M34" t="s">
        <v>183</v>
      </c>
      <c r="N34" t="s">
        <v>56</v>
      </c>
      <c r="O34" t="s">
        <v>184</v>
      </c>
      <c r="P34" s="3">
        <v>4500</v>
      </c>
      <c r="Q34">
        <v>20</v>
      </c>
      <c r="R34" t="s">
        <v>185</v>
      </c>
      <c r="S34" t="s">
        <v>186</v>
      </c>
      <c r="T34" t="s">
        <v>187</v>
      </c>
      <c r="U34" t="s">
        <v>188</v>
      </c>
      <c r="V34" s="3">
        <f>Tabla1[[#This Row],[OS-Valor Unitario]]-Tabla1[[#This Row],[costo_antes_iva]]</f>
        <v>-1000</v>
      </c>
      <c r="W34" s="3">
        <f>Tabla1[[#This Row],[OS-Valor Unitario]]*Tabla1[[#This Row],[OS-Cantidad]]</f>
        <v>90000</v>
      </c>
      <c r="X34" s="3">
        <f>Tabla1[[#This Row],[costo_antes_iva]]*Tabla1[[#This Row],[OS-Cantidad]]</f>
        <v>110000</v>
      </c>
      <c r="Y34" s="3">
        <f>Tabla1[[#This Row],[Valor total OS]]-Tabla1[[#This Row],[valor total op]]</f>
        <v>-20000</v>
      </c>
    </row>
    <row r="35" spans="1:25" x14ac:dyDescent="0.3">
      <c r="A35">
        <v>6609</v>
      </c>
      <c r="B35">
        <v>2</v>
      </c>
      <c r="C35" t="s">
        <v>189</v>
      </c>
      <c r="D35">
        <v>20</v>
      </c>
      <c r="E35" s="5">
        <v>46076.576388888891</v>
      </c>
      <c r="F35" t="s">
        <v>190</v>
      </c>
      <c r="G35" t="s">
        <v>191</v>
      </c>
      <c r="H35" t="s">
        <v>182</v>
      </c>
      <c r="I35">
        <v>1</v>
      </c>
      <c r="J35">
        <v>80544582</v>
      </c>
      <c r="K35" s="5">
        <v>46076</v>
      </c>
      <c r="L35" s="3">
        <v>6500</v>
      </c>
      <c r="M35" t="s">
        <v>192</v>
      </c>
      <c r="N35" t="s">
        <v>56</v>
      </c>
      <c r="O35" t="s">
        <v>193</v>
      </c>
      <c r="P35" s="3">
        <v>6000</v>
      </c>
      <c r="Q35">
        <v>20</v>
      </c>
      <c r="R35" t="s">
        <v>194</v>
      </c>
      <c r="S35" t="s">
        <v>186</v>
      </c>
      <c r="T35" t="s">
        <v>187</v>
      </c>
      <c r="U35" t="s">
        <v>188</v>
      </c>
      <c r="V35" s="3">
        <f>Tabla1[[#This Row],[OS-Valor Unitario]]-Tabla1[[#This Row],[costo_antes_iva]]</f>
        <v>-500</v>
      </c>
      <c r="W35" s="3">
        <f>Tabla1[[#This Row],[OS-Valor Unitario]]*Tabla1[[#This Row],[OS-Cantidad]]</f>
        <v>120000</v>
      </c>
      <c r="X35" s="3">
        <f>Tabla1[[#This Row],[costo_antes_iva]]*Tabla1[[#This Row],[OS-Cantidad]]</f>
        <v>130000</v>
      </c>
      <c r="Y35" s="3">
        <f>Tabla1[[#This Row],[Valor total OS]]-Tabla1[[#This Row],[valor total op]]</f>
        <v>-10000</v>
      </c>
    </row>
    <row r="36" spans="1:25" x14ac:dyDescent="0.3">
      <c r="A36">
        <v>6609</v>
      </c>
      <c r="B36">
        <v>3</v>
      </c>
      <c r="C36" t="s">
        <v>195</v>
      </c>
      <c r="D36">
        <v>12</v>
      </c>
      <c r="E36" s="5">
        <v>46076.576388888891</v>
      </c>
      <c r="F36" t="s">
        <v>196</v>
      </c>
      <c r="G36" t="s">
        <v>119</v>
      </c>
      <c r="H36" t="s">
        <v>182</v>
      </c>
      <c r="I36">
        <v>1</v>
      </c>
      <c r="J36">
        <v>80544593</v>
      </c>
      <c r="K36" s="5">
        <v>46076</v>
      </c>
      <c r="L36" s="3">
        <v>6500</v>
      </c>
      <c r="M36" t="s">
        <v>192</v>
      </c>
      <c r="N36" t="s">
        <v>56</v>
      </c>
      <c r="O36" t="s">
        <v>197</v>
      </c>
      <c r="P36" s="3">
        <v>6000</v>
      </c>
      <c r="Q36">
        <v>12</v>
      </c>
      <c r="R36" t="s">
        <v>198</v>
      </c>
      <c r="S36" t="s">
        <v>186</v>
      </c>
      <c r="T36" t="s">
        <v>187</v>
      </c>
      <c r="U36" t="s">
        <v>188</v>
      </c>
      <c r="V36" s="3">
        <f>Tabla1[[#This Row],[OS-Valor Unitario]]-Tabla1[[#This Row],[costo_antes_iva]]</f>
        <v>-500</v>
      </c>
      <c r="W36" s="3">
        <f>Tabla1[[#This Row],[OS-Valor Unitario]]*Tabla1[[#This Row],[OS-Cantidad]]</f>
        <v>72000</v>
      </c>
      <c r="X36" s="3">
        <f>Tabla1[[#This Row],[costo_antes_iva]]*Tabla1[[#This Row],[OS-Cantidad]]</f>
        <v>78000</v>
      </c>
      <c r="Y36" s="3">
        <f>Tabla1[[#This Row],[Valor total OS]]-Tabla1[[#This Row],[valor total op]]</f>
        <v>-6000</v>
      </c>
    </row>
    <row r="37" spans="1:25" x14ac:dyDescent="0.3">
      <c r="A37">
        <v>6543</v>
      </c>
      <c r="B37">
        <v>3</v>
      </c>
      <c r="C37" t="s">
        <v>199</v>
      </c>
      <c r="D37">
        <v>1650</v>
      </c>
      <c r="E37" s="5">
        <v>46052.048611111109</v>
      </c>
      <c r="F37" t="s">
        <v>200</v>
      </c>
      <c r="G37" t="s">
        <v>201</v>
      </c>
      <c r="H37" t="s">
        <v>202</v>
      </c>
      <c r="I37">
        <v>1650</v>
      </c>
      <c r="J37">
        <v>79260234</v>
      </c>
      <c r="K37" s="5">
        <v>46052</v>
      </c>
      <c r="L37" s="3">
        <v>11500</v>
      </c>
      <c r="M37" t="s">
        <v>203</v>
      </c>
      <c r="N37" t="s">
        <v>56</v>
      </c>
      <c r="O37" t="s">
        <v>204</v>
      </c>
      <c r="P37" s="3">
        <v>10500</v>
      </c>
      <c r="Q37">
        <v>1663</v>
      </c>
      <c r="R37" t="s">
        <v>205</v>
      </c>
      <c r="S37" t="s">
        <v>206</v>
      </c>
      <c r="T37" t="s">
        <v>207</v>
      </c>
      <c r="U37" t="s">
        <v>208</v>
      </c>
      <c r="V37" s="3">
        <f>Tabla1[[#This Row],[OS-Valor Unitario]]-Tabla1[[#This Row],[costo_antes_iva]]</f>
        <v>-1000</v>
      </c>
      <c r="W37" s="3">
        <f>Tabla1[[#This Row],[OS-Valor Unitario]]*Tabla1[[#This Row],[OS-Cantidad]]</f>
        <v>17461500</v>
      </c>
      <c r="X37" s="3">
        <f>Tabla1[[#This Row],[costo_antes_iva]]*Tabla1[[#This Row],[OS-Cantidad]]</f>
        <v>19124500</v>
      </c>
      <c r="Y37" s="3">
        <f>Tabla1[[#This Row],[Valor total OS]]-Tabla1[[#This Row],[valor total op]]</f>
        <v>-1663000</v>
      </c>
    </row>
    <row r="38" spans="1:25" x14ac:dyDescent="0.3">
      <c r="A38">
        <v>6543</v>
      </c>
      <c r="B38">
        <v>3</v>
      </c>
      <c r="C38" t="s">
        <v>199</v>
      </c>
      <c r="D38">
        <v>1650</v>
      </c>
      <c r="E38" s="5">
        <v>46052.048611111109</v>
      </c>
      <c r="F38" t="s">
        <v>200</v>
      </c>
      <c r="G38" t="s">
        <v>201</v>
      </c>
      <c r="H38" t="s">
        <v>202</v>
      </c>
      <c r="I38">
        <v>1650</v>
      </c>
      <c r="J38">
        <v>79260234</v>
      </c>
      <c r="K38" s="5">
        <v>46052</v>
      </c>
      <c r="L38" s="3">
        <v>3000</v>
      </c>
      <c r="M38" t="s">
        <v>203</v>
      </c>
      <c r="N38" t="s">
        <v>72</v>
      </c>
      <c r="O38" t="s">
        <v>204</v>
      </c>
      <c r="P38" s="3">
        <v>2800</v>
      </c>
      <c r="Q38">
        <v>1663</v>
      </c>
      <c r="R38" t="s">
        <v>209</v>
      </c>
      <c r="S38" t="s">
        <v>206</v>
      </c>
      <c r="T38" t="s">
        <v>207</v>
      </c>
      <c r="U38" t="s">
        <v>208</v>
      </c>
      <c r="V38" s="3">
        <f>Tabla1[[#This Row],[OS-Valor Unitario]]-Tabla1[[#This Row],[costo_antes_iva]]</f>
        <v>-200</v>
      </c>
      <c r="W38" s="3">
        <f>Tabla1[[#This Row],[OS-Valor Unitario]]*Tabla1[[#This Row],[OS-Cantidad]]</f>
        <v>4656400</v>
      </c>
      <c r="X38" s="3">
        <f>Tabla1[[#This Row],[costo_antes_iva]]*Tabla1[[#This Row],[OS-Cantidad]]</f>
        <v>4989000</v>
      </c>
      <c r="Y38" s="3">
        <f>Tabla1[[#This Row],[Valor total OS]]-Tabla1[[#This Row],[valor total op]]</f>
        <v>-332600</v>
      </c>
    </row>
    <row r="39" spans="1:25" x14ac:dyDescent="0.3">
      <c r="A39">
        <v>6543</v>
      </c>
      <c r="B39">
        <v>4</v>
      </c>
      <c r="C39" t="s">
        <v>210</v>
      </c>
      <c r="D39">
        <v>208</v>
      </c>
      <c r="E39" s="5">
        <v>46052.048611111109</v>
      </c>
      <c r="F39" t="s">
        <v>211</v>
      </c>
      <c r="G39" t="s">
        <v>201</v>
      </c>
      <c r="H39" t="s">
        <v>202</v>
      </c>
      <c r="I39">
        <v>208</v>
      </c>
      <c r="J39">
        <v>79260244</v>
      </c>
      <c r="K39" s="5">
        <v>46052</v>
      </c>
      <c r="L39" s="3">
        <v>3000</v>
      </c>
      <c r="M39" t="s">
        <v>203</v>
      </c>
      <c r="N39" t="s">
        <v>72</v>
      </c>
      <c r="O39" t="s">
        <v>212</v>
      </c>
      <c r="P39" s="3">
        <v>3500</v>
      </c>
      <c r="Q39">
        <v>208</v>
      </c>
      <c r="R39" t="s">
        <v>213</v>
      </c>
      <c r="S39" t="s">
        <v>206</v>
      </c>
      <c r="T39" t="s">
        <v>207</v>
      </c>
      <c r="U39" t="s">
        <v>208</v>
      </c>
      <c r="V39" s="3">
        <f>Tabla1[[#This Row],[OS-Valor Unitario]]-Tabla1[[#This Row],[costo_antes_iva]]</f>
        <v>500</v>
      </c>
      <c r="W39" s="3">
        <f>Tabla1[[#This Row],[OS-Valor Unitario]]*Tabla1[[#This Row],[OS-Cantidad]]</f>
        <v>728000</v>
      </c>
      <c r="X39" s="3">
        <f>Tabla1[[#This Row],[costo_antes_iva]]*Tabla1[[#This Row],[OS-Cantidad]]</f>
        <v>624000</v>
      </c>
      <c r="Y39" s="3">
        <f>Tabla1[[#This Row],[Valor total OS]]-Tabla1[[#This Row],[valor total op]]</f>
        <v>104000</v>
      </c>
    </row>
    <row r="40" spans="1:25" x14ac:dyDescent="0.3">
      <c r="A40">
        <v>6543</v>
      </c>
      <c r="B40">
        <v>5</v>
      </c>
      <c r="C40" t="s">
        <v>214</v>
      </c>
      <c r="D40">
        <v>330</v>
      </c>
      <c r="E40" s="5">
        <v>46052.048611111109</v>
      </c>
      <c r="F40" t="s">
        <v>215</v>
      </c>
      <c r="G40" t="s">
        <v>201</v>
      </c>
      <c r="H40" t="s">
        <v>202</v>
      </c>
      <c r="I40">
        <v>330</v>
      </c>
      <c r="J40">
        <v>79260326</v>
      </c>
      <c r="K40" s="5">
        <v>46052</v>
      </c>
      <c r="L40" s="3">
        <v>3000</v>
      </c>
      <c r="M40" t="s">
        <v>216</v>
      </c>
      <c r="N40" t="s">
        <v>72</v>
      </c>
      <c r="O40" t="s">
        <v>217</v>
      </c>
      <c r="P40" s="3">
        <v>3500</v>
      </c>
      <c r="Q40">
        <v>330</v>
      </c>
      <c r="R40" t="s">
        <v>218</v>
      </c>
      <c r="S40" t="s">
        <v>206</v>
      </c>
      <c r="T40" t="s">
        <v>207</v>
      </c>
      <c r="U40" t="s">
        <v>208</v>
      </c>
      <c r="V40" s="3">
        <f>Tabla1[[#This Row],[OS-Valor Unitario]]-Tabla1[[#This Row],[costo_antes_iva]]</f>
        <v>500</v>
      </c>
      <c r="W40" s="3">
        <f>Tabla1[[#This Row],[OS-Valor Unitario]]*Tabla1[[#This Row],[OS-Cantidad]]</f>
        <v>1155000</v>
      </c>
      <c r="X40" s="3">
        <f>Tabla1[[#This Row],[costo_antes_iva]]*Tabla1[[#This Row],[OS-Cantidad]]</f>
        <v>990000</v>
      </c>
      <c r="Y40" s="3">
        <f>Tabla1[[#This Row],[Valor total OS]]-Tabla1[[#This Row],[valor total op]]</f>
        <v>165000</v>
      </c>
    </row>
    <row r="41" spans="1:25" x14ac:dyDescent="0.3">
      <c r="A41">
        <v>6541</v>
      </c>
      <c r="B41">
        <v>1</v>
      </c>
      <c r="C41" t="s">
        <v>219</v>
      </c>
      <c r="D41">
        <v>25</v>
      </c>
      <c r="E41" s="5">
        <v>46051.936805555553</v>
      </c>
      <c r="F41" t="s">
        <v>220</v>
      </c>
      <c r="G41" t="s">
        <v>128</v>
      </c>
      <c r="H41" t="s">
        <v>221</v>
      </c>
      <c r="I41">
        <v>25</v>
      </c>
      <c r="J41">
        <v>79222439</v>
      </c>
      <c r="K41" s="5">
        <v>46051</v>
      </c>
      <c r="L41" s="3">
        <v>3500</v>
      </c>
      <c r="M41" t="s">
        <v>222</v>
      </c>
      <c r="N41" t="s">
        <v>26</v>
      </c>
      <c r="O41" t="s">
        <v>223</v>
      </c>
      <c r="P41" s="3">
        <v>6300</v>
      </c>
      <c r="Q41">
        <v>25</v>
      </c>
      <c r="R41" t="s">
        <v>224</v>
      </c>
      <c r="S41" t="s">
        <v>225</v>
      </c>
      <c r="T41" t="s">
        <v>226</v>
      </c>
      <c r="U41" t="s">
        <v>208</v>
      </c>
      <c r="V41" s="3">
        <f>Tabla1[[#This Row],[OS-Valor Unitario]]-Tabla1[[#This Row],[costo_antes_iva]]</f>
        <v>2800</v>
      </c>
      <c r="W41" s="3">
        <f>Tabla1[[#This Row],[OS-Valor Unitario]]*Tabla1[[#This Row],[OS-Cantidad]]</f>
        <v>157500</v>
      </c>
      <c r="X41" s="3">
        <f>Tabla1[[#This Row],[costo_antes_iva]]*Tabla1[[#This Row],[OS-Cantidad]]</f>
        <v>87500</v>
      </c>
      <c r="Y41" s="3">
        <f>Tabla1[[#This Row],[Valor total OS]]-Tabla1[[#This Row],[valor total op]]</f>
        <v>70000</v>
      </c>
    </row>
    <row r="42" spans="1:25" x14ac:dyDescent="0.3">
      <c r="A42">
        <v>6541</v>
      </c>
      <c r="B42">
        <v>1</v>
      </c>
      <c r="C42" t="s">
        <v>219</v>
      </c>
      <c r="D42">
        <v>25</v>
      </c>
      <c r="E42" s="5">
        <v>46051.936805555553</v>
      </c>
      <c r="F42" t="s">
        <v>220</v>
      </c>
      <c r="G42" t="s">
        <v>128</v>
      </c>
      <c r="H42" t="s">
        <v>221</v>
      </c>
      <c r="I42">
        <v>25</v>
      </c>
      <c r="J42">
        <v>79222439</v>
      </c>
      <c r="K42" s="5">
        <v>46051</v>
      </c>
      <c r="L42" s="3">
        <v>12000</v>
      </c>
      <c r="M42" t="s">
        <v>222</v>
      </c>
      <c r="N42" t="s">
        <v>56</v>
      </c>
      <c r="O42" t="s">
        <v>223</v>
      </c>
      <c r="P42" s="3">
        <v>18000</v>
      </c>
      <c r="Q42">
        <v>25</v>
      </c>
      <c r="R42" t="s">
        <v>227</v>
      </c>
      <c r="S42" t="s">
        <v>225</v>
      </c>
      <c r="T42" t="s">
        <v>226</v>
      </c>
      <c r="U42" t="s">
        <v>208</v>
      </c>
      <c r="V42" s="3">
        <f>Tabla1[[#This Row],[OS-Valor Unitario]]-Tabla1[[#This Row],[costo_antes_iva]]</f>
        <v>6000</v>
      </c>
      <c r="W42" s="3">
        <f>Tabla1[[#This Row],[OS-Valor Unitario]]*Tabla1[[#This Row],[OS-Cantidad]]</f>
        <v>450000</v>
      </c>
      <c r="X42" s="3">
        <f>Tabla1[[#This Row],[costo_antes_iva]]*Tabla1[[#This Row],[OS-Cantidad]]</f>
        <v>300000</v>
      </c>
      <c r="Y42" s="3">
        <f>Tabla1[[#This Row],[Valor total OS]]-Tabla1[[#This Row],[valor total op]]</f>
        <v>150000</v>
      </c>
    </row>
    <row r="43" spans="1:25" x14ac:dyDescent="0.3">
      <c r="A43">
        <v>6541</v>
      </c>
      <c r="B43">
        <v>1</v>
      </c>
      <c r="C43" t="s">
        <v>219</v>
      </c>
      <c r="D43">
        <v>25</v>
      </c>
      <c r="E43" s="5">
        <v>46051.936805555553</v>
      </c>
      <c r="F43" t="s">
        <v>220</v>
      </c>
      <c r="G43" t="s">
        <v>128</v>
      </c>
      <c r="H43" t="s">
        <v>221</v>
      </c>
      <c r="I43">
        <v>25</v>
      </c>
      <c r="J43">
        <v>79222439</v>
      </c>
      <c r="K43" s="5">
        <v>46051</v>
      </c>
      <c r="L43" s="3">
        <v>2000</v>
      </c>
      <c r="M43" t="s">
        <v>222</v>
      </c>
      <c r="N43" t="s">
        <v>26</v>
      </c>
      <c r="O43" t="s">
        <v>223</v>
      </c>
      <c r="P43" s="3">
        <v>6300</v>
      </c>
      <c r="Q43">
        <v>25</v>
      </c>
      <c r="R43" t="s">
        <v>224</v>
      </c>
      <c r="S43" t="s">
        <v>225</v>
      </c>
      <c r="T43" t="s">
        <v>226</v>
      </c>
      <c r="U43" t="s">
        <v>208</v>
      </c>
      <c r="V43" s="3">
        <f>Tabla1[[#This Row],[OS-Valor Unitario]]-Tabla1[[#This Row],[costo_antes_iva]]</f>
        <v>4300</v>
      </c>
      <c r="W43" s="3">
        <f>Tabla1[[#This Row],[OS-Valor Unitario]]*Tabla1[[#This Row],[OS-Cantidad]]</f>
        <v>157500</v>
      </c>
      <c r="X43" s="3">
        <f>Tabla1[[#This Row],[costo_antes_iva]]*Tabla1[[#This Row],[OS-Cantidad]]</f>
        <v>50000</v>
      </c>
      <c r="Y43" s="3">
        <f>Tabla1[[#This Row],[Valor total OS]]-Tabla1[[#This Row],[valor total op]]</f>
        <v>107500</v>
      </c>
    </row>
    <row r="44" spans="1:25" x14ac:dyDescent="0.3">
      <c r="A44">
        <v>6540</v>
      </c>
      <c r="B44">
        <v>1</v>
      </c>
      <c r="C44" t="s">
        <v>228</v>
      </c>
      <c r="D44">
        <v>8</v>
      </c>
      <c r="E44" s="5">
        <v>46051.584027777775</v>
      </c>
      <c r="F44" t="s">
        <v>229</v>
      </c>
      <c r="G44" t="s">
        <v>230</v>
      </c>
      <c r="H44" t="s">
        <v>182</v>
      </c>
      <c r="I44">
        <v>1</v>
      </c>
      <c r="J44">
        <v>79234455</v>
      </c>
      <c r="K44" s="5">
        <v>46051</v>
      </c>
      <c r="L44" s="3">
        <v>4500</v>
      </c>
      <c r="M44" t="s">
        <v>231</v>
      </c>
      <c r="N44" t="s">
        <v>56</v>
      </c>
      <c r="O44" t="s">
        <v>232</v>
      </c>
      <c r="P44" s="3">
        <v>5000</v>
      </c>
      <c r="Q44">
        <v>8</v>
      </c>
      <c r="R44" t="s">
        <v>233</v>
      </c>
      <c r="S44" t="s">
        <v>234</v>
      </c>
      <c r="T44" t="s">
        <v>235</v>
      </c>
      <c r="U44" t="s">
        <v>188</v>
      </c>
      <c r="V44" s="3">
        <f>Tabla1[[#This Row],[OS-Valor Unitario]]-Tabla1[[#This Row],[costo_antes_iva]]</f>
        <v>500</v>
      </c>
      <c r="W44" s="3">
        <f>Tabla1[[#This Row],[OS-Valor Unitario]]*Tabla1[[#This Row],[OS-Cantidad]]</f>
        <v>40000</v>
      </c>
      <c r="X44" s="3">
        <f>Tabla1[[#This Row],[costo_antes_iva]]*Tabla1[[#This Row],[OS-Cantidad]]</f>
        <v>36000</v>
      </c>
      <c r="Y44" s="3">
        <f>Tabla1[[#This Row],[Valor total OS]]-Tabla1[[#This Row],[valor total op]]</f>
        <v>4000</v>
      </c>
    </row>
    <row r="45" spans="1:25" x14ac:dyDescent="0.3">
      <c r="A45">
        <v>6540</v>
      </c>
      <c r="B45">
        <v>1</v>
      </c>
      <c r="C45" t="s">
        <v>228</v>
      </c>
      <c r="D45">
        <v>8</v>
      </c>
      <c r="E45" s="5">
        <v>46051.584027777775</v>
      </c>
      <c r="F45" t="s">
        <v>229</v>
      </c>
      <c r="G45" t="s">
        <v>230</v>
      </c>
      <c r="H45" t="s">
        <v>182</v>
      </c>
      <c r="I45">
        <v>1</v>
      </c>
      <c r="J45">
        <v>79234455</v>
      </c>
      <c r="K45" s="5">
        <v>46051</v>
      </c>
      <c r="L45" s="3">
        <v>1500</v>
      </c>
      <c r="M45" t="s">
        <v>231</v>
      </c>
      <c r="N45" t="s">
        <v>26</v>
      </c>
      <c r="O45" t="s">
        <v>232</v>
      </c>
      <c r="P45" s="3">
        <v>1500</v>
      </c>
      <c r="Q45">
        <v>8</v>
      </c>
      <c r="R45" t="s">
        <v>236</v>
      </c>
      <c r="S45" t="s">
        <v>234</v>
      </c>
      <c r="T45" t="s">
        <v>235</v>
      </c>
      <c r="U45" t="s">
        <v>188</v>
      </c>
      <c r="V45" s="3">
        <f>Tabla1[[#This Row],[OS-Valor Unitario]]-Tabla1[[#This Row],[costo_antes_iva]]</f>
        <v>0</v>
      </c>
      <c r="W45" s="3">
        <f>Tabla1[[#This Row],[OS-Valor Unitario]]*Tabla1[[#This Row],[OS-Cantidad]]</f>
        <v>12000</v>
      </c>
      <c r="X45" s="3">
        <f>Tabla1[[#This Row],[costo_antes_iva]]*Tabla1[[#This Row],[OS-Cantidad]]</f>
        <v>12000</v>
      </c>
      <c r="Y45" s="3">
        <f>Tabla1[[#This Row],[Valor total OS]]-Tabla1[[#This Row],[valor total op]]</f>
        <v>0</v>
      </c>
    </row>
    <row r="46" spans="1:25" x14ac:dyDescent="0.3">
      <c r="A46">
        <v>6540</v>
      </c>
      <c r="B46">
        <v>2</v>
      </c>
      <c r="C46" t="s">
        <v>237</v>
      </c>
      <c r="D46">
        <v>8</v>
      </c>
      <c r="E46" s="5">
        <v>46051.584027777775</v>
      </c>
      <c r="F46" t="s">
        <v>238</v>
      </c>
      <c r="G46" t="s">
        <v>230</v>
      </c>
      <c r="H46" t="s">
        <v>182</v>
      </c>
      <c r="I46">
        <v>1</v>
      </c>
      <c r="J46">
        <v>79234508</v>
      </c>
      <c r="K46" s="5">
        <v>46051</v>
      </c>
      <c r="L46" s="3">
        <v>4500</v>
      </c>
      <c r="M46" t="s">
        <v>231</v>
      </c>
      <c r="N46" t="s">
        <v>56</v>
      </c>
      <c r="O46" t="s">
        <v>239</v>
      </c>
      <c r="P46" s="3">
        <v>5000</v>
      </c>
      <c r="Q46">
        <v>8</v>
      </c>
      <c r="R46" t="s">
        <v>240</v>
      </c>
      <c r="S46" t="s">
        <v>234</v>
      </c>
      <c r="T46" t="s">
        <v>235</v>
      </c>
      <c r="U46" t="s">
        <v>188</v>
      </c>
      <c r="V46" s="3">
        <f>Tabla1[[#This Row],[OS-Valor Unitario]]-Tabla1[[#This Row],[costo_antes_iva]]</f>
        <v>500</v>
      </c>
      <c r="W46" s="3">
        <f>Tabla1[[#This Row],[OS-Valor Unitario]]*Tabla1[[#This Row],[OS-Cantidad]]</f>
        <v>40000</v>
      </c>
      <c r="X46" s="3">
        <f>Tabla1[[#This Row],[costo_antes_iva]]*Tabla1[[#This Row],[OS-Cantidad]]</f>
        <v>36000</v>
      </c>
      <c r="Y46" s="3">
        <f>Tabla1[[#This Row],[Valor total OS]]-Tabla1[[#This Row],[valor total op]]</f>
        <v>4000</v>
      </c>
    </row>
    <row r="47" spans="1:25" x14ac:dyDescent="0.3">
      <c r="A47">
        <v>6540</v>
      </c>
      <c r="B47">
        <v>2</v>
      </c>
      <c r="C47" t="s">
        <v>237</v>
      </c>
      <c r="D47">
        <v>8</v>
      </c>
      <c r="E47" s="5">
        <v>46051.584027777775</v>
      </c>
      <c r="F47" t="s">
        <v>238</v>
      </c>
      <c r="G47" t="s">
        <v>230</v>
      </c>
      <c r="H47" t="s">
        <v>182</v>
      </c>
      <c r="I47">
        <v>1</v>
      </c>
      <c r="J47">
        <v>79234508</v>
      </c>
      <c r="K47" s="5">
        <v>46051</v>
      </c>
      <c r="L47" s="3">
        <v>1500</v>
      </c>
      <c r="M47" t="s">
        <v>231</v>
      </c>
      <c r="N47" t="s">
        <v>26</v>
      </c>
      <c r="O47" t="s">
        <v>239</v>
      </c>
      <c r="P47" s="3">
        <v>1500</v>
      </c>
      <c r="Q47">
        <v>8</v>
      </c>
      <c r="R47" t="s">
        <v>241</v>
      </c>
      <c r="S47" t="s">
        <v>234</v>
      </c>
      <c r="T47" t="s">
        <v>235</v>
      </c>
      <c r="U47" t="s">
        <v>188</v>
      </c>
      <c r="V47" s="3">
        <f>Tabla1[[#This Row],[OS-Valor Unitario]]-Tabla1[[#This Row],[costo_antes_iva]]</f>
        <v>0</v>
      </c>
      <c r="W47" s="3">
        <f>Tabla1[[#This Row],[OS-Valor Unitario]]*Tabla1[[#This Row],[OS-Cantidad]]</f>
        <v>12000</v>
      </c>
      <c r="X47" s="3">
        <f>Tabla1[[#This Row],[costo_antes_iva]]*Tabla1[[#This Row],[OS-Cantidad]]</f>
        <v>12000</v>
      </c>
      <c r="Y47" s="3">
        <f>Tabla1[[#This Row],[Valor total OS]]-Tabla1[[#This Row],[valor total op]]</f>
        <v>0</v>
      </c>
    </row>
    <row r="48" spans="1:25" x14ac:dyDescent="0.3">
      <c r="A48">
        <v>6540</v>
      </c>
      <c r="B48">
        <v>3</v>
      </c>
      <c r="C48" t="s">
        <v>242</v>
      </c>
      <c r="D48">
        <v>8</v>
      </c>
      <c r="E48" s="5">
        <v>46051.584027777775</v>
      </c>
      <c r="F48" t="s">
        <v>243</v>
      </c>
      <c r="G48" t="s">
        <v>230</v>
      </c>
      <c r="H48" t="s">
        <v>182</v>
      </c>
      <c r="I48">
        <v>1</v>
      </c>
      <c r="J48">
        <v>79234568</v>
      </c>
      <c r="K48" s="5">
        <v>46051</v>
      </c>
      <c r="L48" s="3">
        <v>4500</v>
      </c>
      <c r="M48" t="s">
        <v>231</v>
      </c>
      <c r="N48" t="s">
        <v>56</v>
      </c>
      <c r="O48" t="s">
        <v>244</v>
      </c>
      <c r="P48" s="3">
        <v>5000</v>
      </c>
      <c r="Q48">
        <v>8</v>
      </c>
      <c r="R48" t="s">
        <v>245</v>
      </c>
      <c r="S48" t="s">
        <v>234</v>
      </c>
      <c r="T48" t="s">
        <v>235</v>
      </c>
      <c r="U48" t="s">
        <v>188</v>
      </c>
      <c r="V48" s="3">
        <f>Tabla1[[#This Row],[OS-Valor Unitario]]-Tabla1[[#This Row],[costo_antes_iva]]</f>
        <v>500</v>
      </c>
      <c r="W48" s="3">
        <f>Tabla1[[#This Row],[OS-Valor Unitario]]*Tabla1[[#This Row],[OS-Cantidad]]</f>
        <v>40000</v>
      </c>
      <c r="X48" s="3">
        <f>Tabla1[[#This Row],[costo_antes_iva]]*Tabla1[[#This Row],[OS-Cantidad]]</f>
        <v>36000</v>
      </c>
      <c r="Y48" s="3">
        <f>Tabla1[[#This Row],[Valor total OS]]-Tabla1[[#This Row],[valor total op]]</f>
        <v>4000</v>
      </c>
    </row>
    <row r="49" spans="1:25" x14ac:dyDescent="0.3">
      <c r="A49">
        <v>6540</v>
      </c>
      <c r="B49">
        <v>3</v>
      </c>
      <c r="C49" t="s">
        <v>242</v>
      </c>
      <c r="D49">
        <v>8</v>
      </c>
      <c r="E49" s="5">
        <v>46051.584027777775</v>
      </c>
      <c r="F49" t="s">
        <v>243</v>
      </c>
      <c r="G49" t="s">
        <v>230</v>
      </c>
      <c r="H49" t="s">
        <v>182</v>
      </c>
      <c r="I49">
        <v>1</v>
      </c>
      <c r="J49">
        <v>79234568</v>
      </c>
      <c r="K49" s="5">
        <v>46051</v>
      </c>
      <c r="L49" s="3">
        <v>1500</v>
      </c>
      <c r="M49" t="s">
        <v>231</v>
      </c>
      <c r="N49" t="s">
        <v>26</v>
      </c>
      <c r="O49" t="s">
        <v>244</v>
      </c>
      <c r="P49" s="3">
        <v>1500</v>
      </c>
      <c r="Q49">
        <v>8</v>
      </c>
      <c r="R49" t="s">
        <v>246</v>
      </c>
      <c r="S49" t="s">
        <v>234</v>
      </c>
      <c r="T49" t="s">
        <v>235</v>
      </c>
      <c r="U49" t="s">
        <v>188</v>
      </c>
      <c r="V49" s="3">
        <f>Tabla1[[#This Row],[OS-Valor Unitario]]-Tabla1[[#This Row],[costo_antes_iva]]</f>
        <v>0</v>
      </c>
      <c r="W49" s="3">
        <f>Tabla1[[#This Row],[OS-Valor Unitario]]*Tabla1[[#This Row],[OS-Cantidad]]</f>
        <v>12000</v>
      </c>
      <c r="X49" s="3">
        <f>Tabla1[[#This Row],[costo_antes_iva]]*Tabla1[[#This Row],[OS-Cantidad]]</f>
        <v>12000</v>
      </c>
      <c r="Y49" s="3">
        <f>Tabla1[[#This Row],[Valor total OS]]-Tabla1[[#This Row],[valor total op]]</f>
        <v>0</v>
      </c>
    </row>
    <row r="50" spans="1:25" x14ac:dyDescent="0.3">
      <c r="A50">
        <v>6540</v>
      </c>
      <c r="B50">
        <v>4</v>
      </c>
      <c r="C50" t="s">
        <v>247</v>
      </c>
      <c r="D50">
        <v>3</v>
      </c>
      <c r="E50" s="5">
        <v>46051.584027777775</v>
      </c>
      <c r="F50" t="s">
        <v>248</v>
      </c>
      <c r="G50" t="s">
        <v>230</v>
      </c>
      <c r="H50" t="s">
        <v>182</v>
      </c>
      <c r="I50">
        <v>1</v>
      </c>
      <c r="J50">
        <v>79234576</v>
      </c>
      <c r="K50" s="5">
        <v>46051</v>
      </c>
      <c r="L50" s="3">
        <v>4500</v>
      </c>
      <c r="M50" t="s">
        <v>231</v>
      </c>
      <c r="N50" t="s">
        <v>56</v>
      </c>
      <c r="O50" t="s">
        <v>249</v>
      </c>
      <c r="P50" s="3">
        <v>5000</v>
      </c>
      <c r="Q50">
        <v>3</v>
      </c>
      <c r="R50" t="s">
        <v>250</v>
      </c>
      <c r="S50" t="s">
        <v>234</v>
      </c>
      <c r="T50" t="s">
        <v>235</v>
      </c>
      <c r="U50" t="s">
        <v>188</v>
      </c>
      <c r="V50" s="3">
        <f>Tabla1[[#This Row],[OS-Valor Unitario]]-Tabla1[[#This Row],[costo_antes_iva]]</f>
        <v>500</v>
      </c>
      <c r="W50" s="3">
        <f>Tabla1[[#This Row],[OS-Valor Unitario]]*Tabla1[[#This Row],[OS-Cantidad]]</f>
        <v>15000</v>
      </c>
      <c r="X50" s="3">
        <f>Tabla1[[#This Row],[costo_antes_iva]]*Tabla1[[#This Row],[OS-Cantidad]]</f>
        <v>13500</v>
      </c>
      <c r="Y50" s="3">
        <f>Tabla1[[#This Row],[Valor total OS]]-Tabla1[[#This Row],[valor total op]]</f>
        <v>1500</v>
      </c>
    </row>
    <row r="51" spans="1:25" x14ac:dyDescent="0.3">
      <c r="A51">
        <v>6540</v>
      </c>
      <c r="B51">
        <v>4</v>
      </c>
      <c r="C51" t="s">
        <v>247</v>
      </c>
      <c r="D51">
        <v>3</v>
      </c>
      <c r="E51" s="5">
        <v>46051.584027777775</v>
      </c>
      <c r="F51" t="s">
        <v>248</v>
      </c>
      <c r="G51" t="s">
        <v>230</v>
      </c>
      <c r="H51" t="s">
        <v>182</v>
      </c>
      <c r="I51">
        <v>1</v>
      </c>
      <c r="J51">
        <v>79234576</v>
      </c>
      <c r="K51" s="5">
        <v>46051</v>
      </c>
      <c r="L51" s="3">
        <v>1500</v>
      </c>
      <c r="M51" t="s">
        <v>231</v>
      </c>
      <c r="N51" t="s">
        <v>26</v>
      </c>
      <c r="O51" t="s">
        <v>249</v>
      </c>
      <c r="P51" s="3">
        <v>1500</v>
      </c>
      <c r="Q51">
        <v>3</v>
      </c>
      <c r="R51" t="s">
        <v>251</v>
      </c>
      <c r="S51" t="s">
        <v>234</v>
      </c>
      <c r="T51" t="s">
        <v>235</v>
      </c>
      <c r="U51" t="s">
        <v>188</v>
      </c>
      <c r="V51" s="3">
        <f>Tabla1[[#This Row],[OS-Valor Unitario]]-Tabla1[[#This Row],[costo_antes_iva]]</f>
        <v>0</v>
      </c>
      <c r="W51" s="3">
        <f>Tabla1[[#This Row],[OS-Valor Unitario]]*Tabla1[[#This Row],[OS-Cantidad]]</f>
        <v>4500</v>
      </c>
      <c r="X51" s="3">
        <f>Tabla1[[#This Row],[costo_antes_iva]]*Tabla1[[#This Row],[OS-Cantidad]]</f>
        <v>4500</v>
      </c>
      <c r="Y51" s="3">
        <f>Tabla1[[#This Row],[Valor total OS]]-Tabla1[[#This Row],[valor total op]]</f>
        <v>0</v>
      </c>
    </row>
    <row r="52" spans="1:25" x14ac:dyDescent="0.3">
      <c r="A52">
        <v>6540</v>
      </c>
      <c r="B52">
        <v>5</v>
      </c>
      <c r="C52" t="s">
        <v>252</v>
      </c>
      <c r="D52">
        <v>3</v>
      </c>
      <c r="E52" s="5">
        <v>46051.584027777775</v>
      </c>
      <c r="F52" t="s">
        <v>253</v>
      </c>
      <c r="G52" t="s">
        <v>230</v>
      </c>
      <c r="H52" t="s">
        <v>182</v>
      </c>
      <c r="I52">
        <v>1</v>
      </c>
      <c r="J52">
        <v>79234584</v>
      </c>
      <c r="K52" s="5">
        <v>46051</v>
      </c>
      <c r="L52" s="3">
        <v>4500</v>
      </c>
      <c r="M52" t="s">
        <v>231</v>
      </c>
      <c r="N52" t="s">
        <v>56</v>
      </c>
      <c r="O52" t="s">
        <v>254</v>
      </c>
      <c r="P52" s="3">
        <v>5000</v>
      </c>
      <c r="Q52">
        <v>3</v>
      </c>
      <c r="R52" t="s">
        <v>255</v>
      </c>
      <c r="S52" t="s">
        <v>234</v>
      </c>
      <c r="T52" t="s">
        <v>235</v>
      </c>
      <c r="U52" t="s">
        <v>188</v>
      </c>
      <c r="V52" s="3">
        <f>Tabla1[[#This Row],[OS-Valor Unitario]]-Tabla1[[#This Row],[costo_antes_iva]]</f>
        <v>500</v>
      </c>
      <c r="W52" s="3">
        <f>Tabla1[[#This Row],[OS-Valor Unitario]]*Tabla1[[#This Row],[OS-Cantidad]]</f>
        <v>15000</v>
      </c>
      <c r="X52" s="3">
        <f>Tabla1[[#This Row],[costo_antes_iva]]*Tabla1[[#This Row],[OS-Cantidad]]</f>
        <v>13500</v>
      </c>
      <c r="Y52" s="3">
        <f>Tabla1[[#This Row],[Valor total OS]]-Tabla1[[#This Row],[valor total op]]</f>
        <v>1500</v>
      </c>
    </row>
    <row r="53" spans="1:25" x14ac:dyDescent="0.3">
      <c r="A53">
        <v>6540</v>
      </c>
      <c r="B53">
        <v>5</v>
      </c>
      <c r="C53" t="s">
        <v>252</v>
      </c>
      <c r="D53">
        <v>3</v>
      </c>
      <c r="E53" s="5">
        <v>46051.584027777775</v>
      </c>
      <c r="F53" t="s">
        <v>253</v>
      </c>
      <c r="G53" t="s">
        <v>230</v>
      </c>
      <c r="H53" t="s">
        <v>182</v>
      </c>
      <c r="I53">
        <v>1</v>
      </c>
      <c r="J53">
        <v>79234584</v>
      </c>
      <c r="K53" s="5">
        <v>46051</v>
      </c>
      <c r="L53" s="3">
        <v>1500</v>
      </c>
      <c r="M53" t="s">
        <v>231</v>
      </c>
      <c r="N53" t="s">
        <v>26</v>
      </c>
      <c r="O53" t="s">
        <v>254</v>
      </c>
      <c r="P53" s="3">
        <v>1500</v>
      </c>
      <c r="Q53">
        <v>3</v>
      </c>
      <c r="R53" t="s">
        <v>256</v>
      </c>
      <c r="S53" t="s">
        <v>234</v>
      </c>
      <c r="T53" t="s">
        <v>235</v>
      </c>
      <c r="U53" t="s">
        <v>188</v>
      </c>
      <c r="V53" s="3">
        <f>Tabla1[[#This Row],[OS-Valor Unitario]]-Tabla1[[#This Row],[costo_antes_iva]]</f>
        <v>0</v>
      </c>
      <c r="W53" s="3">
        <f>Tabla1[[#This Row],[OS-Valor Unitario]]*Tabla1[[#This Row],[OS-Cantidad]]</f>
        <v>4500</v>
      </c>
      <c r="X53" s="3">
        <f>Tabla1[[#This Row],[costo_antes_iva]]*Tabla1[[#This Row],[OS-Cantidad]]</f>
        <v>4500</v>
      </c>
      <c r="Y53" s="3">
        <f>Tabla1[[#This Row],[Valor total OS]]-Tabla1[[#This Row],[valor total op]]</f>
        <v>0</v>
      </c>
    </row>
    <row r="54" spans="1:25" x14ac:dyDescent="0.3">
      <c r="A54">
        <v>6540</v>
      </c>
      <c r="B54">
        <v>6</v>
      </c>
      <c r="C54" t="s">
        <v>257</v>
      </c>
      <c r="D54">
        <v>3</v>
      </c>
      <c r="E54" s="5">
        <v>46051.584027777775</v>
      </c>
      <c r="F54" t="s">
        <v>258</v>
      </c>
      <c r="G54" t="s">
        <v>230</v>
      </c>
      <c r="H54" t="s">
        <v>182</v>
      </c>
      <c r="I54">
        <v>1</v>
      </c>
      <c r="J54">
        <v>79234591</v>
      </c>
      <c r="K54" s="5">
        <v>46051</v>
      </c>
      <c r="L54" s="3">
        <v>4500</v>
      </c>
      <c r="M54" t="s">
        <v>231</v>
      </c>
      <c r="N54" t="s">
        <v>56</v>
      </c>
      <c r="O54" t="s">
        <v>259</v>
      </c>
      <c r="P54" s="3">
        <v>5000</v>
      </c>
      <c r="Q54">
        <v>3</v>
      </c>
      <c r="R54" t="s">
        <v>260</v>
      </c>
      <c r="S54" t="s">
        <v>234</v>
      </c>
      <c r="T54" t="s">
        <v>235</v>
      </c>
      <c r="U54" t="s">
        <v>188</v>
      </c>
      <c r="V54" s="3">
        <f>Tabla1[[#This Row],[OS-Valor Unitario]]-Tabla1[[#This Row],[costo_antes_iva]]</f>
        <v>500</v>
      </c>
      <c r="W54" s="3">
        <f>Tabla1[[#This Row],[OS-Valor Unitario]]*Tabla1[[#This Row],[OS-Cantidad]]</f>
        <v>15000</v>
      </c>
      <c r="X54" s="3">
        <f>Tabla1[[#This Row],[costo_antes_iva]]*Tabla1[[#This Row],[OS-Cantidad]]</f>
        <v>13500</v>
      </c>
      <c r="Y54" s="3">
        <f>Tabla1[[#This Row],[Valor total OS]]-Tabla1[[#This Row],[valor total op]]</f>
        <v>1500</v>
      </c>
    </row>
    <row r="55" spans="1:25" x14ac:dyDescent="0.3">
      <c r="A55">
        <v>6540</v>
      </c>
      <c r="B55">
        <v>6</v>
      </c>
      <c r="C55" t="s">
        <v>257</v>
      </c>
      <c r="D55">
        <v>3</v>
      </c>
      <c r="E55" s="5">
        <v>46051.584027777775</v>
      </c>
      <c r="F55" t="s">
        <v>258</v>
      </c>
      <c r="G55" t="s">
        <v>230</v>
      </c>
      <c r="H55" t="s">
        <v>182</v>
      </c>
      <c r="I55">
        <v>1</v>
      </c>
      <c r="J55">
        <v>79234591</v>
      </c>
      <c r="K55" s="5">
        <v>46051</v>
      </c>
      <c r="L55" s="3">
        <v>1500</v>
      </c>
      <c r="M55" t="s">
        <v>231</v>
      </c>
      <c r="N55" t="s">
        <v>26</v>
      </c>
      <c r="O55" t="s">
        <v>259</v>
      </c>
      <c r="P55" s="3">
        <v>1500</v>
      </c>
      <c r="Q55">
        <v>3</v>
      </c>
      <c r="R55" t="s">
        <v>261</v>
      </c>
      <c r="S55" t="s">
        <v>234</v>
      </c>
      <c r="T55" t="s">
        <v>235</v>
      </c>
      <c r="U55" t="s">
        <v>188</v>
      </c>
      <c r="V55" s="3">
        <f>Tabla1[[#This Row],[OS-Valor Unitario]]-Tabla1[[#This Row],[costo_antes_iva]]</f>
        <v>0</v>
      </c>
      <c r="W55" s="3">
        <f>Tabla1[[#This Row],[OS-Valor Unitario]]*Tabla1[[#This Row],[OS-Cantidad]]</f>
        <v>4500</v>
      </c>
      <c r="X55" s="3">
        <f>Tabla1[[#This Row],[costo_antes_iva]]*Tabla1[[#This Row],[OS-Cantidad]]</f>
        <v>4500</v>
      </c>
      <c r="Y55" s="3">
        <f>Tabla1[[#This Row],[Valor total OS]]-Tabla1[[#This Row],[valor total op]]</f>
        <v>0</v>
      </c>
    </row>
    <row r="56" spans="1:25" x14ac:dyDescent="0.3">
      <c r="A56">
        <v>6538</v>
      </c>
      <c r="B56">
        <v>1</v>
      </c>
      <c r="C56" t="s">
        <v>262</v>
      </c>
      <c r="D56">
        <v>11</v>
      </c>
      <c r="E56" s="5">
        <v>46051.555555555555</v>
      </c>
      <c r="F56" t="s">
        <v>263</v>
      </c>
      <c r="G56" t="s">
        <v>264</v>
      </c>
      <c r="H56" t="s">
        <v>182</v>
      </c>
      <c r="I56">
        <v>1</v>
      </c>
      <c r="J56">
        <v>79233580</v>
      </c>
      <c r="K56" s="5">
        <v>46051</v>
      </c>
      <c r="L56" s="3">
        <v>12500</v>
      </c>
      <c r="M56" t="s">
        <v>265</v>
      </c>
      <c r="N56" t="s">
        <v>56</v>
      </c>
      <c r="O56" t="s">
        <v>266</v>
      </c>
      <c r="P56" s="3">
        <v>12000</v>
      </c>
      <c r="Q56">
        <v>11</v>
      </c>
      <c r="R56" t="s">
        <v>267</v>
      </c>
      <c r="S56" t="s">
        <v>268</v>
      </c>
      <c r="T56" t="s">
        <v>269</v>
      </c>
      <c r="U56" t="s">
        <v>188</v>
      </c>
      <c r="V56" s="3">
        <f>Tabla1[[#This Row],[OS-Valor Unitario]]-Tabla1[[#This Row],[costo_antes_iva]]</f>
        <v>-500</v>
      </c>
      <c r="W56" s="3">
        <f>Tabla1[[#This Row],[OS-Valor Unitario]]*Tabla1[[#This Row],[OS-Cantidad]]</f>
        <v>132000</v>
      </c>
      <c r="X56" s="3">
        <f>Tabla1[[#This Row],[costo_antes_iva]]*Tabla1[[#This Row],[OS-Cantidad]]</f>
        <v>137500</v>
      </c>
      <c r="Y56" s="3">
        <f>Tabla1[[#This Row],[Valor total OS]]-Tabla1[[#This Row],[valor total op]]</f>
        <v>-5500</v>
      </c>
    </row>
    <row r="57" spans="1:25" x14ac:dyDescent="0.3">
      <c r="A57">
        <v>6538</v>
      </c>
      <c r="B57">
        <v>1</v>
      </c>
      <c r="C57" t="s">
        <v>262</v>
      </c>
      <c r="D57">
        <v>11</v>
      </c>
      <c r="E57" s="5">
        <v>46051.555555555555</v>
      </c>
      <c r="F57" t="s">
        <v>263</v>
      </c>
      <c r="G57" t="s">
        <v>264</v>
      </c>
      <c r="H57" t="s">
        <v>182</v>
      </c>
      <c r="I57">
        <v>1</v>
      </c>
      <c r="J57">
        <v>79233580</v>
      </c>
      <c r="K57" s="5">
        <v>46051</v>
      </c>
      <c r="L57" s="3">
        <v>1800</v>
      </c>
      <c r="M57" t="s">
        <v>265</v>
      </c>
      <c r="N57" t="s">
        <v>26</v>
      </c>
      <c r="O57" t="s">
        <v>266</v>
      </c>
      <c r="P57" s="3">
        <v>2150</v>
      </c>
      <c r="Q57">
        <v>11</v>
      </c>
      <c r="R57" t="s">
        <v>270</v>
      </c>
      <c r="S57" t="s">
        <v>268</v>
      </c>
      <c r="T57" t="s">
        <v>269</v>
      </c>
      <c r="U57" t="s">
        <v>188</v>
      </c>
      <c r="V57" s="3">
        <f>Tabla1[[#This Row],[OS-Valor Unitario]]-Tabla1[[#This Row],[costo_antes_iva]]</f>
        <v>350</v>
      </c>
      <c r="W57" s="3">
        <f>Tabla1[[#This Row],[OS-Valor Unitario]]*Tabla1[[#This Row],[OS-Cantidad]]</f>
        <v>23650</v>
      </c>
      <c r="X57" s="3">
        <f>Tabla1[[#This Row],[costo_antes_iva]]*Tabla1[[#This Row],[OS-Cantidad]]</f>
        <v>19800</v>
      </c>
      <c r="Y57" s="3">
        <f>Tabla1[[#This Row],[Valor total OS]]-Tabla1[[#This Row],[valor total op]]</f>
        <v>3850</v>
      </c>
    </row>
    <row r="58" spans="1:25" x14ac:dyDescent="0.3">
      <c r="A58">
        <v>6538</v>
      </c>
      <c r="B58">
        <v>2</v>
      </c>
      <c r="C58" t="s">
        <v>271</v>
      </c>
      <c r="D58">
        <v>11</v>
      </c>
      <c r="E58" s="5">
        <v>46051.555555555555</v>
      </c>
      <c r="F58" t="s">
        <v>272</v>
      </c>
      <c r="G58" t="s">
        <v>264</v>
      </c>
      <c r="H58" t="s">
        <v>182</v>
      </c>
      <c r="I58">
        <v>1</v>
      </c>
      <c r="J58">
        <v>79233605</v>
      </c>
      <c r="K58" s="5">
        <v>46051</v>
      </c>
      <c r="L58" s="3">
        <v>12500</v>
      </c>
      <c r="M58" t="s">
        <v>265</v>
      </c>
      <c r="N58" t="s">
        <v>56</v>
      </c>
      <c r="O58" t="s">
        <v>273</v>
      </c>
      <c r="P58" s="3">
        <v>12000</v>
      </c>
      <c r="Q58">
        <v>11</v>
      </c>
      <c r="R58" t="s">
        <v>274</v>
      </c>
      <c r="S58" t="s">
        <v>268</v>
      </c>
      <c r="T58" t="s">
        <v>269</v>
      </c>
      <c r="U58" t="s">
        <v>188</v>
      </c>
      <c r="V58" s="3">
        <f>Tabla1[[#This Row],[OS-Valor Unitario]]-Tabla1[[#This Row],[costo_antes_iva]]</f>
        <v>-500</v>
      </c>
      <c r="W58" s="3">
        <f>Tabla1[[#This Row],[OS-Valor Unitario]]*Tabla1[[#This Row],[OS-Cantidad]]</f>
        <v>132000</v>
      </c>
      <c r="X58" s="3">
        <f>Tabla1[[#This Row],[costo_antes_iva]]*Tabla1[[#This Row],[OS-Cantidad]]</f>
        <v>137500</v>
      </c>
      <c r="Y58" s="3">
        <f>Tabla1[[#This Row],[Valor total OS]]-Tabla1[[#This Row],[valor total op]]</f>
        <v>-5500</v>
      </c>
    </row>
    <row r="59" spans="1:25" x14ac:dyDescent="0.3">
      <c r="A59">
        <v>6538</v>
      </c>
      <c r="B59">
        <v>2</v>
      </c>
      <c r="C59" t="s">
        <v>271</v>
      </c>
      <c r="D59">
        <v>11</v>
      </c>
      <c r="E59" s="5">
        <v>46051.555555555555</v>
      </c>
      <c r="F59" t="s">
        <v>272</v>
      </c>
      <c r="G59" t="s">
        <v>264</v>
      </c>
      <c r="H59" t="s">
        <v>182</v>
      </c>
      <c r="I59">
        <v>1</v>
      </c>
      <c r="J59">
        <v>79233605</v>
      </c>
      <c r="K59" s="5">
        <v>46051</v>
      </c>
      <c r="L59" s="3">
        <v>1800</v>
      </c>
      <c r="M59" t="s">
        <v>265</v>
      </c>
      <c r="N59" t="s">
        <v>26</v>
      </c>
      <c r="O59" t="s">
        <v>273</v>
      </c>
      <c r="P59" s="3">
        <v>2150</v>
      </c>
      <c r="Q59">
        <v>11</v>
      </c>
      <c r="R59" t="s">
        <v>275</v>
      </c>
      <c r="S59" t="s">
        <v>268</v>
      </c>
      <c r="T59" t="s">
        <v>269</v>
      </c>
      <c r="U59" t="s">
        <v>188</v>
      </c>
      <c r="V59" s="3">
        <f>Tabla1[[#This Row],[OS-Valor Unitario]]-Tabla1[[#This Row],[costo_antes_iva]]</f>
        <v>350</v>
      </c>
      <c r="W59" s="3">
        <f>Tabla1[[#This Row],[OS-Valor Unitario]]*Tabla1[[#This Row],[OS-Cantidad]]</f>
        <v>23650</v>
      </c>
      <c r="X59" s="3">
        <f>Tabla1[[#This Row],[costo_antes_iva]]*Tabla1[[#This Row],[OS-Cantidad]]</f>
        <v>19800</v>
      </c>
      <c r="Y59" s="3">
        <f>Tabla1[[#This Row],[Valor total OS]]-Tabla1[[#This Row],[valor total op]]</f>
        <v>3850</v>
      </c>
    </row>
    <row r="60" spans="1:25" x14ac:dyDescent="0.3">
      <c r="A60">
        <v>6534</v>
      </c>
      <c r="B60">
        <v>1</v>
      </c>
      <c r="C60" t="s">
        <v>276</v>
      </c>
      <c r="D60">
        <v>100</v>
      </c>
      <c r="E60" s="5">
        <v>46051.067361111112</v>
      </c>
      <c r="F60" t="s">
        <v>277</v>
      </c>
      <c r="G60" t="s">
        <v>87</v>
      </c>
      <c r="H60" t="s">
        <v>278</v>
      </c>
      <c r="I60">
        <v>100</v>
      </c>
      <c r="J60">
        <v>79197797</v>
      </c>
      <c r="K60" s="5">
        <v>46051</v>
      </c>
      <c r="L60" s="3">
        <v>6000</v>
      </c>
      <c r="M60" t="s">
        <v>279</v>
      </c>
      <c r="N60" t="s">
        <v>56</v>
      </c>
      <c r="O60" t="s">
        <v>280</v>
      </c>
      <c r="P60" s="3">
        <v>5000</v>
      </c>
      <c r="Q60">
        <v>100</v>
      </c>
      <c r="R60" t="s">
        <v>281</v>
      </c>
      <c r="S60" t="s">
        <v>282</v>
      </c>
      <c r="T60" t="s">
        <v>283</v>
      </c>
      <c r="U60" t="s">
        <v>208</v>
      </c>
      <c r="V60" s="3">
        <f>Tabla1[[#This Row],[OS-Valor Unitario]]-Tabla1[[#This Row],[costo_antes_iva]]</f>
        <v>-1000</v>
      </c>
      <c r="W60" s="3">
        <f>Tabla1[[#This Row],[OS-Valor Unitario]]*Tabla1[[#This Row],[OS-Cantidad]]</f>
        <v>500000</v>
      </c>
      <c r="X60" s="3">
        <f>Tabla1[[#This Row],[costo_antes_iva]]*Tabla1[[#This Row],[OS-Cantidad]]</f>
        <v>600000</v>
      </c>
      <c r="Y60" s="3">
        <f>Tabla1[[#This Row],[Valor total OS]]-Tabla1[[#This Row],[valor total op]]</f>
        <v>-100000</v>
      </c>
    </row>
    <row r="61" spans="1:25" x14ac:dyDescent="0.3">
      <c r="A61">
        <v>6533</v>
      </c>
      <c r="B61">
        <v>1</v>
      </c>
      <c r="C61" t="s">
        <v>284</v>
      </c>
      <c r="D61">
        <v>3907</v>
      </c>
      <c r="E61" s="5">
        <v>46051.044444444444</v>
      </c>
      <c r="F61" t="s">
        <v>285</v>
      </c>
      <c r="G61" t="s">
        <v>128</v>
      </c>
      <c r="H61" t="s">
        <v>286</v>
      </c>
      <c r="I61">
        <v>3907</v>
      </c>
      <c r="J61">
        <v>79196499</v>
      </c>
      <c r="K61" s="5">
        <v>46050</v>
      </c>
      <c r="L61" s="3">
        <v>750</v>
      </c>
      <c r="M61" t="s">
        <v>287</v>
      </c>
      <c r="N61" t="s">
        <v>26</v>
      </c>
      <c r="O61" t="s">
        <v>288</v>
      </c>
      <c r="P61" s="3">
        <v>900</v>
      </c>
      <c r="Q61">
        <v>3947</v>
      </c>
      <c r="R61" t="s">
        <v>289</v>
      </c>
      <c r="S61" t="s">
        <v>290</v>
      </c>
      <c r="T61" t="s">
        <v>291</v>
      </c>
      <c r="U61" t="s">
        <v>208</v>
      </c>
      <c r="V61" s="3">
        <f>Tabla1[[#This Row],[OS-Valor Unitario]]-Tabla1[[#This Row],[costo_antes_iva]]</f>
        <v>150</v>
      </c>
      <c r="W61" s="3">
        <f>Tabla1[[#This Row],[OS-Valor Unitario]]*Tabla1[[#This Row],[OS-Cantidad]]</f>
        <v>3552300</v>
      </c>
      <c r="X61" s="3">
        <f>Tabla1[[#This Row],[costo_antes_iva]]*Tabla1[[#This Row],[OS-Cantidad]]</f>
        <v>2960250</v>
      </c>
      <c r="Y61" s="3">
        <f>Tabla1[[#This Row],[Valor total OS]]-Tabla1[[#This Row],[valor total op]]</f>
        <v>592050</v>
      </c>
    </row>
    <row r="62" spans="1:25" x14ac:dyDescent="0.3">
      <c r="A62">
        <v>6533</v>
      </c>
      <c r="B62">
        <v>2</v>
      </c>
      <c r="C62" t="s">
        <v>292</v>
      </c>
      <c r="D62">
        <v>1561</v>
      </c>
      <c r="E62" s="5">
        <v>46051.044444444444</v>
      </c>
      <c r="F62" t="s">
        <v>293</v>
      </c>
      <c r="G62" t="s">
        <v>294</v>
      </c>
      <c r="H62" t="s">
        <v>286</v>
      </c>
      <c r="I62">
        <v>1561</v>
      </c>
      <c r="J62">
        <v>79196515</v>
      </c>
      <c r="K62" s="5">
        <v>46050</v>
      </c>
      <c r="L62" s="3">
        <v>8167</v>
      </c>
      <c r="M62" t="s">
        <v>287</v>
      </c>
      <c r="N62" t="s">
        <v>56</v>
      </c>
      <c r="O62" t="s">
        <v>295</v>
      </c>
      <c r="P62" s="3">
        <v>8833.3333333333339</v>
      </c>
      <c r="Q62">
        <v>1161</v>
      </c>
      <c r="R62" t="s">
        <v>296</v>
      </c>
      <c r="S62" t="s">
        <v>290</v>
      </c>
      <c r="T62" t="s">
        <v>291</v>
      </c>
      <c r="U62" t="s">
        <v>208</v>
      </c>
      <c r="V62" s="3">
        <f>Tabla1[[#This Row],[OS-Valor Unitario]]-Tabla1[[#This Row],[costo_antes_iva]]</f>
        <v>666.33333333333394</v>
      </c>
      <c r="W62" s="3">
        <f>Tabla1[[#This Row],[OS-Valor Unitario]]*Tabla1[[#This Row],[OS-Cantidad]]</f>
        <v>10255500</v>
      </c>
      <c r="X62" s="3">
        <f>Tabla1[[#This Row],[costo_antes_iva]]*Tabla1[[#This Row],[OS-Cantidad]]</f>
        <v>9481887</v>
      </c>
      <c r="Y62" s="3">
        <f>Tabla1[[#This Row],[Valor total OS]]-Tabla1[[#This Row],[valor total op]]</f>
        <v>773613</v>
      </c>
    </row>
    <row r="63" spans="1:25" x14ac:dyDescent="0.3">
      <c r="A63">
        <v>6533</v>
      </c>
      <c r="B63">
        <v>3</v>
      </c>
      <c r="C63" t="s">
        <v>297</v>
      </c>
      <c r="D63">
        <v>866</v>
      </c>
      <c r="E63" s="5">
        <v>46051.044444444444</v>
      </c>
      <c r="F63" t="s">
        <v>298</v>
      </c>
      <c r="G63" t="s">
        <v>294</v>
      </c>
      <c r="H63" t="s">
        <v>286</v>
      </c>
      <c r="I63">
        <v>866</v>
      </c>
      <c r="J63">
        <v>79196523</v>
      </c>
      <c r="K63" s="5">
        <v>46050</v>
      </c>
      <c r="L63" s="3">
        <v>8143</v>
      </c>
      <c r="M63" t="s">
        <v>287</v>
      </c>
      <c r="N63" t="s">
        <v>56</v>
      </c>
      <c r="O63" t="s">
        <v>299</v>
      </c>
      <c r="P63" s="3">
        <v>9035.75</v>
      </c>
      <c r="Q63">
        <v>1390</v>
      </c>
      <c r="R63" t="s">
        <v>300</v>
      </c>
      <c r="S63" t="s">
        <v>290</v>
      </c>
      <c r="T63" t="s">
        <v>291</v>
      </c>
      <c r="U63" t="s">
        <v>208</v>
      </c>
      <c r="V63" s="3">
        <f>Tabla1[[#This Row],[OS-Valor Unitario]]-Tabla1[[#This Row],[costo_antes_iva]]</f>
        <v>892.75</v>
      </c>
      <c r="W63" s="3">
        <f>Tabla1[[#This Row],[OS-Valor Unitario]]*Tabla1[[#This Row],[OS-Cantidad]]</f>
        <v>12559692.5</v>
      </c>
      <c r="X63" s="3">
        <f>Tabla1[[#This Row],[costo_antes_iva]]*Tabla1[[#This Row],[OS-Cantidad]]</f>
        <v>11318770</v>
      </c>
      <c r="Y63" s="3">
        <f>Tabla1[[#This Row],[Valor total OS]]-Tabla1[[#This Row],[valor total op]]</f>
        <v>1240922.5</v>
      </c>
    </row>
    <row r="64" spans="1:25" x14ac:dyDescent="0.3">
      <c r="A64">
        <v>6533</v>
      </c>
      <c r="B64">
        <v>4</v>
      </c>
      <c r="C64" t="s">
        <v>301</v>
      </c>
      <c r="D64">
        <v>4820</v>
      </c>
      <c r="E64" s="5">
        <v>46051.044444444444</v>
      </c>
      <c r="F64" t="s">
        <v>302</v>
      </c>
      <c r="G64" t="s">
        <v>128</v>
      </c>
      <c r="H64" t="s">
        <v>286</v>
      </c>
      <c r="I64">
        <v>4820</v>
      </c>
      <c r="J64">
        <v>79196531</v>
      </c>
      <c r="K64" s="5">
        <v>46050</v>
      </c>
      <c r="L64" s="3">
        <v>750</v>
      </c>
      <c r="M64" t="s">
        <v>287</v>
      </c>
      <c r="N64" t="s">
        <v>26</v>
      </c>
      <c r="O64" t="s">
        <v>303</v>
      </c>
      <c r="P64" s="3">
        <v>900</v>
      </c>
      <c r="Q64">
        <v>4760</v>
      </c>
      <c r="R64" t="s">
        <v>304</v>
      </c>
      <c r="S64" t="s">
        <v>290</v>
      </c>
      <c r="T64" t="s">
        <v>291</v>
      </c>
      <c r="U64" t="s">
        <v>208</v>
      </c>
      <c r="V64" s="3">
        <f>Tabla1[[#This Row],[OS-Valor Unitario]]-Tabla1[[#This Row],[costo_antes_iva]]</f>
        <v>150</v>
      </c>
      <c r="W64" s="3">
        <f>Tabla1[[#This Row],[OS-Valor Unitario]]*Tabla1[[#This Row],[OS-Cantidad]]</f>
        <v>4284000</v>
      </c>
      <c r="X64" s="3">
        <f>Tabla1[[#This Row],[costo_antes_iva]]*Tabla1[[#This Row],[OS-Cantidad]]</f>
        <v>3570000</v>
      </c>
      <c r="Y64" s="3">
        <f>Tabla1[[#This Row],[Valor total OS]]-Tabla1[[#This Row],[valor total op]]</f>
        <v>714000</v>
      </c>
    </row>
    <row r="65" spans="1:25" x14ac:dyDescent="0.3">
      <c r="A65">
        <v>6533</v>
      </c>
      <c r="B65">
        <v>6</v>
      </c>
      <c r="C65" t="s">
        <v>305</v>
      </c>
      <c r="D65">
        <v>39</v>
      </c>
      <c r="E65" s="5">
        <v>46051.044444444444</v>
      </c>
      <c r="F65" t="s">
        <v>306</v>
      </c>
      <c r="G65" t="s">
        <v>128</v>
      </c>
      <c r="H65" t="s">
        <v>286</v>
      </c>
      <c r="I65">
        <v>39</v>
      </c>
      <c r="J65">
        <v>79196547</v>
      </c>
      <c r="K65" s="5">
        <v>46050</v>
      </c>
      <c r="L65" s="3">
        <v>750</v>
      </c>
      <c r="M65" t="s">
        <v>287</v>
      </c>
      <c r="N65" t="s">
        <v>26</v>
      </c>
      <c r="O65" t="s">
        <v>307</v>
      </c>
      <c r="P65" s="3">
        <v>900</v>
      </c>
      <c r="Q65">
        <v>41</v>
      </c>
      <c r="R65" t="s">
        <v>308</v>
      </c>
      <c r="S65" t="s">
        <v>290</v>
      </c>
      <c r="T65" t="s">
        <v>291</v>
      </c>
      <c r="U65" t="s">
        <v>208</v>
      </c>
      <c r="V65" s="3">
        <f>Tabla1[[#This Row],[OS-Valor Unitario]]-Tabla1[[#This Row],[costo_antes_iva]]</f>
        <v>150</v>
      </c>
      <c r="W65" s="3">
        <f>Tabla1[[#This Row],[OS-Valor Unitario]]*Tabla1[[#This Row],[OS-Cantidad]]</f>
        <v>36900</v>
      </c>
      <c r="X65" s="3">
        <f>Tabla1[[#This Row],[costo_antes_iva]]*Tabla1[[#This Row],[OS-Cantidad]]</f>
        <v>30750</v>
      </c>
      <c r="Y65" s="3">
        <f>Tabla1[[#This Row],[Valor total OS]]-Tabla1[[#This Row],[valor total op]]</f>
        <v>6150</v>
      </c>
    </row>
    <row r="66" spans="1:25" x14ac:dyDescent="0.3">
      <c r="A66">
        <v>6533</v>
      </c>
      <c r="B66">
        <v>7</v>
      </c>
      <c r="C66" t="s">
        <v>309</v>
      </c>
      <c r="D66">
        <v>1795</v>
      </c>
      <c r="E66" s="5">
        <v>46051.044444444444</v>
      </c>
      <c r="F66" t="s">
        <v>310</v>
      </c>
      <c r="G66" t="s">
        <v>294</v>
      </c>
      <c r="H66" t="s">
        <v>286</v>
      </c>
      <c r="I66">
        <v>1795</v>
      </c>
      <c r="J66">
        <v>79196554</v>
      </c>
      <c r="K66" s="5">
        <v>46050</v>
      </c>
      <c r="L66" s="3">
        <v>8125</v>
      </c>
      <c r="M66" t="s">
        <v>287</v>
      </c>
      <c r="N66" t="s">
        <v>56</v>
      </c>
      <c r="O66" t="s">
        <v>311</v>
      </c>
      <c r="P66" s="3">
        <v>8833.3333333333339</v>
      </c>
      <c r="Q66">
        <v>1395</v>
      </c>
      <c r="R66" t="s">
        <v>312</v>
      </c>
      <c r="S66" t="s">
        <v>290</v>
      </c>
      <c r="T66" t="s">
        <v>291</v>
      </c>
      <c r="U66" t="s">
        <v>208</v>
      </c>
      <c r="V66" s="3">
        <f>Tabla1[[#This Row],[OS-Valor Unitario]]-Tabla1[[#This Row],[costo_antes_iva]]</f>
        <v>708.33333333333394</v>
      </c>
      <c r="W66" s="3">
        <f>Tabla1[[#This Row],[OS-Valor Unitario]]*Tabla1[[#This Row],[OS-Cantidad]]</f>
        <v>12322500</v>
      </c>
      <c r="X66" s="3">
        <f>Tabla1[[#This Row],[costo_antes_iva]]*Tabla1[[#This Row],[OS-Cantidad]]</f>
        <v>11334375</v>
      </c>
      <c r="Y66" s="3">
        <f>Tabla1[[#This Row],[Valor total OS]]-Tabla1[[#This Row],[valor total op]]</f>
        <v>988125</v>
      </c>
    </row>
    <row r="67" spans="1:25" x14ac:dyDescent="0.3">
      <c r="A67">
        <v>6533</v>
      </c>
      <c r="B67">
        <v>8</v>
      </c>
      <c r="C67" t="s">
        <v>313</v>
      </c>
      <c r="D67">
        <v>1310</v>
      </c>
      <c r="E67" s="5">
        <v>46051.044444444444</v>
      </c>
      <c r="F67" t="s">
        <v>314</v>
      </c>
      <c r="G67" t="s">
        <v>294</v>
      </c>
      <c r="H67" t="s">
        <v>286</v>
      </c>
      <c r="I67">
        <v>1310</v>
      </c>
      <c r="J67">
        <v>79196561</v>
      </c>
      <c r="K67" s="5">
        <v>46050</v>
      </c>
      <c r="L67" s="3">
        <v>8188</v>
      </c>
      <c r="M67" t="s">
        <v>287</v>
      </c>
      <c r="N67" t="s">
        <v>56</v>
      </c>
      <c r="O67" t="s">
        <v>315</v>
      </c>
      <c r="P67" s="3">
        <v>8837.6</v>
      </c>
      <c r="Q67">
        <v>2051</v>
      </c>
      <c r="R67" t="s">
        <v>316</v>
      </c>
      <c r="S67" t="s">
        <v>290</v>
      </c>
      <c r="T67" t="s">
        <v>291</v>
      </c>
      <c r="U67" t="s">
        <v>208</v>
      </c>
      <c r="V67" s="3">
        <f>Tabla1[[#This Row],[OS-Valor Unitario]]-Tabla1[[#This Row],[costo_antes_iva]]</f>
        <v>649.60000000000036</v>
      </c>
      <c r="W67" s="3">
        <f>Tabla1[[#This Row],[OS-Valor Unitario]]*Tabla1[[#This Row],[OS-Cantidad]]</f>
        <v>18125917.600000001</v>
      </c>
      <c r="X67" s="3">
        <f>Tabla1[[#This Row],[costo_antes_iva]]*Tabla1[[#This Row],[OS-Cantidad]]</f>
        <v>16793588</v>
      </c>
      <c r="Y67" s="3">
        <f>Tabla1[[#This Row],[Valor total OS]]-Tabla1[[#This Row],[valor total op]]</f>
        <v>1332329.6000000015</v>
      </c>
    </row>
    <row r="68" spans="1:25" x14ac:dyDescent="0.3">
      <c r="A68">
        <v>6529</v>
      </c>
      <c r="B68">
        <v>1</v>
      </c>
      <c r="C68" t="s">
        <v>317</v>
      </c>
      <c r="D68">
        <v>75</v>
      </c>
      <c r="E68" s="5">
        <v>46049.513194444444</v>
      </c>
      <c r="F68" t="s">
        <v>318</v>
      </c>
      <c r="G68" t="s">
        <v>100</v>
      </c>
      <c r="H68" t="s">
        <v>319</v>
      </c>
      <c r="I68">
        <v>75</v>
      </c>
      <c r="J68">
        <v>79110649</v>
      </c>
      <c r="K68" s="5">
        <v>46049</v>
      </c>
      <c r="L68" s="3">
        <v>6000</v>
      </c>
      <c r="M68" t="s">
        <v>320</v>
      </c>
      <c r="N68" t="s">
        <v>56</v>
      </c>
      <c r="O68" t="s">
        <v>321</v>
      </c>
      <c r="P68" s="3">
        <v>4000</v>
      </c>
      <c r="Q68">
        <v>76</v>
      </c>
      <c r="R68" t="s">
        <v>322</v>
      </c>
      <c r="S68" t="s">
        <v>323</v>
      </c>
      <c r="T68" t="s">
        <v>324</v>
      </c>
      <c r="U68" t="s">
        <v>325</v>
      </c>
      <c r="V68" s="3">
        <f>Tabla1[[#This Row],[OS-Valor Unitario]]-Tabla1[[#This Row],[costo_antes_iva]]</f>
        <v>-2000</v>
      </c>
      <c r="W68" s="3">
        <f>Tabla1[[#This Row],[OS-Valor Unitario]]*Tabla1[[#This Row],[OS-Cantidad]]</f>
        <v>304000</v>
      </c>
      <c r="X68" s="3">
        <f>Tabla1[[#This Row],[costo_antes_iva]]*Tabla1[[#This Row],[OS-Cantidad]]</f>
        <v>456000</v>
      </c>
      <c r="Y68" s="3">
        <f>Tabla1[[#This Row],[Valor total OS]]-Tabla1[[#This Row],[valor total op]]</f>
        <v>-152000</v>
      </c>
    </row>
    <row r="69" spans="1:25" x14ac:dyDescent="0.3">
      <c r="A69">
        <v>6528</v>
      </c>
      <c r="B69">
        <v>1</v>
      </c>
      <c r="C69" t="s">
        <v>326</v>
      </c>
      <c r="D69">
        <v>136</v>
      </c>
      <c r="E69" s="5">
        <v>46049.5</v>
      </c>
      <c r="F69" t="s">
        <v>327</v>
      </c>
      <c r="G69" t="s">
        <v>294</v>
      </c>
      <c r="H69" t="s">
        <v>319</v>
      </c>
      <c r="I69">
        <v>136</v>
      </c>
      <c r="J69">
        <v>79110026</v>
      </c>
      <c r="K69" s="5">
        <v>46049</v>
      </c>
      <c r="L69" s="3">
        <v>1500</v>
      </c>
      <c r="M69" t="s">
        <v>328</v>
      </c>
      <c r="N69" t="s">
        <v>329</v>
      </c>
      <c r="O69" t="s">
        <v>330</v>
      </c>
      <c r="P69" s="3">
        <v>1600</v>
      </c>
      <c r="Q69">
        <v>136</v>
      </c>
      <c r="R69" t="s">
        <v>331</v>
      </c>
      <c r="S69" t="s">
        <v>332</v>
      </c>
      <c r="T69" t="s">
        <v>333</v>
      </c>
      <c r="U69" t="s">
        <v>325</v>
      </c>
      <c r="V69" s="3">
        <f>Tabla1[[#This Row],[OS-Valor Unitario]]-Tabla1[[#This Row],[costo_antes_iva]]</f>
        <v>100</v>
      </c>
      <c r="W69" s="3">
        <f>Tabla1[[#This Row],[OS-Valor Unitario]]*Tabla1[[#This Row],[OS-Cantidad]]</f>
        <v>217600</v>
      </c>
      <c r="X69" s="3">
        <f>Tabla1[[#This Row],[costo_antes_iva]]*Tabla1[[#This Row],[OS-Cantidad]]</f>
        <v>204000</v>
      </c>
      <c r="Y69" s="3">
        <f>Tabla1[[#This Row],[Valor total OS]]-Tabla1[[#This Row],[valor total op]]</f>
        <v>13600</v>
      </c>
    </row>
    <row r="70" spans="1:25" x14ac:dyDescent="0.3">
      <c r="A70">
        <v>6528</v>
      </c>
      <c r="B70">
        <v>1</v>
      </c>
      <c r="C70" t="s">
        <v>326</v>
      </c>
      <c r="D70">
        <v>136</v>
      </c>
      <c r="E70" s="5">
        <v>46049.5</v>
      </c>
      <c r="F70" t="s">
        <v>327</v>
      </c>
      <c r="G70" t="s">
        <v>294</v>
      </c>
      <c r="H70" t="s">
        <v>319</v>
      </c>
      <c r="I70">
        <v>136</v>
      </c>
      <c r="J70">
        <v>79110026</v>
      </c>
      <c r="K70" s="5">
        <v>46049</v>
      </c>
      <c r="L70" s="3">
        <v>9000</v>
      </c>
      <c r="M70" t="s">
        <v>328</v>
      </c>
      <c r="N70" t="s">
        <v>56</v>
      </c>
      <c r="O70" t="s">
        <v>330</v>
      </c>
      <c r="P70" s="3">
        <v>9000</v>
      </c>
      <c r="Q70">
        <v>136</v>
      </c>
      <c r="R70" t="s">
        <v>334</v>
      </c>
      <c r="S70" t="s">
        <v>332</v>
      </c>
      <c r="T70" t="s">
        <v>333</v>
      </c>
      <c r="U70" t="s">
        <v>325</v>
      </c>
      <c r="V70" s="3">
        <f>Tabla1[[#This Row],[OS-Valor Unitario]]-Tabla1[[#This Row],[costo_antes_iva]]</f>
        <v>0</v>
      </c>
      <c r="W70" s="3">
        <f>Tabla1[[#This Row],[OS-Valor Unitario]]*Tabla1[[#This Row],[OS-Cantidad]]</f>
        <v>1224000</v>
      </c>
      <c r="X70" s="3">
        <f>Tabla1[[#This Row],[costo_antes_iva]]*Tabla1[[#This Row],[OS-Cantidad]]</f>
        <v>1224000</v>
      </c>
      <c r="Y70" s="3">
        <f>Tabla1[[#This Row],[Valor total OS]]-Tabla1[[#This Row],[valor total op]]</f>
        <v>0</v>
      </c>
    </row>
    <row r="71" spans="1:25" x14ac:dyDescent="0.3">
      <c r="A71">
        <v>6527</v>
      </c>
      <c r="B71">
        <v>1</v>
      </c>
      <c r="C71" t="s">
        <v>335</v>
      </c>
      <c r="D71">
        <v>60</v>
      </c>
      <c r="E71" s="5">
        <v>46049.425694444442</v>
      </c>
      <c r="F71" t="s">
        <v>336</v>
      </c>
      <c r="G71" t="s">
        <v>128</v>
      </c>
      <c r="H71" t="s">
        <v>337</v>
      </c>
      <c r="I71">
        <v>60</v>
      </c>
      <c r="J71">
        <v>79104810</v>
      </c>
      <c r="K71" s="5">
        <v>46049</v>
      </c>
      <c r="L71" s="3">
        <v>1400</v>
      </c>
      <c r="M71" t="s">
        <v>338</v>
      </c>
      <c r="N71" t="s">
        <v>26</v>
      </c>
      <c r="O71" t="s">
        <v>339</v>
      </c>
      <c r="P71" s="3">
        <v>1300</v>
      </c>
      <c r="Q71">
        <v>225</v>
      </c>
      <c r="R71" t="s">
        <v>340</v>
      </c>
      <c r="S71" t="s">
        <v>341</v>
      </c>
      <c r="T71" t="s">
        <v>342</v>
      </c>
      <c r="U71" t="s">
        <v>31</v>
      </c>
      <c r="V71" s="3">
        <f>Tabla1[[#This Row],[OS-Valor Unitario]]-Tabla1[[#This Row],[costo_antes_iva]]</f>
        <v>-100</v>
      </c>
      <c r="W71" s="3">
        <f>Tabla1[[#This Row],[OS-Valor Unitario]]*Tabla1[[#This Row],[OS-Cantidad]]</f>
        <v>292500</v>
      </c>
      <c r="X71" s="3">
        <f>Tabla1[[#This Row],[costo_antes_iva]]*Tabla1[[#This Row],[OS-Cantidad]]</f>
        <v>315000</v>
      </c>
      <c r="Y71" s="3">
        <f>Tabla1[[#This Row],[Valor total OS]]-Tabla1[[#This Row],[valor total op]]</f>
        <v>-22500</v>
      </c>
    </row>
    <row r="72" spans="1:25" x14ac:dyDescent="0.3">
      <c r="A72">
        <v>6526</v>
      </c>
      <c r="B72">
        <v>1</v>
      </c>
      <c r="C72" t="s">
        <v>343</v>
      </c>
      <c r="D72">
        <v>36</v>
      </c>
      <c r="E72" s="5">
        <v>46048.576388888891</v>
      </c>
      <c r="F72" t="s">
        <v>344</v>
      </c>
      <c r="G72" t="s">
        <v>345</v>
      </c>
      <c r="H72" t="s">
        <v>346</v>
      </c>
      <c r="I72">
        <v>36</v>
      </c>
      <c r="J72">
        <v>79054350</v>
      </c>
      <c r="K72" s="5">
        <v>46048</v>
      </c>
      <c r="L72" s="3">
        <v>1600</v>
      </c>
      <c r="M72" t="s">
        <v>347</v>
      </c>
      <c r="N72" t="s">
        <v>72</v>
      </c>
      <c r="O72" t="s">
        <v>348</v>
      </c>
      <c r="P72" s="3">
        <v>1600</v>
      </c>
      <c r="Q72">
        <v>36</v>
      </c>
      <c r="R72" t="s">
        <v>349</v>
      </c>
      <c r="S72" t="s">
        <v>350</v>
      </c>
      <c r="T72" t="s">
        <v>351</v>
      </c>
      <c r="U72" t="s">
        <v>177</v>
      </c>
      <c r="V72" s="3">
        <f>Tabla1[[#This Row],[OS-Valor Unitario]]-Tabla1[[#This Row],[costo_antes_iva]]</f>
        <v>0</v>
      </c>
      <c r="W72" s="3">
        <f>Tabla1[[#This Row],[OS-Valor Unitario]]*Tabla1[[#This Row],[OS-Cantidad]]</f>
        <v>57600</v>
      </c>
      <c r="X72" s="3">
        <f>Tabla1[[#This Row],[costo_antes_iva]]*Tabla1[[#This Row],[OS-Cantidad]]</f>
        <v>57600</v>
      </c>
      <c r="Y72" s="3">
        <f>Tabla1[[#This Row],[Valor total OS]]-Tabla1[[#This Row],[valor total op]]</f>
        <v>0</v>
      </c>
    </row>
    <row r="73" spans="1:25" x14ac:dyDescent="0.3">
      <c r="A73">
        <v>6526</v>
      </c>
      <c r="B73">
        <v>1</v>
      </c>
      <c r="C73" t="s">
        <v>343</v>
      </c>
      <c r="D73">
        <v>36</v>
      </c>
      <c r="E73" s="5">
        <v>46048.576388888891</v>
      </c>
      <c r="F73" t="s">
        <v>344</v>
      </c>
      <c r="G73" t="s">
        <v>345</v>
      </c>
      <c r="H73" t="s">
        <v>346</v>
      </c>
      <c r="I73">
        <v>36</v>
      </c>
      <c r="J73">
        <v>79054350</v>
      </c>
      <c r="K73" s="5">
        <v>46048</v>
      </c>
      <c r="L73" s="3">
        <v>13000</v>
      </c>
      <c r="M73" t="s">
        <v>347</v>
      </c>
      <c r="N73" t="s">
        <v>56</v>
      </c>
      <c r="O73" t="s">
        <v>348</v>
      </c>
      <c r="P73" s="3">
        <v>13500</v>
      </c>
      <c r="Q73">
        <v>36</v>
      </c>
      <c r="R73" t="s">
        <v>352</v>
      </c>
      <c r="S73" t="s">
        <v>350</v>
      </c>
      <c r="T73" t="s">
        <v>351</v>
      </c>
      <c r="U73" t="s">
        <v>177</v>
      </c>
      <c r="V73" s="3">
        <f>Tabla1[[#This Row],[OS-Valor Unitario]]-Tabla1[[#This Row],[costo_antes_iva]]</f>
        <v>500</v>
      </c>
      <c r="W73" s="3">
        <f>Tabla1[[#This Row],[OS-Valor Unitario]]*Tabla1[[#This Row],[OS-Cantidad]]</f>
        <v>486000</v>
      </c>
      <c r="X73" s="3">
        <f>Tabla1[[#This Row],[costo_antes_iva]]*Tabla1[[#This Row],[OS-Cantidad]]</f>
        <v>468000</v>
      </c>
      <c r="Y73" s="3">
        <f>Tabla1[[#This Row],[Valor total OS]]-Tabla1[[#This Row],[valor total op]]</f>
        <v>18000</v>
      </c>
    </row>
    <row r="74" spans="1:25" x14ac:dyDescent="0.3">
      <c r="A74">
        <v>6524</v>
      </c>
      <c r="B74">
        <v>1</v>
      </c>
      <c r="C74" t="s">
        <v>353</v>
      </c>
      <c r="D74">
        <v>12</v>
      </c>
      <c r="E74" s="5">
        <v>46045.617361111108</v>
      </c>
      <c r="F74" t="s">
        <v>354</v>
      </c>
      <c r="G74" t="s">
        <v>355</v>
      </c>
      <c r="H74" t="s">
        <v>182</v>
      </c>
      <c r="I74">
        <v>12</v>
      </c>
      <c r="J74">
        <v>78935301</v>
      </c>
      <c r="K74" s="5">
        <v>46045</v>
      </c>
      <c r="L74" s="3">
        <v>6000</v>
      </c>
      <c r="M74" t="s">
        <v>356</v>
      </c>
      <c r="N74" t="s">
        <v>56</v>
      </c>
      <c r="O74" t="s">
        <v>357</v>
      </c>
      <c r="P74" s="3">
        <v>5000</v>
      </c>
      <c r="Q74">
        <v>12</v>
      </c>
      <c r="R74" t="s">
        <v>358</v>
      </c>
      <c r="S74" t="s">
        <v>359</v>
      </c>
      <c r="T74" t="s">
        <v>360</v>
      </c>
      <c r="U74" t="s">
        <v>188</v>
      </c>
      <c r="V74" s="3">
        <f>Tabla1[[#This Row],[OS-Valor Unitario]]-Tabla1[[#This Row],[costo_antes_iva]]</f>
        <v>-1000</v>
      </c>
      <c r="W74" s="3">
        <f>Tabla1[[#This Row],[OS-Valor Unitario]]*Tabla1[[#This Row],[OS-Cantidad]]</f>
        <v>60000</v>
      </c>
      <c r="X74" s="3">
        <f>Tabla1[[#This Row],[costo_antes_iva]]*Tabla1[[#This Row],[OS-Cantidad]]</f>
        <v>72000</v>
      </c>
      <c r="Y74" s="3">
        <f>Tabla1[[#This Row],[Valor total OS]]-Tabla1[[#This Row],[valor total op]]</f>
        <v>-12000</v>
      </c>
    </row>
    <row r="75" spans="1:25" x14ac:dyDescent="0.3">
      <c r="A75">
        <v>6524</v>
      </c>
      <c r="B75">
        <v>2</v>
      </c>
      <c r="C75" t="s">
        <v>361</v>
      </c>
      <c r="D75">
        <v>30</v>
      </c>
      <c r="E75" s="5">
        <v>46045.617361111108</v>
      </c>
      <c r="F75" t="s">
        <v>362</v>
      </c>
      <c r="G75" t="s">
        <v>294</v>
      </c>
      <c r="H75" t="s">
        <v>182</v>
      </c>
      <c r="I75">
        <v>30</v>
      </c>
      <c r="J75">
        <v>78935758</v>
      </c>
      <c r="K75" s="5">
        <v>46045</v>
      </c>
      <c r="L75" s="3">
        <v>4500</v>
      </c>
      <c r="M75" t="s">
        <v>356</v>
      </c>
      <c r="N75" t="s">
        <v>56</v>
      </c>
      <c r="O75" t="s">
        <v>363</v>
      </c>
      <c r="P75" s="3">
        <v>5500</v>
      </c>
      <c r="Q75">
        <v>30</v>
      </c>
      <c r="R75" t="s">
        <v>364</v>
      </c>
      <c r="S75" t="s">
        <v>359</v>
      </c>
      <c r="T75" t="s">
        <v>360</v>
      </c>
      <c r="U75" t="s">
        <v>188</v>
      </c>
      <c r="V75" s="3">
        <f>Tabla1[[#This Row],[OS-Valor Unitario]]-Tabla1[[#This Row],[costo_antes_iva]]</f>
        <v>1000</v>
      </c>
      <c r="W75" s="3">
        <f>Tabla1[[#This Row],[OS-Valor Unitario]]*Tabla1[[#This Row],[OS-Cantidad]]</f>
        <v>165000</v>
      </c>
      <c r="X75" s="3">
        <f>Tabla1[[#This Row],[costo_antes_iva]]*Tabla1[[#This Row],[OS-Cantidad]]</f>
        <v>135000</v>
      </c>
      <c r="Y75" s="3">
        <f>Tabla1[[#This Row],[Valor total OS]]-Tabla1[[#This Row],[valor total op]]</f>
        <v>30000</v>
      </c>
    </row>
    <row r="76" spans="1:25" x14ac:dyDescent="0.3">
      <c r="A76">
        <v>6524</v>
      </c>
      <c r="B76">
        <v>2</v>
      </c>
      <c r="C76" t="s">
        <v>361</v>
      </c>
      <c r="D76">
        <v>30</v>
      </c>
      <c r="E76" s="5">
        <v>46045.617361111108</v>
      </c>
      <c r="F76" t="s">
        <v>362</v>
      </c>
      <c r="G76" t="s">
        <v>294</v>
      </c>
      <c r="H76" t="s">
        <v>182</v>
      </c>
      <c r="I76">
        <v>30</v>
      </c>
      <c r="J76">
        <v>78935758</v>
      </c>
      <c r="K76" s="5">
        <v>46045</v>
      </c>
      <c r="L76" s="3">
        <v>700</v>
      </c>
      <c r="M76" t="s">
        <v>356</v>
      </c>
      <c r="N76" t="s">
        <v>26</v>
      </c>
      <c r="O76" t="s">
        <v>363</v>
      </c>
      <c r="P76" s="3">
        <v>700</v>
      </c>
      <c r="Q76">
        <v>30</v>
      </c>
      <c r="R76" t="s">
        <v>365</v>
      </c>
      <c r="S76" t="s">
        <v>359</v>
      </c>
      <c r="T76" t="s">
        <v>360</v>
      </c>
      <c r="U76" t="s">
        <v>188</v>
      </c>
      <c r="V76" s="3">
        <f>Tabla1[[#This Row],[OS-Valor Unitario]]-Tabla1[[#This Row],[costo_antes_iva]]</f>
        <v>0</v>
      </c>
      <c r="W76" s="3">
        <f>Tabla1[[#This Row],[OS-Valor Unitario]]*Tabla1[[#This Row],[OS-Cantidad]]</f>
        <v>21000</v>
      </c>
      <c r="X76" s="3">
        <f>Tabla1[[#This Row],[costo_antes_iva]]*Tabla1[[#This Row],[OS-Cantidad]]</f>
        <v>21000</v>
      </c>
      <c r="Y76" s="3">
        <f>Tabla1[[#This Row],[Valor total OS]]-Tabla1[[#This Row],[valor total op]]</f>
        <v>0</v>
      </c>
    </row>
    <row r="77" spans="1:25" x14ac:dyDescent="0.3">
      <c r="A77">
        <v>6524</v>
      </c>
      <c r="B77">
        <v>3</v>
      </c>
      <c r="C77" t="s">
        <v>366</v>
      </c>
      <c r="D77">
        <v>20</v>
      </c>
      <c r="E77" s="5">
        <v>46045.617361111108</v>
      </c>
      <c r="F77" t="s">
        <v>367</v>
      </c>
      <c r="G77" t="s">
        <v>368</v>
      </c>
      <c r="H77" t="s">
        <v>182</v>
      </c>
      <c r="I77">
        <v>20</v>
      </c>
      <c r="J77">
        <v>78936091</v>
      </c>
      <c r="K77" s="5">
        <v>46045</v>
      </c>
      <c r="L77" s="3">
        <v>2500</v>
      </c>
      <c r="M77" t="s">
        <v>356</v>
      </c>
      <c r="N77" t="s">
        <v>56</v>
      </c>
      <c r="O77" t="s">
        <v>369</v>
      </c>
      <c r="P77" s="3">
        <v>3000</v>
      </c>
      <c r="Q77">
        <v>20</v>
      </c>
      <c r="R77" t="s">
        <v>370</v>
      </c>
      <c r="S77" t="s">
        <v>359</v>
      </c>
      <c r="T77" t="s">
        <v>360</v>
      </c>
      <c r="U77" t="s">
        <v>188</v>
      </c>
      <c r="V77" s="3">
        <f>Tabla1[[#This Row],[OS-Valor Unitario]]-Tabla1[[#This Row],[costo_antes_iva]]</f>
        <v>500</v>
      </c>
      <c r="W77" s="3">
        <f>Tabla1[[#This Row],[OS-Valor Unitario]]*Tabla1[[#This Row],[OS-Cantidad]]</f>
        <v>60000</v>
      </c>
      <c r="X77" s="3">
        <f>Tabla1[[#This Row],[costo_antes_iva]]*Tabla1[[#This Row],[OS-Cantidad]]</f>
        <v>50000</v>
      </c>
      <c r="Y77" s="3">
        <f>Tabla1[[#This Row],[Valor total OS]]-Tabla1[[#This Row],[valor total op]]</f>
        <v>10000</v>
      </c>
    </row>
    <row r="78" spans="1:25" x14ac:dyDescent="0.3">
      <c r="A78">
        <v>6524</v>
      </c>
      <c r="B78">
        <v>4</v>
      </c>
      <c r="C78" t="s">
        <v>371</v>
      </c>
      <c r="D78">
        <v>20</v>
      </c>
      <c r="E78" s="5">
        <v>46045.617361111108</v>
      </c>
      <c r="F78" t="s">
        <v>372</v>
      </c>
      <c r="G78" t="s">
        <v>368</v>
      </c>
      <c r="H78" t="s">
        <v>182</v>
      </c>
      <c r="I78">
        <v>20</v>
      </c>
      <c r="J78">
        <v>78936114</v>
      </c>
      <c r="K78" s="5">
        <v>46045</v>
      </c>
      <c r="L78" s="3">
        <v>2500</v>
      </c>
      <c r="M78" t="s">
        <v>356</v>
      </c>
      <c r="N78" t="s">
        <v>56</v>
      </c>
      <c r="O78" t="s">
        <v>373</v>
      </c>
      <c r="P78" s="3">
        <v>3000</v>
      </c>
      <c r="Q78">
        <v>20</v>
      </c>
      <c r="R78" t="s">
        <v>374</v>
      </c>
      <c r="S78" t="s">
        <v>359</v>
      </c>
      <c r="T78" t="s">
        <v>360</v>
      </c>
      <c r="U78" t="s">
        <v>188</v>
      </c>
      <c r="V78" s="3">
        <f>Tabla1[[#This Row],[OS-Valor Unitario]]-Tabla1[[#This Row],[costo_antes_iva]]</f>
        <v>500</v>
      </c>
      <c r="W78" s="3">
        <f>Tabla1[[#This Row],[OS-Valor Unitario]]*Tabla1[[#This Row],[OS-Cantidad]]</f>
        <v>60000</v>
      </c>
      <c r="X78" s="3">
        <f>Tabla1[[#This Row],[costo_antes_iva]]*Tabla1[[#This Row],[OS-Cantidad]]</f>
        <v>50000</v>
      </c>
      <c r="Y78" s="3">
        <f>Tabla1[[#This Row],[Valor total OS]]-Tabla1[[#This Row],[valor total op]]</f>
        <v>10000</v>
      </c>
    </row>
    <row r="79" spans="1:25" x14ac:dyDescent="0.3">
      <c r="A79">
        <v>6524</v>
      </c>
      <c r="B79">
        <v>5</v>
      </c>
      <c r="C79" t="s">
        <v>375</v>
      </c>
      <c r="D79">
        <v>10</v>
      </c>
      <c r="E79" s="5">
        <v>46045.617361111108</v>
      </c>
      <c r="F79" t="s">
        <v>376</v>
      </c>
      <c r="G79" t="s">
        <v>368</v>
      </c>
      <c r="H79" t="s">
        <v>182</v>
      </c>
      <c r="I79">
        <v>10</v>
      </c>
      <c r="J79">
        <v>78936157</v>
      </c>
      <c r="K79" s="5">
        <v>46045</v>
      </c>
      <c r="L79" s="3">
        <v>2500</v>
      </c>
      <c r="M79" t="s">
        <v>356</v>
      </c>
      <c r="N79" t="s">
        <v>56</v>
      </c>
      <c r="O79" t="s">
        <v>377</v>
      </c>
      <c r="P79" s="3">
        <v>3000</v>
      </c>
      <c r="Q79">
        <v>12</v>
      </c>
      <c r="R79" t="s">
        <v>378</v>
      </c>
      <c r="S79" t="s">
        <v>359</v>
      </c>
      <c r="T79" t="s">
        <v>360</v>
      </c>
      <c r="U79" t="s">
        <v>188</v>
      </c>
      <c r="V79" s="3">
        <f>Tabla1[[#This Row],[OS-Valor Unitario]]-Tabla1[[#This Row],[costo_antes_iva]]</f>
        <v>500</v>
      </c>
      <c r="W79" s="3">
        <f>Tabla1[[#This Row],[OS-Valor Unitario]]*Tabla1[[#This Row],[OS-Cantidad]]</f>
        <v>36000</v>
      </c>
      <c r="X79" s="3">
        <f>Tabla1[[#This Row],[costo_antes_iva]]*Tabla1[[#This Row],[OS-Cantidad]]</f>
        <v>30000</v>
      </c>
      <c r="Y79" s="3">
        <f>Tabla1[[#This Row],[Valor total OS]]-Tabla1[[#This Row],[valor total op]]</f>
        <v>6000</v>
      </c>
    </row>
    <row r="80" spans="1:25" x14ac:dyDescent="0.3">
      <c r="A80">
        <v>6523</v>
      </c>
      <c r="B80">
        <v>1</v>
      </c>
      <c r="C80" t="s">
        <v>379</v>
      </c>
      <c r="D80">
        <v>5</v>
      </c>
      <c r="E80" s="5">
        <v>46045.604166666664</v>
      </c>
      <c r="F80" t="s">
        <v>380</v>
      </c>
      <c r="G80" t="s">
        <v>381</v>
      </c>
      <c r="H80" t="s">
        <v>382</v>
      </c>
      <c r="I80">
        <v>5</v>
      </c>
      <c r="J80">
        <v>78810546</v>
      </c>
      <c r="K80" s="5">
        <v>46043</v>
      </c>
      <c r="L80" s="3">
        <v>18000</v>
      </c>
      <c r="M80" t="s">
        <v>383</v>
      </c>
      <c r="N80" t="s">
        <v>56</v>
      </c>
      <c r="O80" t="s">
        <v>384</v>
      </c>
      <c r="P80" s="3">
        <v>17000</v>
      </c>
      <c r="Q80">
        <v>5</v>
      </c>
      <c r="R80" t="s">
        <v>385</v>
      </c>
      <c r="S80" t="s">
        <v>386</v>
      </c>
      <c r="T80" t="s">
        <v>387</v>
      </c>
      <c r="U80" t="s">
        <v>31</v>
      </c>
      <c r="V80" s="3">
        <f>Tabla1[[#This Row],[OS-Valor Unitario]]-Tabla1[[#This Row],[costo_antes_iva]]</f>
        <v>-1000</v>
      </c>
      <c r="W80" s="3">
        <f>Tabla1[[#This Row],[OS-Valor Unitario]]*Tabla1[[#This Row],[OS-Cantidad]]</f>
        <v>85000</v>
      </c>
      <c r="X80" s="3">
        <f>Tabla1[[#This Row],[costo_antes_iva]]*Tabla1[[#This Row],[OS-Cantidad]]</f>
        <v>90000</v>
      </c>
      <c r="Y80" s="3">
        <f>Tabla1[[#This Row],[Valor total OS]]-Tabla1[[#This Row],[valor total op]]</f>
        <v>-5000</v>
      </c>
    </row>
    <row r="81" spans="1:25" x14ac:dyDescent="0.3">
      <c r="A81">
        <v>6523</v>
      </c>
      <c r="B81">
        <v>1</v>
      </c>
      <c r="C81" t="s">
        <v>379</v>
      </c>
      <c r="D81">
        <v>5</v>
      </c>
      <c r="E81" s="5">
        <v>46045.604166666664</v>
      </c>
      <c r="F81" t="s">
        <v>380</v>
      </c>
      <c r="G81" t="s">
        <v>381</v>
      </c>
      <c r="H81" t="s">
        <v>382</v>
      </c>
      <c r="I81">
        <v>5</v>
      </c>
      <c r="J81">
        <v>78810546</v>
      </c>
      <c r="K81" s="5">
        <v>46043</v>
      </c>
      <c r="L81" s="3">
        <v>2000</v>
      </c>
      <c r="M81" t="s">
        <v>383</v>
      </c>
      <c r="N81" t="s">
        <v>72</v>
      </c>
      <c r="O81" t="s">
        <v>384</v>
      </c>
      <c r="P81" s="3">
        <v>3000</v>
      </c>
      <c r="Q81">
        <v>5</v>
      </c>
      <c r="R81" t="s">
        <v>388</v>
      </c>
      <c r="S81" t="s">
        <v>386</v>
      </c>
      <c r="T81" t="s">
        <v>387</v>
      </c>
      <c r="U81" t="s">
        <v>31</v>
      </c>
      <c r="V81" s="3">
        <f>Tabla1[[#This Row],[OS-Valor Unitario]]-Tabla1[[#This Row],[costo_antes_iva]]</f>
        <v>1000</v>
      </c>
      <c r="W81" s="3">
        <f>Tabla1[[#This Row],[OS-Valor Unitario]]*Tabla1[[#This Row],[OS-Cantidad]]</f>
        <v>15000</v>
      </c>
      <c r="X81" s="3">
        <f>Tabla1[[#This Row],[costo_antes_iva]]*Tabla1[[#This Row],[OS-Cantidad]]</f>
        <v>10000</v>
      </c>
      <c r="Y81" s="3">
        <f>Tabla1[[#This Row],[Valor total OS]]-Tabla1[[#This Row],[valor total op]]</f>
        <v>5000</v>
      </c>
    </row>
    <row r="82" spans="1:25" x14ac:dyDescent="0.3">
      <c r="A82">
        <v>6523</v>
      </c>
      <c r="B82">
        <v>2</v>
      </c>
      <c r="C82" t="s">
        <v>389</v>
      </c>
      <c r="D82">
        <v>5</v>
      </c>
      <c r="E82" s="5">
        <v>46045.604166666664</v>
      </c>
      <c r="F82" t="s">
        <v>390</v>
      </c>
      <c r="G82" t="s">
        <v>381</v>
      </c>
      <c r="H82" t="s">
        <v>382</v>
      </c>
      <c r="I82">
        <v>5</v>
      </c>
      <c r="J82">
        <v>78810552</v>
      </c>
      <c r="K82" s="5">
        <v>46043</v>
      </c>
      <c r="L82" s="3">
        <v>18000</v>
      </c>
      <c r="M82" t="s">
        <v>383</v>
      </c>
      <c r="N82" t="s">
        <v>56</v>
      </c>
      <c r="O82" t="s">
        <v>391</v>
      </c>
      <c r="P82" s="3">
        <v>17000</v>
      </c>
      <c r="Q82">
        <v>5</v>
      </c>
      <c r="R82" t="s">
        <v>392</v>
      </c>
      <c r="S82" t="s">
        <v>386</v>
      </c>
      <c r="T82" t="s">
        <v>387</v>
      </c>
      <c r="U82" t="s">
        <v>31</v>
      </c>
      <c r="V82" s="3">
        <f>Tabla1[[#This Row],[OS-Valor Unitario]]-Tabla1[[#This Row],[costo_antes_iva]]</f>
        <v>-1000</v>
      </c>
      <c r="W82" s="3">
        <f>Tabla1[[#This Row],[OS-Valor Unitario]]*Tabla1[[#This Row],[OS-Cantidad]]</f>
        <v>85000</v>
      </c>
      <c r="X82" s="3">
        <f>Tabla1[[#This Row],[costo_antes_iva]]*Tabla1[[#This Row],[OS-Cantidad]]</f>
        <v>90000</v>
      </c>
      <c r="Y82" s="3">
        <f>Tabla1[[#This Row],[Valor total OS]]-Tabla1[[#This Row],[valor total op]]</f>
        <v>-5000</v>
      </c>
    </row>
    <row r="83" spans="1:25" x14ac:dyDescent="0.3">
      <c r="A83">
        <v>6523</v>
      </c>
      <c r="B83">
        <v>2</v>
      </c>
      <c r="C83" t="s">
        <v>389</v>
      </c>
      <c r="D83">
        <v>5</v>
      </c>
      <c r="E83" s="5">
        <v>46045.604166666664</v>
      </c>
      <c r="F83" t="s">
        <v>390</v>
      </c>
      <c r="G83" t="s">
        <v>381</v>
      </c>
      <c r="H83" t="s">
        <v>382</v>
      </c>
      <c r="I83">
        <v>5</v>
      </c>
      <c r="J83">
        <v>78810552</v>
      </c>
      <c r="K83" s="5">
        <v>46043</v>
      </c>
      <c r="L83" s="3">
        <v>2000</v>
      </c>
      <c r="M83" t="s">
        <v>383</v>
      </c>
      <c r="N83" t="s">
        <v>72</v>
      </c>
      <c r="O83" t="s">
        <v>391</v>
      </c>
      <c r="P83" s="3">
        <v>3000</v>
      </c>
      <c r="Q83">
        <v>5</v>
      </c>
      <c r="R83" t="s">
        <v>393</v>
      </c>
      <c r="S83" t="s">
        <v>386</v>
      </c>
      <c r="T83" t="s">
        <v>387</v>
      </c>
      <c r="U83" t="s">
        <v>31</v>
      </c>
      <c r="V83" s="3">
        <f>Tabla1[[#This Row],[OS-Valor Unitario]]-Tabla1[[#This Row],[costo_antes_iva]]</f>
        <v>1000</v>
      </c>
      <c r="W83" s="3">
        <f>Tabla1[[#This Row],[OS-Valor Unitario]]*Tabla1[[#This Row],[OS-Cantidad]]</f>
        <v>15000</v>
      </c>
      <c r="X83" s="3">
        <f>Tabla1[[#This Row],[costo_antes_iva]]*Tabla1[[#This Row],[OS-Cantidad]]</f>
        <v>10000</v>
      </c>
      <c r="Y83" s="3">
        <f>Tabla1[[#This Row],[Valor total OS]]-Tabla1[[#This Row],[valor total op]]</f>
        <v>5000</v>
      </c>
    </row>
    <row r="84" spans="1:25" x14ac:dyDescent="0.3">
      <c r="A84">
        <v>6523</v>
      </c>
      <c r="B84">
        <v>1</v>
      </c>
      <c r="C84" t="s">
        <v>379</v>
      </c>
      <c r="D84">
        <v>5</v>
      </c>
      <c r="E84" s="5">
        <v>46045.604166666664</v>
      </c>
      <c r="F84" t="s">
        <v>380</v>
      </c>
      <c r="G84" t="s">
        <v>381</v>
      </c>
      <c r="H84" t="s">
        <v>382</v>
      </c>
      <c r="I84">
        <v>5</v>
      </c>
      <c r="J84">
        <v>78810546</v>
      </c>
      <c r="K84" s="5">
        <v>46043</v>
      </c>
      <c r="L84" s="3">
        <v>18000</v>
      </c>
      <c r="M84" t="s">
        <v>383</v>
      </c>
      <c r="N84" t="s">
        <v>56</v>
      </c>
      <c r="O84" t="s">
        <v>384</v>
      </c>
      <c r="P84" s="3">
        <v>17000</v>
      </c>
      <c r="Q84">
        <v>5</v>
      </c>
      <c r="R84" t="s">
        <v>385</v>
      </c>
      <c r="S84" t="s">
        <v>386</v>
      </c>
      <c r="T84" t="s">
        <v>387</v>
      </c>
      <c r="U84" t="s">
        <v>31</v>
      </c>
      <c r="V84" s="3">
        <f>Tabla1[[#This Row],[OS-Valor Unitario]]-Tabla1[[#This Row],[costo_antes_iva]]</f>
        <v>-1000</v>
      </c>
      <c r="W84" s="3">
        <f>Tabla1[[#This Row],[OS-Valor Unitario]]*Tabla1[[#This Row],[OS-Cantidad]]</f>
        <v>85000</v>
      </c>
      <c r="X84" s="3">
        <f>Tabla1[[#This Row],[costo_antes_iva]]*Tabla1[[#This Row],[OS-Cantidad]]</f>
        <v>90000</v>
      </c>
      <c r="Y84" s="3">
        <f>Tabla1[[#This Row],[Valor total OS]]-Tabla1[[#This Row],[valor total op]]</f>
        <v>-5000</v>
      </c>
    </row>
    <row r="85" spans="1:25" x14ac:dyDescent="0.3">
      <c r="A85">
        <v>6523</v>
      </c>
      <c r="B85">
        <v>1</v>
      </c>
      <c r="C85" t="s">
        <v>379</v>
      </c>
      <c r="D85">
        <v>5</v>
      </c>
      <c r="E85" s="5">
        <v>46045.604166666664</v>
      </c>
      <c r="F85" t="s">
        <v>380</v>
      </c>
      <c r="G85" t="s">
        <v>381</v>
      </c>
      <c r="H85" t="s">
        <v>382</v>
      </c>
      <c r="I85">
        <v>5</v>
      </c>
      <c r="J85">
        <v>78810546</v>
      </c>
      <c r="K85" s="5">
        <v>46043</v>
      </c>
      <c r="L85" s="3">
        <v>2000</v>
      </c>
      <c r="M85" t="s">
        <v>383</v>
      </c>
      <c r="N85" t="s">
        <v>72</v>
      </c>
      <c r="O85" t="s">
        <v>384</v>
      </c>
      <c r="P85" s="3">
        <v>3000</v>
      </c>
      <c r="Q85">
        <v>5</v>
      </c>
      <c r="R85" t="s">
        <v>388</v>
      </c>
      <c r="S85" t="s">
        <v>386</v>
      </c>
      <c r="T85" t="s">
        <v>387</v>
      </c>
      <c r="U85" t="s">
        <v>31</v>
      </c>
      <c r="V85" s="3">
        <f>Tabla1[[#This Row],[OS-Valor Unitario]]-Tabla1[[#This Row],[costo_antes_iva]]</f>
        <v>1000</v>
      </c>
      <c r="W85" s="3">
        <f>Tabla1[[#This Row],[OS-Valor Unitario]]*Tabla1[[#This Row],[OS-Cantidad]]</f>
        <v>15000</v>
      </c>
      <c r="X85" s="3">
        <f>Tabla1[[#This Row],[costo_antes_iva]]*Tabla1[[#This Row],[OS-Cantidad]]</f>
        <v>10000</v>
      </c>
      <c r="Y85" s="3">
        <f>Tabla1[[#This Row],[Valor total OS]]-Tabla1[[#This Row],[valor total op]]</f>
        <v>5000</v>
      </c>
    </row>
    <row r="86" spans="1:25" x14ac:dyDescent="0.3">
      <c r="A86">
        <v>6523</v>
      </c>
      <c r="B86">
        <v>2</v>
      </c>
      <c r="C86" t="s">
        <v>389</v>
      </c>
      <c r="D86">
        <v>5</v>
      </c>
      <c r="E86" s="5">
        <v>46045.604166666664</v>
      </c>
      <c r="F86" t="s">
        <v>390</v>
      </c>
      <c r="G86" t="s">
        <v>381</v>
      </c>
      <c r="H86" t="s">
        <v>382</v>
      </c>
      <c r="I86">
        <v>5</v>
      </c>
      <c r="J86">
        <v>78810552</v>
      </c>
      <c r="K86" s="5">
        <v>46043</v>
      </c>
      <c r="L86" s="3">
        <v>18000</v>
      </c>
      <c r="M86" t="s">
        <v>383</v>
      </c>
      <c r="N86" t="s">
        <v>56</v>
      </c>
      <c r="O86" t="s">
        <v>391</v>
      </c>
      <c r="P86" s="3">
        <v>17000</v>
      </c>
      <c r="Q86">
        <v>5</v>
      </c>
      <c r="R86" t="s">
        <v>392</v>
      </c>
      <c r="S86" t="s">
        <v>386</v>
      </c>
      <c r="T86" t="s">
        <v>387</v>
      </c>
      <c r="U86" t="s">
        <v>31</v>
      </c>
      <c r="V86" s="3">
        <f>Tabla1[[#This Row],[OS-Valor Unitario]]-Tabla1[[#This Row],[costo_antes_iva]]</f>
        <v>-1000</v>
      </c>
      <c r="W86" s="3">
        <f>Tabla1[[#This Row],[OS-Valor Unitario]]*Tabla1[[#This Row],[OS-Cantidad]]</f>
        <v>85000</v>
      </c>
      <c r="X86" s="3">
        <f>Tabla1[[#This Row],[costo_antes_iva]]*Tabla1[[#This Row],[OS-Cantidad]]</f>
        <v>90000</v>
      </c>
      <c r="Y86" s="3">
        <f>Tabla1[[#This Row],[Valor total OS]]-Tabla1[[#This Row],[valor total op]]</f>
        <v>-5000</v>
      </c>
    </row>
    <row r="87" spans="1:25" x14ac:dyDescent="0.3">
      <c r="A87">
        <v>6523</v>
      </c>
      <c r="B87">
        <v>2</v>
      </c>
      <c r="C87" t="s">
        <v>389</v>
      </c>
      <c r="D87">
        <v>5</v>
      </c>
      <c r="E87" s="5">
        <v>46045.604166666664</v>
      </c>
      <c r="F87" t="s">
        <v>390</v>
      </c>
      <c r="G87" t="s">
        <v>381</v>
      </c>
      <c r="H87" t="s">
        <v>382</v>
      </c>
      <c r="I87">
        <v>5</v>
      </c>
      <c r="J87">
        <v>78810552</v>
      </c>
      <c r="K87" s="5">
        <v>46043</v>
      </c>
      <c r="L87" s="3">
        <v>2000</v>
      </c>
      <c r="M87" t="s">
        <v>383</v>
      </c>
      <c r="N87" t="s">
        <v>72</v>
      </c>
      <c r="O87" t="s">
        <v>391</v>
      </c>
      <c r="P87" s="3">
        <v>3000</v>
      </c>
      <c r="Q87">
        <v>5</v>
      </c>
      <c r="R87" t="s">
        <v>393</v>
      </c>
      <c r="S87" t="s">
        <v>386</v>
      </c>
      <c r="T87" t="s">
        <v>387</v>
      </c>
      <c r="U87" t="s">
        <v>31</v>
      </c>
      <c r="V87" s="3">
        <f>Tabla1[[#This Row],[OS-Valor Unitario]]-Tabla1[[#This Row],[costo_antes_iva]]</f>
        <v>1000</v>
      </c>
      <c r="W87" s="3">
        <f>Tabla1[[#This Row],[OS-Valor Unitario]]*Tabla1[[#This Row],[OS-Cantidad]]</f>
        <v>15000</v>
      </c>
      <c r="X87" s="3">
        <f>Tabla1[[#This Row],[costo_antes_iva]]*Tabla1[[#This Row],[OS-Cantidad]]</f>
        <v>10000</v>
      </c>
      <c r="Y87" s="3">
        <f>Tabla1[[#This Row],[Valor total OS]]-Tabla1[[#This Row],[valor total op]]</f>
        <v>5000</v>
      </c>
    </row>
    <row r="88" spans="1:25" x14ac:dyDescent="0.3">
      <c r="A88">
        <v>6517</v>
      </c>
      <c r="B88">
        <v>1</v>
      </c>
      <c r="C88" t="s">
        <v>394</v>
      </c>
      <c r="D88">
        <v>10</v>
      </c>
      <c r="E88" s="5">
        <v>46043.476388888892</v>
      </c>
      <c r="F88" t="s">
        <v>395</v>
      </c>
      <c r="G88" t="s">
        <v>396</v>
      </c>
      <c r="H88" t="s">
        <v>397</v>
      </c>
      <c r="I88">
        <v>10</v>
      </c>
      <c r="J88">
        <v>78812224</v>
      </c>
      <c r="K88" s="5">
        <v>46043</v>
      </c>
      <c r="L88" s="3">
        <v>2000</v>
      </c>
      <c r="M88" t="s">
        <v>398</v>
      </c>
      <c r="N88" t="s">
        <v>72</v>
      </c>
      <c r="O88" t="s">
        <v>399</v>
      </c>
      <c r="P88" s="3">
        <v>2500</v>
      </c>
      <c r="Q88">
        <v>10</v>
      </c>
      <c r="R88" t="s">
        <v>400</v>
      </c>
      <c r="S88" t="s">
        <v>401</v>
      </c>
      <c r="T88" t="s">
        <v>402</v>
      </c>
      <c r="U88" t="s">
        <v>31</v>
      </c>
      <c r="V88" s="3">
        <f>Tabla1[[#This Row],[OS-Valor Unitario]]-Tabla1[[#This Row],[costo_antes_iva]]</f>
        <v>500</v>
      </c>
      <c r="W88" s="3">
        <f>Tabla1[[#This Row],[OS-Valor Unitario]]*Tabla1[[#This Row],[OS-Cantidad]]</f>
        <v>25000</v>
      </c>
      <c r="X88" s="3">
        <f>Tabla1[[#This Row],[costo_antes_iva]]*Tabla1[[#This Row],[OS-Cantidad]]</f>
        <v>20000</v>
      </c>
      <c r="Y88" s="3">
        <f>Tabla1[[#This Row],[Valor total OS]]-Tabla1[[#This Row],[valor total op]]</f>
        <v>5000</v>
      </c>
    </row>
    <row r="89" spans="1:25" x14ac:dyDescent="0.3">
      <c r="A89">
        <v>6517</v>
      </c>
      <c r="B89">
        <v>2</v>
      </c>
      <c r="C89" t="s">
        <v>403</v>
      </c>
      <c r="D89">
        <v>5</v>
      </c>
      <c r="E89" s="5">
        <v>46043.476388888892</v>
      </c>
      <c r="F89" t="s">
        <v>404</v>
      </c>
      <c r="G89" t="s">
        <v>405</v>
      </c>
      <c r="H89" t="s">
        <v>397</v>
      </c>
      <c r="I89">
        <v>5</v>
      </c>
      <c r="J89">
        <v>78812227</v>
      </c>
      <c r="K89" s="5">
        <v>46043</v>
      </c>
      <c r="L89" s="3">
        <v>2336</v>
      </c>
      <c r="M89" t="s">
        <v>398</v>
      </c>
      <c r="N89" t="s">
        <v>26</v>
      </c>
      <c r="O89" t="s">
        <v>406</v>
      </c>
      <c r="P89" s="3">
        <v>2200</v>
      </c>
      <c r="Q89">
        <v>5</v>
      </c>
      <c r="R89" t="s">
        <v>407</v>
      </c>
      <c r="S89" t="s">
        <v>401</v>
      </c>
      <c r="T89" t="s">
        <v>402</v>
      </c>
      <c r="U89" t="s">
        <v>31</v>
      </c>
      <c r="V89" s="3">
        <f>Tabla1[[#This Row],[OS-Valor Unitario]]-Tabla1[[#This Row],[costo_antes_iva]]</f>
        <v>-136</v>
      </c>
      <c r="W89" s="3">
        <f>Tabla1[[#This Row],[OS-Valor Unitario]]*Tabla1[[#This Row],[OS-Cantidad]]</f>
        <v>11000</v>
      </c>
      <c r="X89" s="3">
        <f>Tabla1[[#This Row],[costo_antes_iva]]*Tabla1[[#This Row],[OS-Cantidad]]</f>
        <v>11680</v>
      </c>
      <c r="Y89" s="3">
        <f>Tabla1[[#This Row],[Valor total OS]]-Tabla1[[#This Row],[valor total op]]</f>
        <v>-680</v>
      </c>
    </row>
    <row r="90" spans="1:25" x14ac:dyDescent="0.3">
      <c r="A90">
        <v>6503</v>
      </c>
      <c r="B90">
        <v>1</v>
      </c>
      <c r="C90" t="s">
        <v>408</v>
      </c>
      <c r="D90">
        <v>30</v>
      </c>
      <c r="E90" s="5">
        <v>46036.553472222222</v>
      </c>
      <c r="F90" t="s">
        <v>409</v>
      </c>
      <c r="G90" t="s">
        <v>87</v>
      </c>
      <c r="H90" t="s">
        <v>410</v>
      </c>
      <c r="I90">
        <v>30</v>
      </c>
      <c r="J90">
        <v>75856752</v>
      </c>
      <c r="K90" s="5">
        <v>45985</v>
      </c>
      <c r="L90" s="3">
        <v>5000</v>
      </c>
      <c r="M90" t="s">
        <v>411</v>
      </c>
      <c r="N90" t="s">
        <v>56</v>
      </c>
      <c r="O90" t="s">
        <v>412</v>
      </c>
      <c r="P90" s="3">
        <v>5000</v>
      </c>
      <c r="Q90">
        <v>30</v>
      </c>
      <c r="R90" t="s">
        <v>413</v>
      </c>
      <c r="S90" t="s">
        <v>414</v>
      </c>
      <c r="T90" t="s">
        <v>415</v>
      </c>
      <c r="U90" t="s">
        <v>177</v>
      </c>
      <c r="V90" s="3">
        <f>Tabla1[[#This Row],[OS-Valor Unitario]]-Tabla1[[#This Row],[costo_antes_iva]]</f>
        <v>0</v>
      </c>
      <c r="W90" s="3">
        <f>Tabla1[[#This Row],[OS-Valor Unitario]]*Tabla1[[#This Row],[OS-Cantidad]]</f>
        <v>150000</v>
      </c>
      <c r="X90" s="3">
        <f>Tabla1[[#This Row],[costo_antes_iva]]*Tabla1[[#This Row],[OS-Cantidad]]</f>
        <v>150000</v>
      </c>
      <c r="Y90" s="3">
        <f>Tabla1[[#This Row],[Valor total OS]]-Tabla1[[#This Row],[valor total op]]</f>
        <v>0</v>
      </c>
    </row>
    <row r="91" spans="1:25" x14ac:dyDescent="0.3">
      <c r="A91">
        <v>6503</v>
      </c>
      <c r="B91">
        <v>1</v>
      </c>
      <c r="C91" t="s">
        <v>408</v>
      </c>
      <c r="D91">
        <v>30</v>
      </c>
      <c r="E91" s="5">
        <v>46036.553472222222</v>
      </c>
      <c r="F91" t="s">
        <v>409</v>
      </c>
      <c r="G91" t="s">
        <v>87</v>
      </c>
      <c r="H91" t="s">
        <v>410</v>
      </c>
      <c r="I91">
        <v>30</v>
      </c>
      <c r="J91">
        <v>75856752</v>
      </c>
      <c r="K91" s="5">
        <v>45985</v>
      </c>
      <c r="L91" s="3">
        <v>2000</v>
      </c>
      <c r="M91" t="s">
        <v>411</v>
      </c>
      <c r="N91" t="s">
        <v>26</v>
      </c>
      <c r="O91" t="s">
        <v>412</v>
      </c>
      <c r="P91" s="3">
        <v>1500</v>
      </c>
      <c r="Q91">
        <v>30</v>
      </c>
      <c r="R91" t="s">
        <v>416</v>
      </c>
      <c r="S91" t="s">
        <v>414</v>
      </c>
      <c r="T91" t="s">
        <v>415</v>
      </c>
      <c r="U91" t="s">
        <v>177</v>
      </c>
      <c r="V91" s="3">
        <f>Tabla1[[#This Row],[OS-Valor Unitario]]-Tabla1[[#This Row],[costo_antes_iva]]</f>
        <v>-500</v>
      </c>
      <c r="W91" s="3">
        <f>Tabla1[[#This Row],[OS-Valor Unitario]]*Tabla1[[#This Row],[OS-Cantidad]]</f>
        <v>45000</v>
      </c>
      <c r="X91" s="3">
        <f>Tabla1[[#This Row],[costo_antes_iva]]*Tabla1[[#This Row],[OS-Cantidad]]</f>
        <v>60000</v>
      </c>
      <c r="Y91" s="3">
        <f>Tabla1[[#This Row],[Valor total OS]]-Tabla1[[#This Row],[valor total op]]</f>
        <v>-15000</v>
      </c>
    </row>
    <row r="92" spans="1:25" x14ac:dyDescent="0.3">
      <c r="A92">
        <v>6503</v>
      </c>
      <c r="B92">
        <v>2</v>
      </c>
      <c r="C92" t="s">
        <v>417</v>
      </c>
      <c r="D92">
        <v>30</v>
      </c>
      <c r="E92" s="5">
        <v>46036.553472222222</v>
      </c>
      <c r="F92" t="s">
        <v>418</v>
      </c>
      <c r="G92" t="s">
        <v>87</v>
      </c>
      <c r="H92" t="s">
        <v>410</v>
      </c>
      <c r="I92">
        <v>30</v>
      </c>
      <c r="J92">
        <v>75856761</v>
      </c>
      <c r="K92" s="5">
        <v>45985</v>
      </c>
      <c r="L92" s="3">
        <v>5000</v>
      </c>
      <c r="M92" t="s">
        <v>411</v>
      </c>
      <c r="N92" t="s">
        <v>56</v>
      </c>
      <c r="O92" t="s">
        <v>419</v>
      </c>
      <c r="P92" s="3">
        <v>5000</v>
      </c>
      <c r="Q92">
        <v>30</v>
      </c>
      <c r="R92" t="s">
        <v>420</v>
      </c>
      <c r="S92" t="s">
        <v>414</v>
      </c>
      <c r="T92" t="s">
        <v>415</v>
      </c>
      <c r="U92" t="s">
        <v>177</v>
      </c>
      <c r="V92" s="3">
        <f>Tabla1[[#This Row],[OS-Valor Unitario]]-Tabla1[[#This Row],[costo_antes_iva]]</f>
        <v>0</v>
      </c>
      <c r="W92" s="3">
        <f>Tabla1[[#This Row],[OS-Valor Unitario]]*Tabla1[[#This Row],[OS-Cantidad]]</f>
        <v>150000</v>
      </c>
      <c r="X92" s="3">
        <f>Tabla1[[#This Row],[costo_antes_iva]]*Tabla1[[#This Row],[OS-Cantidad]]</f>
        <v>150000</v>
      </c>
      <c r="Y92" s="3">
        <f>Tabla1[[#This Row],[Valor total OS]]-Tabla1[[#This Row],[valor total op]]</f>
        <v>0</v>
      </c>
    </row>
    <row r="93" spans="1:25" x14ac:dyDescent="0.3">
      <c r="A93">
        <v>6503</v>
      </c>
      <c r="B93">
        <v>2</v>
      </c>
      <c r="C93" t="s">
        <v>417</v>
      </c>
      <c r="D93">
        <v>30</v>
      </c>
      <c r="E93" s="5">
        <v>46036.553472222222</v>
      </c>
      <c r="F93" t="s">
        <v>418</v>
      </c>
      <c r="G93" t="s">
        <v>87</v>
      </c>
      <c r="H93" t="s">
        <v>410</v>
      </c>
      <c r="I93">
        <v>30</v>
      </c>
      <c r="J93">
        <v>75856761</v>
      </c>
      <c r="K93" s="5">
        <v>45985</v>
      </c>
      <c r="L93" s="3">
        <v>2000</v>
      </c>
      <c r="M93" t="s">
        <v>411</v>
      </c>
      <c r="N93" t="s">
        <v>26</v>
      </c>
      <c r="O93" t="s">
        <v>419</v>
      </c>
      <c r="P93" s="3">
        <v>1500</v>
      </c>
      <c r="Q93">
        <v>30</v>
      </c>
      <c r="R93" t="s">
        <v>421</v>
      </c>
      <c r="S93" t="s">
        <v>414</v>
      </c>
      <c r="T93" t="s">
        <v>415</v>
      </c>
      <c r="U93" t="s">
        <v>177</v>
      </c>
      <c r="V93" s="3">
        <f>Tabla1[[#This Row],[OS-Valor Unitario]]-Tabla1[[#This Row],[costo_antes_iva]]</f>
        <v>-500</v>
      </c>
      <c r="W93" s="3">
        <f>Tabla1[[#This Row],[OS-Valor Unitario]]*Tabla1[[#This Row],[OS-Cantidad]]</f>
        <v>45000</v>
      </c>
      <c r="X93" s="3">
        <f>Tabla1[[#This Row],[costo_antes_iva]]*Tabla1[[#This Row],[OS-Cantidad]]</f>
        <v>60000</v>
      </c>
      <c r="Y93" s="3">
        <f>Tabla1[[#This Row],[Valor total OS]]-Tabla1[[#This Row],[valor total op]]</f>
        <v>-15000</v>
      </c>
    </row>
    <row r="94" spans="1:25" x14ac:dyDescent="0.3">
      <c r="A94">
        <v>6503</v>
      </c>
      <c r="B94">
        <v>3</v>
      </c>
      <c r="C94" t="s">
        <v>422</v>
      </c>
      <c r="D94">
        <v>30</v>
      </c>
      <c r="E94" s="5">
        <v>46036.553472222222</v>
      </c>
      <c r="F94" t="s">
        <v>423</v>
      </c>
      <c r="G94" t="s">
        <v>230</v>
      </c>
      <c r="H94" t="s">
        <v>410</v>
      </c>
      <c r="I94">
        <v>30</v>
      </c>
      <c r="J94">
        <v>75856770</v>
      </c>
      <c r="K94" s="5">
        <v>45985</v>
      </c>
      <c r="L94" s="3">
        <v>5000</v>
      </c>
      <c r="M94" t="s">
        <v>411</v>
      </c>
      <c r="N94" t="s">
        <v>56</v>
      </c>
      <c r="O94" t="s">
        <v>424</v>
      </c>
      <c r="P94" s="3">
        <v>5000</v>
      </c>
      <c r="Q94">
        <v>30</v>
      </c>
      <c r="R94" t="s">
        <v>425</v>
      </c>
      <c r="S94" t="s">
        <v>414</v>
      </c>
      <c r="T94" t="s">
        <v>415</v>
      </c>
      <c r="U94" t="s">
        <v>177</v>
      </c>
      <c r="V94" s="3">
        <f>Tabla1[[#This Row],[OS-Valor Unitario]]-Tabla1[[#This Row],[costo_antes_iva]]</f>
        <v>0</v>
      </c>
      <c r="W94" s="3">
        <f>Tabla1[[#This Row],[OS-Valor Unitario]]*Tabla1[[#This Row],[OS-Cantidad]]</f>
        <v>150000</v>
      </c>
      <c r="X94" s="3">
        <f>Tabla1[[#This Row],[costo_antes_iva]]*Tabla1[[#This Row],[OS-Cantidad]]</f>
        <v>150000</v>
      </c>
      <c r="Y94" s="3">
        <f>Tabla1[[#This Row],[Valor total OS]]-Tabla1[[#This Row],[valor total op]]</f>
        <v>0</v>
      </c>
    </row>
    <row r="95" spans="1:25" x14ac:dyDescent="0.3">
      <c r="A95">
        <v>6503</v>
      </c>
      <c r="B95">
        <v>3</v>
      </c>
      <c r="C95" t="s">
        <v>422</v>
      </c>
      <c r="D95">
        <v>30</v>
      </c>
      <c r="E95" s="5">
        <v>46036.553472222222</v>
      </c>
      <c r="F95" t="s">
        <v>423</v>
      </c>
      <c r="G95" t="s">
        <v>230</v>
      </c>
      <c r="H95" t="s">
        <v>410</v>
      </c>
      <c r="I95">
        <v>30</v>
      </c>
      <c r="J95">
        <v>75856770</v>
      </c>
      <c r="K95" s="5">
        <v>45985</v>
      </c>
      <c r="L95" s="3">
        <v>2000</v>
      </c>
      <c r="M95" t="s">
        <v>411</v>
      </c>
      <c r="N95" t="s">
        <v>26</v>
      </c>
      <c r="O95" t="s">
        <v>424</v>
      </c>
      <c r="P95" s="3">
        <v>1500</v>
      </c>
      <c r="Q95">
        <v>30</v>
      </c>
      <c r="R95" t="s">
        <v>426</v>
      </c>
      <c r="S95" t="s">
        <v>414</v>
      </c>
      <c r="T95" t="s">
        <v>415</v>
      </c>
      <c r="U95" t="s">
        <v>177</v>
      </c>
      <c r="V95" s="3">
        <f>Tabla1[[#This Row],[OS-Valor Unitario]]-Tabla1[[#This Row],[costo_antes_iva]]</f>
        <v>-500</v>
      </c>
      <c r="W95" s="3">
        <f>Tabla1[[#This Row],[OS-Valor Unitario]]*Tabla1[[#This Row],[OS-Cantidad]]</f>
        <v>45000</v>
      </c>
      <c r="X95" s="3">
        <f>Tabla1[[#This Row],[costo_antes_iva]]*Tabla1[[#This Row],[OS-Cantidad]]</f>
        <v>60000</v>
      </c>
      <c r="Y95" s="3">
        <f>Tabla1[[#This Row],[Valor total OS]]-Tabla1[[#This Row],[valor total op]]</f>
        <v>-15000</v>
      </c>
    </row>
    <row r="96" spans="1:25" x14ac:dyDescent="0.3">
      <c r="A96">
        <v>6496</v>
      </c>
      <c r="B96">
        <v>2</v>
      </c>
      <c r="C96" t="s">
        <v>427</v>
      </c>
      <c r="D96">
        <v>200</v>
      </c>
      <c r="E96" s="5">
        <v>46022.444444444445</v>
      </c>
      <c r="F96" t="s">
        <v>428</v>
      </c>
      <c r="G96" t="s">
        <v>429</v>
      </c>
      <c r="H96" t="s">
        <v>346</v>
      </c>
      <c r="I96">
        <v>50</v>
      </c>
      <c r="J96">
        <v>77869395</v>
      </c>
      <c r="K96" s="5">
        <v>46020</v>
      </c>
      <c r="L96" s="3">
        <v>11500</v>
      </c>
      <c r="M96" t="s">
        <v>430</v>
      </c>
      <c r="N96" t="s">
        <v>56</v>
      </c>
      <c r="O96" t="s">
        <v>431</v>
      </c>
      <c r="P96" s="3">
        <v>5000</v>
      </c>
      <c r="Q96">
        <v>200</v>
      </c>
      <c r="R96" t="s">
        <v>432</v>
      </c>
      <c r="S96" t="s">
        <v>433</v>
      </c>
      <c r="T96" t="s">
        <v>434</v>
      </c>
      <c r="U96" t="s">
        <v>177</v>
      </c>
      <c r="V96" s="3">
        <f>Tabla1[[#This Row],[OS-Valor Unitario]]-Tabla1[[#This Row],[costo_antes_iva]]</f>
        <v>-6500</v>
      </c>
      <c r="W96" s="3">
        <f>Tabla1[[#This Row],[OS-Valor Unitario]]*Tabla1[[#This Row],[OS-Cantidad]]</f>
        <v>1000000</v>
      </c>
      <c r="X96" s="3">
        <f>Tabla1[[#This Row],[costo_antes_iva]]*Tabla1[[#This Row],[OS-Cantidad]]</f>
        <v>2300000</v>
      </c>
      <c r="Y96" s="3">
        <f>Tabla1[[#This Row],[Valor total OS]]-Tabla1[[#This Row],[valor total op]]</f>
        <v>-1300000</v>
      </c>
    </row>
    <row r="97" spans="1:25" x14ac:dyDescent="0.3">
      <c r="A97">
        <v>6496</v>
      </c>
      <c r="B97">
        <v>2</v>
      </c>
      <c r="C97" t="s">
        <v>427</v>
      </c>
      <c r="D97">
        <v>200</v>
      </c>
      <c r="E97" s="5">
        <v>46022.444444444445</v>
      </c>
      <c r="F97" t="s">
        <v>428</v>
      </c>
      <c r="G97" t="s">
        <v>435</v>
      </c>
      <c r="H97" t="s">
        <v>346</v>
      </c>
      <c r="I97">
        <v>200</v>
      </c>
      <c r="J97">
        <v>77935140</v>
      </c>
      <c r="K97" s="5">
        <v>46022</v>
      </c>
      <c r="L97" s="3">
        <v>12500</v>
      </c>
      <c r="M97" t="s">
        <v>436</v>
      </c>
      <c r="N97" t="s">
        <v>437</v>
      </c>
      <c r="O97" t="s">
        <v>431</v>
      </c>
      <c r="P97" s="3">
        <v>10400</v>
      </c>
      <c r="Q97">
        <v>200</v>
      </c>
      <c r="R97" t="s">
        <v>438</v>
      </c>
      <c r="S97" t="s">
        <v>433</v>
      </c>
      <c r="T97" t="s">
        <v>434</v>
      </c>
      <c r="U97" t="s">
        <v>177</v>
      </c>
      <c r="V97" s="3">
        <f>Tabla1[[#This Row],[OS-Valor Unitario]]-Tabla1[[#This Row],[costo_antes_iva]]</f>
        <v>-2100</v>
      </c>
      <c r="W97" s="3">
        <f>Tabla1[[#This Row],[OS-Valor Unitario]]*Tabla1[[#This Row],[OS-Cantidad]]</f>
        <v>2080000</v>
      </c>
      <c r="X97" s="3">
        <f>Tabla1[[#This Row],[costo_antes_iva]]*Tabla1[[#This Row],[OS-Cantidad]]</f>
        <v>2500000</v>
      </c>
      <c r="Y97" s="3">
        <f>Tabla1[[#This Row],[Valor total OS]]-Tabla1[[#This Row],[valor total op]]</f>
        <v>-420000</v>
      </c>
    </row>
    <row r="98" spans="1:25" x14ac:dyDescent="0.3">
      <c r="A98">
        <v>6496</v>
      </c>
      <c r="B98">
        <v>2</v>
      </c>
      <c r="C98" t="s">
        <v>427</v>
      </c>
      <c r="D98">
        <v>200</v>
      </c>
      <c r="E98" s="5">
        <v>46022.444444444445</v>
      </c>
      <c r="F98" t="s">
        <v>428</v>
      </c>
      <c r="G98" t="s">
        <v>435</v>
      </c>
      <c r="H98" t="s">
        <v>346</v>
      </c>
      <c r="I98">
        <v>200</v>
      </c>
      <c r="J98">
        <v>77935140</v>
      </c>
      <c r="K98" s="5">
        <v>46022</v>
      </c>
      <c r="L98" s="3">
        <v>4500</v>
      </c>
      <c r="M98" t="s">
        <v>436</v>
      </c>
      <c r="N98" t="s">
        <v>56</v>
      </c>
      <c r="O98" t="s">
        <v>431</v>
      </c>
      <c r="P98" s="3">
        <v>5000</v>
      </c>
      <c r="Q98">
        <v>200</v>
      </c>
      <c r="R98" t="s">
        <v>432</v>
      </c>
      <c r="S98" t="s">
        <v>433</v>
      </c>
      <c r="T98" t="s">
        <v>434</v>
      </c>
      <c r="U98" t="s">
        <v>177</v>
      </c>
      <c r="V98" s="3">
        <f>Tabla1[[#This Row],[OS-Valor Unitario]]-Tabla1[[#This Row],[costo_antes_iva]]</f>
        <v>500</v>
      </c>
      <c r="W98" s="3">
        <f>Tabla1[[#This Row],[OS-Valor Unitario]]*Tabla1[[#This Row],[OS-Cantidad]]</f>
        <v>1000000</v>
      </c>
      <c r="X98" s="3">
        <f>Tabla1[[#This Row],[costo_antes_iva]]*Tabla1[[#This Row],[OS-Cantidad]]</f>
        <v>900000</v>
      </c>
      <c r="Y98" s="3">
        <f>Tabla1[[#This Row],[Valor total OS]]-Tabla1[[#This Row],[valor total op]]</f>
        <v>100000</v>
      </c>
    </row>
    <row r="99" spans="1:25" x14ac:dyDescent="0.3">
      <c r="A99">
        <v>6496</v>
      </c>
      <c r="B99">
        <v>2</v>
      </c>
      <c r="C99" t="s">
        <v>427</v>
      </c>
      <c r="D99">
        <v>200</v>
      </c>
      <c r="E99" s="5">
        <v>46022.444444444445</v>
      </c>
      <c r="F99" t="s">
        <v>428</v>
      </c>
      <c r="G99" t="s">
        <v>435</v>
      </c>
      <c r="H99" t="s">
        <v>346</v>
      </c>
      <c r="I99">
        <v>1150</v>
      </c>
      <c r="J99">
        <v>76177272</v>
      </c>
      <c r="K99" s="5">
        <v>45987</v>
      </c>
      <c r="L99" s="3">
        <v>12500</v>
      </c>
      <c r="M99" t="s">
        <v>439</v>
      </c>
      <c r="N99" t="s">
        <v>437</v>
      </c>
      <c r="O99" t="s">
        <v>431</v>
      </c>
      <c r="P99" s="3">
        <v>10400</v>
      </c>
      <c r="Q99">
        <v>200</v>
      </c>
      <c r="R99" t="s">
        <v>438</v>
      </c>
      <c r="S99" t="s">
        <v>433</v>
      </c>
      <c r="T99" t="s">
        <v>434</v>
      </c>
      <c r="U99" t="s">
        <v>177</v>
      </c>
      <c r="V99" s="3">
        <f>Tabla1[[#This Row],[OS-Valor Unitario]]-Tabla1[[#This Row],[costo_antes_iva]]</f>
        <v>-2100</v>
      </c>
      <c r="W99" s="3">
        <f>Tabla1[[#This Row],[OS-Valor Unitario]]*Tabla1[[#This Row],[OS-Cantidad]]</f>
        <v>2080000</v>
      </c>
      <c r="X99" s="3">
        <f>Tabla1[[#This Row],[costo_antes_iva]]*Tabla1[[#This Row],[OS-Cantidad]]</f>
        <v>2500000</v>
      </c>
      <c r="Y99" s="3">
        <f>Tabla1[[#This Row],[Valor total OS]]-Tabla1[[#This Row],[valor total op]]</f>
        <v>-420000</v>
      </c>
    </row>
    <row r="100" spans="1:25" x14ac:dyDescent="0.3">
      <c r="A100">
        <v>6496</v>
      </c>
      <c r="B100">
        <v>2</v>
      </c>
      <c r="C100" t="s">
        <v>427</v>
      </c>
      <c r="D100">
        <v>200</v>
      </c>
      <c r="E100" s="5">
        <v>46022.444444444445</v>
      </c>
      <c r="F100" t="s">
        <v>428</v>
      </c>
      <c r="G100" t="s">
        <v>435</v>
      </c>
      <c r="H100" t="s">
        <v>346</v>
      </c>
      <c r="I100">
        <v>1150</v>
      </c>
      <c r="J100">
        <v>76177272</v>
      </c>
      <c r="K100" s="5">
        <v>45987</v>
      </c>
      <c r="L100" s="3">
        <v>4500</v>
      </c>
      <c r="M100" t="s">
        <v>439</v>
      </c>
      <c r="N100" t="s">
        <v>56</v>
      </c>
      <c r="O100" t="s">
        <v>431</v>
      </c>
      <c r="P100" s="3">
        <v>5000</v>
      </c>
      <c r="Q100">
        <v>200</v>
      </c>
      <c r="R100" t="s">
        <v>432</v>
      </c>
      <c r="S100" t="s">
        <v>433</v>
      </c>
      <c r="T100" t="s">
        <v>434</v>
      </c>
      <c r="U100" t="s">
        <v>177</v>
      </c>
      <c r="V100" s="3">
        <f>Tabla1[[#This Row],[OS-Valor Unitario]]-Tabla1[[#This Row],[costo_antes_iva]]</f>
        <v>500</v>
      </c>
      <c r="W100" s="3">
        <f>Tabla1[[#This Row],[OS-Valor Unitario]]*Tabla1[[#This Row],[OS-Cantidad]]</f>
        <v>1000000</v>
      </c>
      <c r="X100" s="3">
        <f>Tabla1[[#This Row],[costo_antes_iva]]*Tabla1[[#This Row],[OS-Cantidad]]</f>
        <v>900000</v>
      </c>
      <c r="Y100" s="3">
        <f>Tabla1[[#This Row],[Valor total OS]]-Tabla1[[#This Row],[valor total op]]</f>
        <v>100000</v>
      </c>
    </row>
    <row r="101" spans="1:25" x14ac:dyDescent="0.3">
      <c r="A101">
        <v>6496</v>
      </c>
      <c r="B101">
        <v>2</v>
      </c>
      <c r="C101" t="s">
        <v>427</v>
      </c>
      <c r="D101">
        <v>200</v>
      </c>
      <c r="E101" s="5">
        <v>46022.444444444445</v>
      </c>
      <c r="F101" t="s">
        <v>428</v>
      </c>
      <c r="G101" t="s">
        <v>435</v>
      </c>
      <c r="H101" t="s">
        <v>346</v>
      </c>
      <c r="I101">
        <v>5</v>
      </c>
      <c r="J101">
        <v>75885191</v>
      </c>
      <c r="K101" s="5">
        <v>45986</v>
      </c>
      <c r="L101" s="3">
        <v>12500</v>
      </c>
      <c r="M101" t="s">
        <v>440</v>
      </c>
      <c r="N101" t="s">
        <v>437</v>
      </c>
      <c r="O101" t="s">
        <v>431</v>
      </c>
      <c r="P101" s="3">
        <v>10400</v>
      </c>
      <c r="Q101">
        <v>200</v>
      </c>
      <c r="R101" t="s">
        <v>438</v>
      </c>
      <c r="S101" t="s">
        <v>433</v>
      </c>
      <c r="T101" t="s">
        <v>434</v>
      </c>
      <c r="U101" t="s">
        <v>177</v>
      </c>
      <c r="V101" s="3">
        <f>Tabla1[[#This Row],[OS-Valor Unitario]]-Tabla1[[#This Row],[costo_antes_iva]]</f>
        <v>-2100</v>
      </c>
      <c r="W101" s="3">
        <f>Tabla1[[#This Row],[OS-Valor Unitario]]*Tabla1[[#This Row],[OS-Cantidad]]</f>
        <v>2080000</v>
      </c>
      <c r="X101" s="3">
        <f>Tabla1[[#This Row],[costo_antes_iva]]*Tabla1[[#This Row],[OS-Cantidad]]</f>
        <v>2500000</v>
      </c>
      <c r="Y101" s="3">
        <f>Tabla1[[#This Row],[Valor total OS]]-Tabla1[[#This Row],[valor total op]]</f>
        <v>-420000</v>
      </c>
    </row>
    <row r="102" spans="1:25" x14ac:dyDescent="0.3">
      <c r="A102">
        <v>6496</v>
      </c>
      <c r="B102">
        <v>2</v>
      </c>
      <c r="C102" t="s">
        <v>427</v>
      </c>
      <c r="D102">
        <v>200</v>
      </c>
      <c r="E102" s="5">
        <v>46022.444444444445</v>
      </c>
      <c r="F102" t="s">
        <v>428</v>
      </c>
      <c r="G102" t="s">
        <v>435</v>
      </c>
      <c r="H102" t="s">
        <v>346</v>
      </c>
      <c r="I102">
        <v>5</v>
      </c>
      <c r="J102">
        <v>75885191</v>
      </c>
      <c r="K102" s="5">
        <v>45986</v>
      </c>
      <c r="L102" s="3">
        <v>4500</v>
      </c>
      <c r="M102" t="s">
        <v>440</v>
      </c>
      <c r="N102" t="s">
        <v>56</v>
      </c>
      <c r="O102" t="s">
        <v>431</v>
      </c>
      <c r="P102" s="3">
        <v>5000</v>
      </c>
      <c r="Q102">
        <v>200</v>
      </c>
      <c r="R102" t="s">
        <v>432</v>
      </c>
      <c r="S102" t="s">
        <v>433</v>
      </c>
      <c r="T102" t="s">
        <v>434</v>
      </c>
      <c r="U102" t="s">
        <v>177</v>
      </c>
      <c r="V102" s="3">
        <f>Tabla1[[#This Row],[OS-Valor Unitario]]-Tabla1[[#This Row],[costo_antes_iva]]</f>
        <v>500</v>
      </c>
      <c r="W102" s="3">
        <f>Tabla1[[#This Row],[OS-Valor Unitario]]*Tabla1[[#This Row],[OS-Cantidad]]</f>
        <v>1000000</v>
      </c>
      <c r="X102" s="3">
        <f>Tabla1[[#This Row],[costo_antes_iva]]*Tabla1[[#This Row],[OS-Cantidad]]</f>
        <v>900000</v>
      </c>
      <c r="Y102" s="3">
        <f>Tabla1[[#This Row],[Valor total OS]]-Tabla1[[#This Row],[valor total op]]</f>
        <v>100000</v>
      </c>
    </row>
    <row r="103" spans="1:25" x14ac:dyDescent="0.3">
      <c r="A103">
        <v>6493</v>
      </c>
      <c r="B103">
        <v>1</v>
      </c>
      <c r="C103" t="s">
        <v>441</v>
      </c>
      <c r="D103">
        <v>40</v>
      </c>
      <c r="E103" s="5">
        <v>46021.334027777775</v>
      </c>
      <c r="F103" t="s">
        <v>442</v>
      </c>
      <c r="G103" t="s">
        <v>443</v>
      </c>
      <c r="H103" t="s">
        <v>444</v>
      </c>
      <c r="I103">
        <v>34</v>
      </c>
      <c r="J103">
        <v>77898260</v>
      </c>
      <c r="K103" s="5">
        <v>46021</v>
      </c>
      <c r="L103" s="3">
        <v>1800</v>
      </c>
      <c r="M103" t="s">
        <v>445</v>
      </c>
      <c r="N103" t="s">
        <v>26</v>
      </c>
      <c r="O103" t="s">
        <v>446</v>
      </c>
      <c r="P103" s="3">
        <v>1650</v>
      </c>
      <c r="Q103">
        <v>40</v>
      </c>
      <c r="R103" t="s">
        <v>447</v>
      </c>
      <c r="S103" t="s">
        <v>448</v>
      </c>
      <c r="T103" t="s">
        <v>449</v>
      </c>
      <c r="U103" t="s">
        <v>450</v>
      </c>
      <c r="V103" s="3">
        <f>Tabla1[[#This Row],[OS-Valor Unitario]]-Tabla1[[#This Row],[costo_antes_iva]]</f>
        <v>-150</v>
      </c>
      <c r="W103" s="3">
        <f>Tabla1[[#This Row],[OS-Valor Unitario]]*Tabla1[[#This Row],[OS-Cantidad]]</f>
        <v>66000</v>
      </c>
      <c r="X103" s="3">
        <f>Tabla1[[#This Row],[costo_antes_iva]]*Tabla1[[#This Row],[OS-Cantidad]]</f>
        <v>72000</v>
      </c>
      <c r="Y103" s="3">
        <f>Tabla1[[#This Row],[Valor total OS]]-Tabla1[[#This Row],[valor total op]]</f>
        <v>-6000</v>
      </c>
    </row>
    <row r="104" spans="1:25" x14ac:dyDescent="0.3">
      <c r="A104">
        <v>6493</v>
      </c>
      <c r="B104">
        <v>1</v>
      </c>
      <c r="C104" t="s">
        <v>441</v>
      </c>
      <c r="D104">
        <v>40</v>
      </c>
      <c r="E104" s="5">
        <v>46021.334027777775</v>
      </c>
      <c r="F104" t="s">
        <v>442</v>
      </c>
      <c r="G104" t="s">
        <v>443</v>
      </c>
      <c r="H104" t="s">
        <v>444</v>
      </c>
      <c r="I104">
        <v>34</v>
      </c>
      <c r="J104">
        <v>77898260</v>
      </c>
      <c r="K104" s="5">
        <v>46021</v>
      </c>
      <c r="L104" s="3">
        <v>18000</v>
      </c>
      <c r="M104" t="s">
        <v>445</v>
      </c>
      <c r="N104" t="s">
        <v>56</v>
      </c>
      <c r="O104" t="s">
        <v>446</v>
      </c>
      <c r="P104" s="3">
        <v>17000</v>
      </c>
      <c r="Q104">
        <v>40</v>
      </c>
      <c r="R104" t="s">
        <v>451</v>
      </c>
      <c r="S104" t="s">
        <v>448</v>
      </c>
      <c r="T104" t="s">
        <v>449</v>
      </c>
      <c r="U104" t="s">
        <v>450</v>
      </c>
      <c r="V104" s="3">
        <f>Tabla1[[#This Row],[OS-Valor Unitario]]-Tabla1[[#This Row],[costo_antes_iva]]</f>
        <v>-1000</v>
      </c>
      <c r="W104" s="3">
        <f>Tabla1[[#This Row],[OS-Valor Unitario]]*Tabla1[[#This Row],[OS-Cantidad]]</f>
        <v>680000</v>
      </c>
      <c r="X104" s="3">
        <f>Tabla1[[#This Row],[costo_antes_iva]]*Tabla1[[#This Row],[OS-Cantidad]]</f>
        <v>720000</v>
      </c>
      <c r="Y104" s="3">
        <f>Tabla1[[#This Row],[Valor total OS]]-Tabla1[[#This Row],[valor total op]]</f>
        <v>-40000</v>
      </c>
    </row>
    <row r="105" spans="1:25" x14ac:dyDescent="0.3">
      <c r="A105">
        <v>6493</v>
      </c>
      <c r="B105">
        <v>1</v>
      </c>
      <c r="C105" t="s">
        <v>441</v>
      </c>
      <c r="D105">
        <v>40</v>
      </c>
      <c r="E105" s="5">
        <v>46021.334027777775</v>
      </c>
      <c r="F105" t="s">
        <v>442</v>
      </c>
      <c r="G105" t="s">
        <v>119</v>
      </c>
      <c r="H105" t="s">
        <v>444</v>
      </c>
      <c r="I105">
        <v>4</v>
      </c>
      <c r="J105">
        <v>77898321</v>
      </c>
      <c r="K105" s="5">
        <v>46021</v>
      </c>
      <c r="L105" s="3">
        <v>1800</v>
      </c>
      <c r="M105" t="s">
        <v>452</v>
      </c>
      <c r="N105" t="s">
        <v>26</v>
      </c>
      <c r="O105" t="s">
        <v>446</v>
      </c>
      <c r="P105" s="3">
        <v>1650</v>
      </c>
      <c r="Q105">
        <v>40</v>
      </c>
      <c r="R105" t="s">
        <v>447</v>
      </c>
      <c r="S105" t="s">
        <v>448</v>
      </c>
      <c r="T105" t="s">
        <v>449</v>
      </c>
      <c r="U105" t="s">
        <v>450</v>
      </c>
      <c r="V105" s="3">
        <f>Tabla1[[#This Row],[OS-Valor Unitario]]-Tabla1[[#This Row],[costo_antes_iva]]</f>
        <v>-150</v>
      </c>
      <c r="W105" s="3">
        <f>Tabla1[[#This Row],[OS-Valor Unitario]]*Tabla1[[#This Row],[OS-Cantidad]]</f>
        <v>66000</v>
      </c>
      <c r="X105" s="3">
        <f>Tabla1[[#This Row],[costo_antes_iva]]*Tabla1[[#This Row],[OS-Cantidad]]</f>
        <v>72000</v>
      </c>
      <c r="Y105" s="3">
        <f>Tabla1[[#This Row],[Valor total OS]]-Tabla1[[#This Row],[valor total op]]</f>
        <v>-6000</v>
      </c>
    </row>
    <row r="106" spans="1:25" x14ac:dyDescent="0.3">
      <c r="A106">
        <v>6493</v>
      </c>
      <c r="B106">
        <v>2</v>
      </c>
      <c r="C106" t="s">
        <v>453</v>
      </c>
      <c r="D106">
        <v>4</v>
      </c>
      <c r="E106" s="5">
        <v>46021.334027777775</v>
      </c>
      <c r="F106" t="s">
        <v>442</v>
      </c>
      <c r="G106" t="s">
        <v>443</v>
      </c>
      <c r="H106" t="s">
        <v>444</v>
      </c>
      <c r="I106">
        <v>34</v>
      </c>
      <c r="J106">
        <v>77898260</v>
      </c>
      <c r="K106" s="5">
        <v>46021</v>
      </c>
      <c r="L106" s="3">
        <v>1800</v>
      </c>
      <c r="M106" t="s">
        <v>445</v>
      </c>
      <c r="N106" t="s">
        <v>26</v>
      </c>
      <c r="O106" t="s">
        <v>454</v>
      </c>
      <c r="P106" s="3">
        <v>2000</v>
      </c>
      <c r="Q106">
        <v>4</v>
      </c>
      <c r="R106" t="s">
        <v>455</v>
      </c>
      <c r="S106" t="s">
        <v>448</v>
      </c>
      <c r="T106" t="s">
        <v>449</v>
      </c>
      <c r="U106" t="s">
        <v>450</v>
      </c>
      <c r="V106" s="3">
        <f>Tabla1[[#This Row],[OS-Valor Unitario]]-Tabla1[[#This Row],[costo_antes_iva]]</f>
        <v>200</v>
      </c>
      <c r="W106" s="3">
        <f>Tabla1[[#This Row],[OS-Valor Unitario]]*Tabla1[[#This Row],[OS-Cantidad]]</f>
        <v>8000</v>
      </c>
      <c r="X106" s="3">
        <f>Tabla1[[#This Row],[costo_antes_iva]]*Tabla1[[#This Row],[OS-Cantidad]]</f>
        <v>7200</v>
      </c>
      <c r="Y106" s="3">
        <f>Tabla1[[#This Row],[Valor total OS]]-Tabla1[[#This Row],[valor total op]]</f>
        <v>800</v>
      </c>
    </row>
    <row r="107" spans="1:25" x14ac:dyDescent="0.3">
      <c r="A107">
        <v>6493</v>
      </c>
      <c r="B107">
        <v>2</v>
      </c>
      <c r="C107" t="s">
        <v>453</v>
      </c>
      <c r="D107">
        <v>4</v>
      </c>
      <c r="E107" s="5">
        <v>46021.334027777775</v>
      </c>
      <c r="F107" t="s">
        <v>442</v>
      </c>
      <c r="G107" t="s">
        <v>119</v>
      </c>
      <c r="H107" t="s">
        <v>444</v>
      </c>
      <c r="I107">
        <v>4</v>
      </c>
      <c r="J107">
        <v>77898321</v>
      </c>
      <c r="K107" s="5">
        <v>46021</v>
      </c>
      <c r="L107" s="3">
        <v>1800</v>
      </c>
      <c r="M107" t="s">
        <v>452</v>
      </c>
      <c r="N107" t="s">
        <v>26</v>
      </c>
      <c r="O107" t="s">
        <v>454</v>
      </c>
      <c r="P107" s="3">
        <v>2000</v>
      </c>
      <c r="Q107">
        <v>4</v>
      </c>
      <c r="R107" t="s">
        <v>455</v>
      </c>
      <c r="S107" t="s">
        <v>448</v>
      </c>
      <c r="T107" t="s">
        <v>449</v>
      </c>
      <c r="U107" t="s">
        <v>450</v>
      </c>
      <c r="V107" s="3">
        <f>Tabla1[[#This Row],[OS-Valor Unitario]]-Tabla1[[#This Row],[costo_antes_iva]]</f>
        <v>200</v>
      </c>
      <c r="W107" s="3">
        <f>Tabla1[[#This Row],[OS-Valor Unitario]]*Tabla1[[#This Row],[OS-Cantidad]]</f>
        <v>8000</v>
      </c>
      <c r="X107" s="3">
        <f>Tabla1[[#This Row],[costo_antes_iva]]*Tabla1[[#This Row],[OS-Cantidad]]</f>
        <v>7200</v>
      </c>
      <c r="Y107" s="3">
        <f>Tabla1[[#This Row],[Valor total OS]]-Tabla1[[#This Row],[valor total op]]</f>
        <v>800</v>
      </c>
    </row>
    <row r="108" spans="1:25" x14ac:dyDescent="0.3">
      <c r="A108">
        <v>6492</v>
      </c>
      <c r="B108">
        <v>1</v>
      </c>
      <c r="C108" t="s">
        <v>456</v>
      </c>
      <c r="D108">
        <v>10</v>
      </c>
      <c r="E108" s="5">
        <v>46020.875</v>
      </c>
      <c r="F108" t="s">
        <v>457</v>
      </c>
      <c r="G108" t="s">
        <v>458</v>
      </c>
      <c r="H108" t="s">
        <v>346</v>
      </c>
      <c r="I108">
        <v>10</v>
      </c>
      <c r="J108">
        <v>77864531</v>
      </c>
      <c r="K108" s="5">
        <v>46020</v>
      </c>
      <c r="L108" s="3">
        <v>1600</v>
      </c>
      <c r="M108" t="s">
        <v>459</v>
      </c>
      <c r="N108" t="s">
        <v>72</v>
      </c>
      <c r="O108" t="s">
        <v>460</v>
      </c>
      <c r="P108" s="3">
        <v>1400</v>
      </c>
      <c r="Q108">
        <v>10</v>
      </c>
      <c r="R108" t="s">
        <v>461</v>
      </c>
      <c r="S108" t="s">
        <v>462</v>
      </c>
      <c r="T108" t="s">
        <v>351</v>
      </c>
      <c r="U108" t="s">
        <v>177</v>
      </c>
      <c r="V108" s="3">
        <f>Tabla1[[#This Row],[OS-Valor Unitario]]-Tabla1[[#This Row],[costo_antes_iva]]</f>
        <v>-200</v>
      </c>
      <c r="W108" s="3">
        <f>Tabla1[[#This Row],[OS-Valor Unitario]]*Tabla1[[#This Row],[OS-Cantidad]]</f>
        <v>14000</v>
      </c>
      <c r="X108" s="3">
        <f>Tabla1[[#This Row],[costo_antes_iva]]*Tabla1[[#This Row],[OS-Cantidad]]</f>
        <v>16000</v>
      </c>
      <c r="Y108" s="3">
        <f>Tabla1[[#This Row],[Valor total OS]]-Tabla1[[#This Row],[valor total op]]</f>
        <v>-2000</v>
      </c>
    </row>
    <row r="109" spans="1:25" x14ac:dyDescent="0.3">
      <c r="A109">
        <v>6492</v>
      </c>
      <c r="B109">
        <v>1</v>
      </c>
      <c r="C109" t="s">
        <v>456</v>
      </c>
      <c r="D109">
        <v>10</v>
      </c>
      <c r="E109" s="5">
        <v>46020.875</v>
      </c>
      <c r="F109" t="s">
        <v>457</v>
      </c>
      <c r="G109" t="s">
        <v>458</v>
      </c>
      <c r="H109" t="s">
        <v>346</v>
      </c>
      <c r="I109">
        <v>10</v>
      </c>
      <c r="J109">
        <v>77864531</v>
      </c>
      <c r="K109" s="5">
        <v>46020</v>
      </c>
      <c r="L109" s="3">
        <v>14000</v>
      </c>
      <c r="M109" t="s">
        <v>459</v>
      </c>
      <c r="N109" t="s">
        <v>56</v>
      </c>
      <c r="O109" t="s">
        <v>460</v>
      </c>
      <c r="P109" s="3">
        <v>13500</v>
      </c>
      <c r="Q109">
        <v>10</v>
      </c>
      <c r="R109" t="s">
        <v>463</v>
      </c>
      <c r="S109" t="s">
        <v>462</v>
      </c>
      <c r="T109" t="s">
        <v>351</v>
      </c>
      <c r="U109" t="s">
        <v>177</v>
      </c>
      <c r="V109" s="3">
        <f>Tabla1[[#This Row],[OS-Valor Unitario]]-Tabla1[[#This Row],[costo_antes_iva]]</f>
        <v>-500</v>
      </c>
      <c r="W109" s="3">
        <f>Tabla1[[#This Row],[OS-Valor Unitario]]*Tabla1[[#This Row],[OS-Cantidad]]</f>
        <v>135000</v>
      </c>
      <c r="X109" s="3">
        <f>Tabla1[[#This Row],[costo_antes_iva]]*Tabla1[[#This Row],[OS-Cantidad]]</f>
        <v>140000</v>
      </c>
      <c r="Y109" s="3">
        <f>Tabla1[[#This Row],[Valor total OS]]-Tabla1[[#This Row],[valor total op]]</f>
        <v>-5000</v>
      </c>
    </row>
    <row r="110" spans="1:25" x14ac:dyDescent="0.3">
      <c r="A110">
        <v>6492</v>
      </c>
      <c r="B110">
        <v>3</v>
      </c>
      <c r="C110" t="s">
        <v>464</v>
      </c>
      <c r="D110">
        <v>70</v>
      </c>
      <c r="E110" s="5">
        <v>46020.875</v>
      </c>
      <c r="F110" t="s">
        <v>465</v>
      </c>
      <c r="G110" t="s">
        <v>435</v>
      </c>
      <c r="H110" t="s">
        <v>346</v>
      </c>
      <c r="I110">
        <v>70</v>
      </c>
      <c r="J110">
        <v>77864545</v>
      </c>
      <c r="K110" s="5">
        <v>46020</v>
      </c>
      <c r="L110" s="3">
        <v>12500</v>
      </c>
      <c r="M110" t="s">
        <v>459</v>
      </c>
      <c r="N110" t="s">
        <v>437</v>
      </c>
      <c r="O110" t="s">
        <v>466</v>
      </c>
      <c r="P110" s="3">
        <v>10400</v>
      </c>
      <c r="Q110">
        <v>70</v>
      </c>
      <c r="R110" t="s">
        <v>467</v>
      </c>
      <c r="S110" t="s">
        <v>462</v>
      </c>
      <c r="T110" t="s">
        <v>351</v>
      </c>
      <c r="U110" t="s">
        <v>177</v>
      </c>
      <c r="V110" s="3">
        <f>Tabla1[[#This Row],[OS-Valor Unitario]]-Tabla1[[#This Row],[costo_antes_iva]]</f>
        <v>-2100</v>
      </c>
      <c r="W110" s="3">
        <f>Tabla1[[#This Row],[OS-Valor Unitario]]*Tabla1[[#This Row],[OS-Cantidad]]</f>
        <v>728000</v>
      </c>
      <c r="X110" s="3">
        <f>Tabla1[[#This Row],[costo_antes_iva]]*Tabla1[[#This Row],[OS-Cantidad]]</f>
        <v>875000</v>
      </c>
      <c r="Y110" s="3">
        <f>Tabla1[[#This Row],[Valor total OS]]-Tabla1[[#This Row],[valor total op]]</f>
        <v>-147000</v>
      </c>
    </row>
    <row r="111" spans="1:25" x14ac:dyDescent="0.3">
      <c r="A111">
        <v>6492</v>
      </c>
      <c r="B111">
        <v>3</v>
      </c>
      <c r="C111" t="s">
        <v>464</v>
      </c>
      <c r="D111">
        <v>70</v>
      </c>
      <c r="E111" s="5">
        <v>46020.875</v>
      </c>
      <c r="F111" t="s">
        <v>465</v>
      </c>
      <c r="G111" t="s">
        <v>435</v>
      </c>
      <c r="H111" t="s">
        <v>346</v>
      </c>
      <c r="I111">
        <v>70</v>
      </c>
      <c r="J111">
        <v>77864545</v>
      </c>
      <c r="K111" s="5">
        <v>46020</v>
      </c>
      <c r="L111" s="3">
        <v>4500</v>
      </c>
      <c r="M111" t="s">
        <v>459</v>
      </c>
      <c r="N111" t="s">
        <v>56</v>
      </c>
      <c r="O111" t="s">
        <v>466</v>
      </c>
      <c r="P111" s="3">
        <v>5000</v>
      </c>
      <c r="Q111">
        <v>70</v>
      </c>
      <c r="R111" t="s">
        <v>468</v>
      </c>
      <c r="S111" t="s">
        <v>462</v>
      </c>
      <c r="T111" t="s">
        <v>351</v>
      </c>
      <c r="U111" t="s">
        <v>177</v>
      </c>
      <c r="V111" s="3">
        <f>Tabla1[[#This Row],[OS-Valor Unitario]]-Tabla1[[#This Row],[costo_antes_iva]]</f>
        <v>500</v>
      </c>
      <c r="W111" s="3">
        <f>Tabla1[[#This Row],[OS-Valor Unitario]]*Tabla1[[#This Row],[OS-Cantidad]]</f>
        <v>350000</v>
      </c>
      <c r="X111" s="3">
        <f>Tabla1[[#This Row],[costo_antes_iva]]*Tabla1[[#This Row],[OS-Cantidad]]</f>
        <v>315000</v>
      </c>
      <c r="Y111" s="3">
        <f>Tabla1[[#This Row],[Valor total OS]]-Tabla1[[#This Row],[valor total op]]</f>
        <v>35000</v>
      </c>
    </row>
    <row r="112" spans="1:25" x14ac:dyDescent="0.3">
      <c r="A112">
        <v>6492</v>
      </c>
      <c r="B112">
        <v>4</v>
      </c>
      <c r="C112" t="s">
        <v>469</v>
      </c>
      <c r="D112">
        <v>1100</v>
      </c>
      <c r="E112" s="5">
        <v>46020.875</v>
      </c>
      <c r="F112" t="s">
        <v>470</v>
      </c>
      <c r="G112" t="s">
        <v>471</v>
      </c>
      <c r="H112" t="s">
        <v>346</v>
      </c>
      <c r="I112">
        <v>1100</v>
      </c>
      <c r="J112">
        <v>77864570</v>
      </c>
      <c r="K112" s="5">
        <v>46020</v>
      </c>
      <c r="L112" s="3">
        <v>900</v>
      </c>
      <c r="M112" t="s">
        <v>459</v>
      </c>
      <c r="N112" t="s">
        <v>72</v>
      </c>
      <c r="O112" t="s">
        <v>472</v>
      </c>
      <c r="P112" s="3">
        <v>900</v>
      </c>
      <c r="Q112">
        <v>1100</v>
      </c>
      <c r="R112" t="s">
        <v>473</v>
      </c>
      <c r="S112" t="s">
        <v>462</v>
      </c>
      <c r="T112" t="s">
        <v>351</v>
      </c>
      <c r="U112" t="s">
        <v>177</v>
      </c>
      <c r="V112" s="3">
        <f>Tabla1[[#This Row],[OS-Valor Unitario]]-Tabla1[[#This Row],[costo_antes_iva]]</f>
        <v>0</v>
      </c>
      <c r="W112" s="3">
        <f>Tabla1[[#This Row],[OS-Valor Unitario]]*Tabla1[[#This Row],[OS-Cantidad]]</f>
        <v>990000</v>
      </c>
      <c r="X112" s="3">
        <f>Tabla1[[#This Row],[costo_antes_iva]]*Tabla1[[#This Row],[OS-Cantidad]]</f>
        <v>990000</v>
      </c>
      <c r="Y112" s="3">
        <f>Tabla1[[#This Row],[Valor total OS]]-Tabla1[[#This Row],[valor total op]]</f>
        <v>0</v>
      </c>
    </row>
    <row r="113" spans="1:25" x14ac:dyDescent="0.3">
      <c r="A113">
        <v>6492</v>
      </c>
      <c r="B113">
        <v>4</v>
      </c>
      <c r="C113" t="s">
        <v>469</v>
      </c>
      <c r="D113">
        <v>1100</v>
      </c>
      <c r="E113" s="5">
        <v>46020.875</v>
      </c>
      <c r="F113" t="s">
        <v>470</v>
      </c>
      <c r="G113" t="s">
        <v>471</v>
      </c>
      <c r="H113" t="s">
        <v>346</v>
      </c>
      <c r="I113">
        <v>1100</v>
      </c>
      <c r="J113">
        <v>77864570</v>
      </c>
      <c r="K113" s="5">
        <v>46020</v>
      </c>
      <c r="L113" s="3">
        <v>8200</v>
      </c>
      <c r="M113" t="s">
        <v>459</v>
      </c>
      <c r="N113" t="s">
        <v>56</v>
      </c>
      <c r="O113" t="s">
        <v>472</v>
      </c>
      <c r="P113" s="3">
        <v>8750</v>
      </c>
      <c r="Q113">
        <v>1100</v>
      </c>
      <c r="R113" t="s">
        <v>474</v>
      </c>
      <c r="S113" t="s">
        <v>462</v>
      </c>
      <c r="T113" t="s">
        <v>351</v>
      </c>
      <c r="U113" t="s">
        <v>177</v>
      </c>
      <c r="V113" s="3">
        <f>Tabla1[[#This Row],[OS-Valor Unitario]]-Tabla1[[#This Row],[costo_antes_iva]]</f>
        <v>550</v>
      </c>
      <c r="W113" s="3">
        <f>Tabla1[[#This Row],[OS-Valor Unitario]]*Tabla1[[#This Row],[OS-Cantidad]]</f>
        <v>9625000</v>
      </c>
      <c r="X113" s="3">
        <f>Tabla1[[#This Row],[costo_antes_iva]]*Tabla1[[#This Row],[OS-Cantidad]]</f>
        <v>9020000</v>
      </c>
      <c r="Y113" s="3">
        <f>Tabla1[[#This Row],[Valor total OS]]-Tabla1[[#This Row],[valor total op]]</f>
        <v>605000</v>
      </c>
    </row>
    <row r="114" spans="1:25" x14ac:dyDescent="0.3">
      <c r="A114">
        <v>6492</v>
      </c>
      <c r="B114">
        <v>5</v>
      </c>
      <c r="C114" t="s">
        <v>475</v>
      </c>
      <c r="D114">
        <v>20</v>
      </c>
      <c r="E114" s="5">
        <v>46020.875</v>
      </c>
      <c r="F114" t="s">
        <v>476</v>
      </c>
      <c r="G114" t="s">
        <v>477</v>
      </c>
      <c r="H114" t="s">
        <v>346</v>
      </c>
      <c r="I114">
        <v>20</v>
      </c>
      <c r="J114">
        <v>77864583</v>
      </c>
      <c r="K114" s="5">
        <v>46020</v>
      </c>
      <c r="L114" s="3">
        <v>40000</v>
      </c>
      <c r="M114" t="s">
        <v>459</v>
      </c>
      <c r="N114" t="s">
        <v>478</v>
      </c>
      <c r="O114" t="s">
        <v>479</v>
      </c>
      <c r="P114" s="3">
        <v>47000</v>
      </c>
      <c r="Q114">
        <v>20</v>
      </c>
      <c r="R114" t="s">
        <v>480</v>
      </c>
      <c r="S114" t="s">
        <v>462</v>
      </c>
      <c r="T114" t="s">
        <v>351</v>
      </c>
      <c r="U114" t="s">
        <v>177</v>
      </c>
      <c r="V114" s="3">
        <f>Tabla1[[#This Row],[OS-Valor Unitario]]-Tabla1[[#This Row],[costo_antes_iva]]</f>
        <v>7000</v>
      </c>
      <c r="W114" s="3">
        <f>Tabla1[[#This Row],[OS-Valor Unitario]]*Tabla1[[#This Row],[OS-Cantidad]]</f>
        <v>940000</v>
      </c>
      <c r="X114" s="3">
        <f>Tabla1[[#This Row],[costo_antes_iva]]*Tabla1[[#This Row],[OS-Cantidad]]</f>
        <v>800000</v>
      </c>
      <c r="Y114" s="3">
        <f>Tabla1[[#This Row],[Valor total OS]]-Tabla1[[#This Row],[valor total op]]</f>
        <v>140000</v>
      </c>
    </row>
    <row r="115" spans="1:25" x14ac:dyDescent="0.3">
      <c r="A115">
        <v>6492</v>
      </c>
      <c r="B115">
        <v>6</v>
      </c>
      <c r="C115" t="s">
        <v>481</v>
      </c>
      <c r="D115">
        <v>120</v>
      </c>
      <c r="E115" s="5">
        <v>46020.875</v>
      </c>
      <c r="F115" t="s">
        <v>482</v>
      </c>
      <c r="G115" t="s">
        <v>23</v>
      </c>
      <c r="H115" t="s">
        <v>346</v>
      </c>
      <c r="I115">
        <v>120</v>
      </c>
      <c r="J115">
        <v>77864585</v>
      </c>
      <c r="K115" s="5">
        <v>46020</v>
      </c>
      <c r="L115" s="3">
        <v>19610</v>
      </c>
      <c r="M115" t="s">
        <v>459</v>
      </c>
      <c r="N115" t="s">
        <v>56</v>
      </c>
      <c r="O115" t="s">
        <v>483</v>
      </c>
      <c r="P115" s="3">
        <v>19600</v>
      </c>
      <c r="Q115">
        <v>120</v>
      </c>
      <c r="R115" t="s">
        <v>484</v>
      </c>
      <c r="S115" t="s">
        <v>462</v>
      </c>
      <c r="T115" t="s">
        <v>351</v>
      </c>
      <c r="U115" t="s">
        <v>177</v>
      </c>
      <c r="V115" s="3">
        <f>Tabla1[[#This Row],[OS-Valor Unitario]]-Tabla1[[#This Row],[costo_antes_iva]]</f>
        <v>-10</v>
      </c>
      <c r="W115" s="3">
        <f>Tabla1[[#This Row],[OS-Valor Unitario]]*Tabla1[[#This Row],[OS-Cantidad]]</f>
        <v>2352000</v>
      </c>
      <c r="X115" s="3">
        <f>Tabla1[[#This Row],[costo_antes_iva]]*Tabla1[[#This Row],[OS-Cantidad]]</f>
        <v>2353200</v>
      </c>
      <c r="Y115" s="3">
        <f>Tabla1[[#This Row],[Valor total OS]]-Tabla1[[#This Row],[valor total op]]</f>
        <v>-1200</v>
      </c>
    </row>
    <row r="116" spans="1:25" x14ac:dyDescent="0.3">
      <c r="A116">
        <v>6492</v>
      </c>
      <c r="B116">
        <v>8</v>
      </c>
      <c r="C116" t="s">
        <v>485</v>
      </c>
      <c r="D116">
        <v>50</v>
      </c>
      <c r="E116" s="5">
        <v>46020.875</v>
      </c>
      <c r="F116" t="s">
        <v>486</v>
      </c>
      <c r="G116" t="s">
        <v>487</v>
      </c>
      <c r="H116" t="s">
        <v>346</v>
      </c>
      <c r="I116">
        <v>50</v>
      </c>
      <c r="J116">
        <v>77864591</v>
      </c>
      <c r="K116" s="5">
        <v>46020</v>
      </c>
      <c r="L116" s="3">
        <v>1000</v>
      </c>
      <c r="M116" t="s">
        <v>459</v>
      </c>
      <c r="N116" t="s">
        <v>26</v>
      </c>
      <c r="O116" t="s">
        <v>488</v>
      </c>
      <c r="P116" s="3">
        <v>900</v>
      </c>
      <c r="Q116">
        <v>51</v>
      </c>
      <c r="R116" t="s">
        <v>489</v>
      </c>
      <c r="S116" t="s">
        <v>462</v>
      </c>
      <c r="T116" t="s">
        <v>351</v>
      </c>
      <c r="U116" t="s">
        <v>177</v>
      </c>
      <c r="V116" s="3">
        <f>Tabla1[[#This Row],[OS-Valor Unitario]]-Tabla1[[#This Row],[costo_antes_iva]]</f>
        <v>-100</v>
      </c>
      <c r="W116" s="3">
        <f>Tabla1[[#This Row],[OS-Valor Unitario]]*Tabla1[[#This Row],[OS-Cantidad]]</f>
        <v>45900</v>
      </c>
      <c r="X116" s="3">
        <f>Tabla1[[#This Row],[costo_antes_iva]]*Tabla1[[#This Row],[OS-Cantidad]]</f>
        <v>51000</v>
      </c>
      <c r="Y116" s="3">
        <f>Tabla1[[#This Row],[Valor total OS]]-Tabla1[[#This Row],[valor total op]]</f>
        <v>-5100</v>
      </c>
    </row>
    <row r="117" spans="1:25" x14ac:dyDescent="0.3">
      <c r="A117">
        <v>6492</v>
      </c>
      <c r="B117">
        <v>8</v>
      </c>
      <c r="C117" t="s">
        <v>485</v>
      </c>
      <c r="D117">
        <v>50</v>
      </c>
      <c r="E117" s="5">
        <v>46020.875</v>
      </c>
      <c r="F117" t="s">
        <v>486</v>
      </c>
      <c r="G117" t="s">
        <v>487</v>
      </c>
      <c r="H117" t="s">
        <v>346</v>
      </c>
      <c r="I117">
        <v>50</v>
      </c>
      <c r="J117">
        <v>77864591</v>
      </c>
      <c r="K117" s="5">
        <v>46020</v>
      </c>
      <c r="L117" s="3">
        <v>11500</v>
      </c>
      <c r="M117" t="s">
        <v>459</v>
      </c>
      <c r="N117" t="s">
        <v>56</v>
      </c>
      <c r="O117" t="s">
        <v>488</v>
      </c>
      <c r="P117" s="3">
        <v>12000</v>
      </c>
      <c r="Q117">
        <v>51</v>
      </c>
      <c r="R117" t="s">
        <v>490</v>
      </c>
      <c r="S117" t="s">
        <v>462</v>
      </c>
      <c r="T117" t="s">
        <v>351</v>
      </c>
      <c r="U117" t="s">
        <v>177</v>
      </c>
      <c r="V117" s="3">
        <f>Tabla1[[#This Row],[OS-Valor Unitario]]-Tabla1[[#This Row],[costo_antes_iva]]</f>
        <v>500</v>
      </c>
      <c r="W117" s="3">
        <f>Tabla1[[#This Row],[OS-Valor Unitario]]*Tabla1[[#This Row],[OS-Cantidad]]</f>
        <v>612000</v>
      </c>
      <c r="X117" s="3">
        <f>Tabla1[[#This Row],[costo_antes_iva]]*Tabla1[[#This Row],[OS-Cantidad]]</f>
        <v>586500</v>
      </c>
      <c r="Y117" s="3">
        <f>Tabla1[[#This Row],[Valor total OS]]-Tabla1[[#This Row],[valor total op]]</f>
        <v>25500</v>
      </c>
    </row>
    <row r="118" spans="1:25" x14ac:dyDescent="0.3">
      <c r="A118">
        <v>6492</v>
      </c>
      <c r="B118">
        <v>9</v>
      </c>
      <c r="C118" t="s">
        <v>491</v>
      </c>
      <c r="D118">
        <v>22</v>
      </c>
      <c r="E118" s="5">
        <v>46020.875</v>
      </c>
      <c r="F118" t="s">
        <v>492</v>
      </c>
      <c r="G118" t="s">
        <v>128</v>
      </c>
      <c r="H118" t="s">
        <v>346</v>
      </c>
      <c r="I118">
        <v>22</v>
      </c>
      <c r="J118">
        <v>77864602</v>
      </c>
      <c r="K118" s="5">
        <v>46020</v>
      </c>
      <c r="L118" s="3">
        <v>7000</v>
      </c>
      <c r="M118" t="s">
        <v>459</v>
      </c>
      <c r="N118" t="s">
        <v>56</v>
      </c>
      <c r="O118" t="s">
        <v>493</v>
      </c>
      <c r="P118" s="3">
        <v>8500</v>
      </c>
      <c r="Q118">
        <v>22</v>
      </c>
      <c r="R118" t="s">
        <v>494</v>
      </c>
      <c r="S118" t="s">
        <v>462</v>
      </c>
      <c r="T118" t="s">
        <v>351</v>
      </c>
      <c r="U118" t="s">
        <v>177</v>
      </c>
      <c r="V118" s="3">
        <f>Tabla1[[#This Row],[OS-Valor Unitario]]-Tabla1[[#This Row],[costo_antes_iva]]</f>
        <v>1500</v>
      </c>
      <c r="W118" s="3">
        <f>Tabla1[[#This Row],[OS-Valor Unitario]]*Tabla1[[#This Row],[OS-Cantidad]]</f>
        <v>187000</v>
      </c>
      <c r="X118" s="3">
        <f>Tabla1[[#This Row],[costo_antes_iva]]*Tabla1[[#This Row],[OS-Cantidad]]</f>
        <v>154000</v>
      </c>
      <c r="Y118" s="3">
        <f>Tabla1[[#This Row],[Valor total OS]]-Tabla1[[#This Row],[valor total op]]</f>
        <v>33000</v>
      </c>
    </row>
    <row r="119" spans="1:25" x14ac:dyDescent="0.3">
      <c r="A119">
        <v>6492</v>
      </c>
      <c r="B119">
        <v>9</v>
      </c>
      <c r="C119" t="s">
        <v>491</v>
      </c>
      <c r="D119">
        <v>22</v>
      </c>
      <c r="E119" s="5">
        <v>46020.875</v>
      </c>
      <c r="F119" t="s">
        <v>492</v>
      </c>
      <c r="G119" t="s">
        <v>128</v>
      </c>
      <c r="H119" t="s">
        <v>346</v>
      </c>
      <c r="I119">
        <v>22</v>
      </c>
      <c r="J119">
        <v>77864602</v>
      </c>
      <c r="K119" s="5">
        <v>46020</v>
      </c>
      <c r="L119" s="3">
        <v>1300</v>
      </c>
      <c r="M119" t="s">
        <v>459</v>
      </c>
      <c r="N119" t="s">
        <v>72</v>
      </c>
      <c r="O119" t="s">
        <v>493</v>
      </c>
      <c r="P119" s="3">
        <v>1600</v>
      </c>
      <c r="Q119">
        <v>22</v>
      </c>
      <c r="R119" t="s">
        <v>495</v>
      </c>
      <c r="S119" t="s">
        <v>462</v>
      </c>
      <c r="T119" t="s">
        <v>351</v>
      </c>
      <c r="U119" t="s">
        <v>177</v>
      </c>
      <c r="V119" s="3">
        <f>Tabla1[[#This Row],[OS-Valor Unitario]]-Tabla1[[#This Row],[costo_antes_iva]]</f>
        <v>300</v>
      </c>
      <c r="W119" s="3">
        <f>Tabla1[[#This Row],[OS-Valor Unitario]]*Tabla1[[#This Row],[OS-Cantidad]]</f>
        <v>35200</v>
      </c>
      <c r="X119" s="3">
        <f>Tabla1[[#This Row],[costo_antes_iva]]*Tabla1[[#This Row],[OS-Cantidad]]</f>
        <v>28600</v>
      </c>
      <c r="Y119" s="3">
        <f>Tabla1[[#This Row],[Valor total OS]]-Tabla1[[#This Row],[valor total op]]</f>
        <v>6600</v>
      </c>
    </row>
    <row r="120" spans="1:25" x14ac:dyDescent="0.3">
      <c r="A120">
        <v>6492</v>
      </c>
      <c r="B120">
        <v>10</v>
      </c>
      <c r="C120" t="s">
        <v>496</v>
      </c>
      <c r="D120">
        <v>120</v>
      </c>
      <c r="E120" s="5">
        <v>46020.875</v>
      </c>
      <c r="F120" t="s">
        <v>497</v>
      </c>
      <c r="G120" t="s">
        <v>345</v>
      </c>
      <c r="H120" t="s">
        <v>346</v>
      </c>
      <c r="I120">
        <v>30</v>
      </c>
      <c r="J120">
        <v>77864618</v>
      </c>
      <c r="K120" s="5">
        <v>46020</v>
      </c>
      <c r="L120" s="3">
        <v>800</v>
      </c>
      <c r="M120" t="s">
        <v>459</v>
      </c>
      <c r="N120" t="s">
        <v>72</v>
      </c>
      <c r="O120" t="s">
        <v>498</v>
      </c>
      <c r="P120" s="3">
        <v>1400</v>
      </c>
      <c r="Q120">
        <v>120</v>
      </c>
      <c r="R120" t="s">
        <v>499</v>
      </c>
      <c r="S120" t="s">
        <v>462</v>
      </c>
      <c r="T120" t="s">
        <v>351</v>
      </c>
      <c r="U120" t="s">
        <v>177</v>
      </c>
      <c r="V120" s="3">
        <f>Tabla1[[#This Row],[OS-Valor Unitario]]-Tabla1[[#This Row],[costo_antes_iva]]</f>
        <v>600</v>
      </c>
      <c r="W120" s="3">
        <f>Tabla1[[#This Row],[OS-Valor Unitario]]*Tabla1[[#This Row],[OS-Cantidad]]</f>
        <v>168000</v>
      </c>
      <c r="X120" s="3">
        <f>Tabla1[[#This Row],[costo_antes_iva]]*Tabla1[[#This Row],[OS-Cantidad]]</f>
        <v>96000</v>
      </c>
      <c r="Y120" s="3">
        <f>Tabla1[[#This Row],[Valor total OS]]-Tabla1[[#This Row],[valor total op]]</f>
        <v>72000</v>
      </c>
    </row>
    <row r="121" spans="1:25" x14ac:dyDescent="0.3">
      <c r="A121">
        <v>6492</v>
      </c>
      <c r="B121">
        <v>10</v>
      </c>
      <c r="C121" t="s">
        <v>496</v>
      </c>
      <c r="D121">
        <v>120</v>
      </c>
      <c r="E121" s="5">
        <v>46020.875</v>
      </c>
      <c r="F121" t="s">
        <v>497</v>
      </c>
      <c r="G121" t="s">
        <v>345</v>
      </c>
      <c r="H121" t="s">
        <v>346</v>
      </c>
      <c r="I121">
        <v>30</v>
      </c>
      <c r="J121">
        <v>77864618</v>
      </c>
      <c r="K121" s="5">
        <v>46020</v>
      </c>
      <c r="L121" s="3">
        <v>15000</v>
      </c>
      <c r="M121" t="s">
        <v>459</v>
      </c>
      <c r="N121" t="s">
        <v>56</v>
      </c>
      <c r="O121" t="s">
        <v>498</v>
      </c>
      <c r="P121" s="3">
        <v>15500</v>
      </c>
      <c r="Q121">
        <v>120</v>
      </c>
      <c r="R121" t="s">
        <v>500</v>
      </c>
      <c r="S121" t="s">
        <v>462</v>
      </c>
      <c r="T121" t="s">
        <v>351</v>
      </c>
      <c r="U121" t="s">
        <v>177</v>
      </c>
      <c r="V121" s="3">
        <f>Tabla1[[#This Row],[OS-Valor Unitario]]-Tabla1[[#This Row],[costo_antes_iva]]</f>
        <v>500</v>
      </c>
      <c r="W121" s="3">
        <f>Tabla1[[#This Row],[OS-Valor Unitario]]*Tabla1[[#This Row],[OS-Cantidad]]</f>
        <v>1860000</v>
      </c>
      <c r="X121" s="3">
        <f>Tabla1[[#This Row],[costo_antes_iva]]*Tabla1[[#This Row],[OS-Cantidad]]</f>
        <v>1800000</v>
      </c>
      <c r="Y121" s="3">
        <f>Tabla1[[#This Row],[Valor total OS]]-Tabla1[[#This Row],[valor total op]]</f>
        <v>60000</v>
      </c>
    </row>
    <row r="122" spans="1:25" x14ac:dyDescent="0.3">
      <c r="A122">
        <v>6492</v>
      </c>
      <c r="B122">
        <v>11</v>
      </c>
      <c r="C122" t="s">
        <v>501</v>
      </c>
      <c r="D122">
        <v>200</v>
      </c>
      <c r="E122" s="5">
        <v>46020.875</v>
      </c>
      <c r="F122" t="s">
        <v>502</v>
      </c>
      <c r="G122" t="s">
        <v>264</v>
      </c>
      <c r="H122" t="s">
        <v>346</v>
      </c>
      <c r="I122">
        <v>200</v>
      </c>
      <c r="J122">
        <v>77864629</v>
      </c>
      <c r="K122" s="5">
        <v>46020</v>
      </c>
      <c r="L122" s="3">
        <v>11500</v>
      </c>
      <c r="M122" t="s">
        <v>459</v>
      </c>
      <c r="N122" t="s">
        <v>56</v>
      </c>
      <c r="O122" t="s">
        <v>503</v>
      </c>
      <c r="P122" s="3">
        <v>12000</v>
      </c>
      <c r="Q122">
        <v>200</v>
      </c>
      <c r="R122" t="s">
        <v>504</v>
      </c>
      <c r="S122" t="s">
        <v>462</v>
      </c>
      <c r="T122" t="s">
        <v>351</v>
      </c>
      <c r="U122" t="s">
        <v>177</v>
      </c>
      <c r="V122" s="3">
        <f>Tabla1[[#This Row],[OS-Valor Unitario]]-Tabla1[[#This Row],[costo_antes_iva]]</f>
        <v>500</v>
      </c>
      <c r="W122" s="3">
        <f>Tabla1[[#This Row],[OS-Valor Unitario]]*Tabla1[[#This Row],[OS-Cantidad]]</f>
        <v>2400000</v>
      </c>
      <c r="X122" s="3">
        <f>Tabla1[[#This Row],[costo_antes_iva]]*Tabla1[[#This Row],[OS-Cantidad]]</f>
        <v>2300000</v>
      </c>
      <c r="Y122" s="3">
        <f>Tabla1[[#This Row],[Valor total OS]]-Tabla1[[#This Row],[valor total op]]</f>
        <v>100000</v>
      </c>
    </row>
    <row r="123" spans="1:25" x14ac:dyDescent="0.3">
      <c r="A123">
        <v>6492</v>
      </c>
      <c r="B123">
        <v>12</v>
      </c>
      <c r="C123" t="s">
        <v>505</v>
      </c>
      <c r="D123">
        <v>40</v>
      </c>
      <c r="E123" s="5">
        <v>46020.875</v>
      </c>
      <c r="F123" t="s">
        <v>506</v>
      </c>
      <c r="G123" t="s">
        <v>294</v>
      </c>
      <c r="H123" t="s">
        <v>346</v>
      </c>
      <c r="I123">
        <v>40</v>
      </c>
      <c r="J123">
        <v>77864643</v>
      </c>
      <c r="K123" s="5">
        <v>46020</v>
      </c>
      <c r="L123" s="3">
        <v>1000</v>
      </c>
      <c r="M123" t="s">
        <v>459</v>
      </c>
      <c r="N123" t="s">
        <v>26</v>
      </c>
      <c r="O123" t="s">
        <v>507</v>
      </c>
      <c r="P123" s="3">
        <v>1200</v>
      </c>
      <c r="Q123">
        <v>40</v>
      </c>
      <c r="R123" t="s">
        <v>508</v>
      </c>
      <c r="S123" t="s">
        <v>462</v>
      </c>
      <c r="T123" t="s">
        <v>351</v>
      </c>
      <c r="U123" t="s">
        <v>177</v>
      </c>
      <c r="V123" s="3">
        <f>Tabla1[[#This Row],[OS-Valor Unitario]]-Tabla1[[#This Row],[costo_antes_iva]]</f>
        <v>200</v>
      </c>
      <c r="W123" s="3">
        <f>Tabla1[[#This Row],[OS-Valor Unitario]]*Tabla1[[#This Row],[OS-Cantidad]]</f>
        <v>48000</v>
      </c>
      <c r="X123" s="3">
        <f>Tabla1[[#This Row],[costo_antes_iva]]*Tabla1[[#This Row],[OS-Cantidad]]</f>
        <v>40000</v>
      </c>
      <c r="Y123" s="3">
        <f>Tabla1[[#This Row],[Valor total OS]]-Tabla1[[#This Row],[valor total op]]</f>
        <v>8000</v>
      </c>
    </row>
    <row r="124" spans="1:25" x14ac:dyDescent="0.3">
      <c r="A124">
        <v>6492</v>
      </c>
      <c r="B124">
        <v>13</v>
      </c>
      <c r="C124" t="s">
        <v>509</v>
      </c>
      <c r="D124">
        <v>60</v>
      </c>
      <c r="E124" s="5">
        <v>46020.875</v>
      </c>
      <c r="F124" t="s">
        <v>510</v>
      </c>
      <c r="G124" t="s">
        <v>23</v>
      </c>
      <c r="H124" t="s">
        <v>346</v>
      </c>
      <c r="I124">
        <v>60</v>
      </c>
      <c r="J124">
        <v>77869372</v>
      </c>
      <c r="K124" s="5">
        <v>46020</v>
      </c>
      <c r="L124" s="3">
        <v>39220</v>
      </c>
      <c r="M124" t="s">
        <v>511</v>
      </c>
      <c r="N124" t="s">
        <v>56</v>
      </c>
      <c r="O124" t="s">
        <v>512</v>
      </c>
      <c r="P124" s="3">
        <v>39200</v>
      </c>
      <c r="Q124">
        <v>60</v>
      </c>
      <c r="R124" t="s">
        <v>513</v>
      </c>
      <c r="S124" t="s">
        <v>514</v>
      </c>
      <c r="T124" t="s">
        <v>515</v>
      </c>
      <c r="U124" t="s">
        <v>177</v>
      </c>
      <c r="V124" s="3">
        <f>Tabla1[[#This Row],[OS-Valor Unitario]]-Tabla1[[#This Row],[costo_antes_iva]]</f>
        <v>-20</v>
      </c>
      <c r="W124" s="3">
        <f>Tabla1[[#This Row],[OS-Valor Unitario]]*Tabla1[[#This Row],[OS-Cantidad]]</f>
        <v>2352000</v>
      </c>
      <c r="X124" s="3">
        <f>Tabla1[[#This Row],[costo_antes_iva]]*Tabla1[[#This Row],[OS-Cantidad]]</f>
        <v>2353200</v>
      </c>
      <c r="Y124" s="3">
        <f>Tabla1[[#This Row],[Valor total OS]]-Tabla1[[#This Row],[valor total op]]</f>
        <v>-1200</v>
      </c>
    </row>
    <row r="125" spans="1:25" x14ac:dyDescent="0.3">
      <c r="A125">
        <v>6492</v>
      </c>
      <c r="B125">
        <v>13</v>
      </c>
      <c r="C125" t="s">
        <v>509</v>
      </c>
      <c r="D125">
        <v>60</v>
      </c>
      <c r="E125" s="5">
        <v>46020.875</v>
      </c>
      <c r="F125" t="s">
        <v>510</v>
      </c>
      <c r="G125" t="s">
        <v>23</v>
      </c>
      <c r="H125" t="s">
        <v>346</v>
      </c>
      <c r="I125">
        <v>60</v>
      </c>
      <c r="J125">
        <v>77869372</v>
      </c>
      <c r="K125" s="5">
        <v>46020</v>
      </c>
      <c r="L125" s="3">
        <v>39220</v>
      </c>
      <c r="M125" t="s">
        <v>511</v>
      </c>
      <c r="N125" t="s">
        <v>56</v>
      </c>
      <c r="O125" t="s">
        <v>512</v>
      </c>
      <c r="P125" s="3">
        <v>39200</v>
      </c>
      <c r="Q125">
        <v>60</v>
      </c>
      <c r="R125" t="s">
        <v>513</v>
      </c>
      <c r="S125" t="s">
        <v>514</v>
      </c>
      <c r="T125" t="s">
        <v>516</v>
      </c>
      <c r="U125" t="s">
        <v>177</v>
      </c>
      <c r="V125" s="3">
        <f>Tabla1[[#This Row],[OS-Valor Unitario]]-Tabla1[[#This Row],[costo_antes_iva]]</f>
        <v>-20</v>
      </c>
      <c r="W125" s="3">
        <f>Tabla1[[#This Row],[OS-Valor Unitario]]*Tabla1[[#This Row],[OS-Cantidad]]</f>
        <v>2352000</v>
      </c>
      <c r="X125" s="3">
        <f>Tabla1[[#This Row],[costo_antes_iva]]*Tabla1[[#This Row],[OS-Cantidad]]</f>
        <v>2353200</v>
      </c>
      <c r="Y125" s="3">
        <f>Tabla1[[#This Row],[Valor total OS]]-Tabla1[[#This Row],[valor total op]]</f>
        <v>-1200</v>
      </c>
    </row>
    <row r="126" spans="1:25" x14ac:dyDescent="0.3">
      <c r="A126">
        <v>6492</v>
      </c>
      <c r="B126">
        <v>13</v>
      </c>
      <c r="C126" t="s">
        <v>509</v>
      </c>
      <c r="D126">
        <v>60</v>
      </c>
      <c r="E126" s="5">
        <v>46020.875</v>
      </c>
      <c r="F126" t="s">
        <v>510</v>
      </c>
      <c r="G126" t="s">
        <v>517</v>
      </c>
      <c r="H126" t="s">
        <v>346</v>
      </c>
      <c r="I126">
        <v>50</v>
      </c>
      <c r="J126">
        <v>77869378</v>
      </c>
      <c r="K126" s="5">
        <v>46020</v>
      </c>
      <c r="L126" s="3">
        <v>12500</v>
      </c>
      <c r="M126" t="s">
        <v>518</v>
      </c>
      <c r="N126" t="s">
        <v>56</v>
      </c>
      <c r="O126" t="s">
        <v>512</v>
      </c>
      <c r="P126" s="3">
        <v>39200</v>
      </c>
      <c r="Q126">
        <v>60</v>
      </c>
      <c r="R126" t="s">
        <v>513</v>
      </c>
      <c r="S126" t="s">
        <v>514</v>
      </c>
      <c r="T126" t="s">
        <v>515</v>
      </c>
      <c r="U126" t="s">
        <v>177</v>
      </c>
      <c r="V126" s="3">
        <f>Tabla1[[#This Row],[OS-Valor Unitario]]-Tabla1[[#This Row],[costo_antes_iva]]</f>
        <v>26700</v>
      </c>
      <c r="W126" s="3">
        <f>Tabla1[[#This Row],[OS-Valor Unitario]]*Tabla1[[#This Row],[OS-Cantidad]]</f>
        <v>2352000</v>
      </c>
      <c r="X126" s="3">
        <f>Tabla1[[#This Row],[costo_antes_iva]]*Tabla1[[#This Row],[OS-Cantidad]]</f>
        <v>750000</v>
      </c>
      <c r="Y126" s="3">
        <f>Tabla1[[#This Row],[Valor total OS]]-Tabla1[[#This Row],[valor total op]]</f>
        <v>1602000</v>
      </c>
    </row>
    <row r="127" spans="1:25" x14ac:dyDescent="0.3">
      <c r="A127">
        <v>6492</v>
      </c>
      <c r="B127">
        <v>13</v>
      </c>
      <c r="C127" t="s">
        <v>509</v>
      </c>
      <c r="D127">
        <v>60</v>
      </c>
      <c r="E127" s="5">
        <v>46020.875</v>
      </c>
      <c r="F127" t="s">
        <v>510</v>
      </c>
      <c r="G127" t="s">
        <v>517</v>
      </c>
      <c r="H127" t="s">
        <v>346</v>
      </c>
      <c r="I127">
        <v>50</v>
      </c>
      <c r="J127">
        <v>77869378</v>
      </c>
      <c r="K127" s="5">
        <v>46020</v>
      </c>
      <c r="L127" s="3">
        <v>12500</v>
      </c>
      <c r="M127" t="s">
        <v>518</v>
      </c>
      <c r="N127" t="s">
        <v>56</v>
      </c>
      <c r="O127" t="s">
        <v>512</v>
      </c>
      <c r="P127" s="3">
        <v>39200</v>
      </c>
      <c r="Q127">
        <v>60</v>
      </c>
      <c r="R127" t="s">
        <v>513</v>
      </c>
      <c r="S127" t="s">
        <v>514</v>
      </c>
      <c r="T127" t="s">
        <v>516</v>
      </c>
      <c r="U127" t="s">
        <v>177</v>
      </c>
      <c r="V127" s="3">
        <f>Tabla1[[#This Row],[OS-Valor Unitario]]-Tabla1[[#This Row],[costo_antes_iva]]</f>
        <v>26700</v>
      </c>
      <c r="W127" s="3">
        <f>Tabla1[[#This Row],[OS-Valor Unitario]]*Tabla1[[#This Row],[OS-Cantidad]]</f>
        <v>2352000</v>
      </c>
      <c r="X127" s="3">
        <f>Tabla1[[#This Row],[costo_antes_iva]]*Tabla1[[#This Row],[OS-Cantidad]]</f>
        <v>750000</v>
      </c>
      <c r="Y127" s="3">
        <f>Tabla1[[#This Row],[Valor total OS]]-Tabla1[[#This Row],[valor total op]]</f>
        <v>1602000</v>
      </c>
    </row>
    <row r="128" spans="1:25" x14ac:dyDescent="0.3">
      <c r="A128">
        <v>6492</v>
      </c>
      <c r="B128">
        <v>13</v>
      </c>
      <c r="C128" t="s">
        <v>509</v>
      </c>
      <c r="D128">
        <v>60</v>
      </c>
      <c r="E128" s="5">
        <v>46020.875</v>
      </c>
      <c r="F128" t="s">
        <v>510</v>
      </c>
      <c r="G128" t="s">
        <v>517</v>
      </c>
      <c r="H128" t="s">
        <v>346</v>
      </c>
      <c r="I128">
        <v>10</v>
      </c>
      <c r="J128">
        <v>77863835</v>
      </c>
      <c r="K128" s="5">
        <v>46020</v>
      </c>
      <c r="L128" s="3">
        <v>7500</v>
      </c>
      <c r="M128" t="s">
        <v>519</v>
      </c>
      <c r="N128" t="s">
        <v>56</v>
      </c>
      <c r="O128" t="s">
        <v>512</v>
      </c>
      <c r="P128" s="3">
        <v>39200</v>
      </c>
      <c r="Q128">
        <v>60</v>
      </c>
      <c r="R128" t="s">
        <v>513</v>
      </c>
      <c r="S128" t="s">
        <v>514</v>
      </c>
      <c r="T128" t="s">
        <v>515</v>
      </c>
      <c r="U128" t="s">
        <v>177</v>
      </c>
      <c r="V128" s="3">
        <f>Tabla1[[#This Row],[OS-Valor Unitario]]-Tabla1[[#This Row],[costo_antes_iva]]</f>
        <v>31700</v>
      </c>
      <c r="W128" s="3">
        <f>Tabla1[[#This Row],[OS-Valor Unitario]]*Tabla1[[#This Row],[OS-Cantidad]]</f>
        <v>2352000</v>
      </c>
      <c r="X128" s="3">
        <f>Tabla1[[#This Row],[costo_antes_iva]]*Tabla1[[#This Row],[OS-Cantidad]]</f>
        <v>450000</v>
      </c>
      <c r="Y128" s="3">
        <f>Tabla1[[#This Row],[Valor total OS]]-Tabla1[[#This Row],[valor total op]]</f>
        <v>1902000</v>
      </c>
    </row>
    <row r="129" spans="1:25" x14ac:dyDescent="0.3">
      <c r="A129">
        <v>6492</v>
      </c>
      <c r="B129">
        <v>13</v>
      </c>
      <c r="C129" t="s">
        <v>509</v>
      </c>
      <c r="D129">
        <v>60</v>
      </c>
      <c r="E129" s="5">
        <v>46020.875</v>
      </c>
      <c r="F129" t="s">
        <v>510</v>
      </c>
      <c r="G129" t="s">
        <v>517</v>
      </c>
      <c r="H129" t="s">
        <v>346</v>
      </c>
      <c r="I129">
        <v>10</v>
      </c>
      <c r="J129">
        <v>77863835</v>
      </c>
      <c r="K129" s="5">
        <v>46020</v>
      </c>
      <c r="L129" s="3">
        <v>7500</v>
      </c>
      <c r="M129" t="s">
        <v>519</v>
      </c>
      <c r="N129" t="s">
        <v>56</v>
      </c>
      <c r="O129" t="s">
        <v>512</v>
      </c>
      <c r="P129" s="3">
        <v>39200</v>
      </c>
      <c r="Q129">
        <v>60</v>
      </c>
      <c r="R129" t="s">
        <v>513</v>
      </c>
      <c r="S129" t="s">
        <v>514</v>
      </c>
      <c r="T129" t="s">
        <v>516</v>
      </c>
      <c r="U129" t="s">
        <v>177</v>
      </c>
      <c r="V129" s="3">
        <f>Tabla1[[#This Row],[OS-Valor Unitario]]-Tabla1[[#This Row],[costo_antes_iva]]</f>
        <v>31700</v>
      </c>
      <c r="W129" s="3">
        <f>Tabla1[[#This Row],[OS-Valor Unitario]]*Tabla1[[#This Row],[OS-Cantidad]]</f>
        <v>2352000</v>
      </c>
      <c r="X129" s="3">
        <f>Tabla1[[#This Row],[costo_antes_iva]]*Tabla1[[#This Row],[OS-Cantidad]]</f>
        <v>450000</v>
      </c>
      <c r="Y129" s="3">
        <f>Tabla1[[#This Row],[Valor total OS]]-Tabla1[[#This Row],[valor total op]]</f>
        <v>1902000</v>
      </c>
    </row>
    <row r="130" spans="1:25" x14ac:dyDescent="0.3">
      <c r="A130">
        <v>6492</v>
      </c>
      <c r="B130">
        <v>14</v>
      </c>
      <c r="C130" t="s">
        <v>520</v>
      </c>
      <c r="D130">
        <v>10</v>
      </c>
      <c r="E130" s="5">
        <v>46020.875</v>
      </c>
      <c r="F130" t="s">
        <v>521</v>
      </c>
      <c r="G130" t="s">
        <v>345</v>
      </c>
      <c r="H130" t="s">
        <v>346</v>
      </c>
      <c r="I130">
        <v>10</v>
      </c>
      <c r="J130">
        <v>77864652</v>
      </c>
      <c r="K130" s="5">
        <v>46020</v>
      </c>
      <c r="L130" s="3">
        <v>1500</v>
      </c>
      <c r="M130" t="s">
        <v>459</v>
      </c>
      <c r="N130" t="s">
        <v>72</v>
      </c>
      <c r="O130" t="s">
        <v>522</v>
      </c>
      <c r="P130" s="3">
        <v>6000</v>
      </c>
      <c r="Q130">
        <v>10</v>
      </c>
      <c r="R130" t="s">
        <v>523</v>
      </c>
      <c r="S130" t="s">
        <v>462</v>
      </c>
      <c r="T130" t="s">
        <v>351</v>
      </c>
      <c r="U130" t="s">
        <v>177</v>
      </c>
      <c r="V130" s="3">
        <f>Tabla1[[#This Row],[OS-Valor Unitario]]-Tabla1[[#This Row],[costo_antes_iva]]</f>
        <v>4500</v>
      </c>
      <c r="W130" s="3">
        <f>Tabla1[[#This Row],[OS-Valor Unitario]]*Tabla1[[#This Row],[OS-Cantidad]]</f>
        <v>60000</v>
      </c>
      <c r="X130" s="3">
        <f>Tabla1[[#This Row],[costo_antes_iva]]*Tabla1[[#This Row],[OS-Cantidad]]</f>
        <v>15000</v>
      </c>
      <c r="Y130" s="3">
        <f>Tabla1[[#This Row],[Valor total OS]]-Tabla1[[#This Row],[valor total op]]</f>
        <v>45000</v>
      </c>
    </row>
    <row r="131" spans="1:25" x14ac:dyDescent="0.3">
      <c r="A131">
        <v>6492</v>
      </c>
      <c r="B131">
        <v>14</v>
      </c>
      <c r="C131" t="s">
        <v>520</v>
      </c>
      <c r="D131">
        <v>10</v>
      </c>
      <c r="E131" s="5">
        <v>46020.875</v>
      </c>
      <c r="F131" t="s">
        <v>521</v>
      </c>
      <c r="G131" t="s">
        <v>345</v>
      </c>
      <c r="H131" t="s">
        <v>346</v>
      </c>
      <c r="I131">
        <v>10</v>
      </c>
      <c r="J131">
        <v>77864652</v>
      </c>
      <c r="K131" s="5">
        <v>46020</v>
      </c>
      <c r="L131" s="3">
        <v>13000</v>
      </c>
      <c r="M131" t="s">
        <v>459</v>
      </c>
      <c r="N131" t="s">
        <v>56</v>
      </c>
      <c r="O131" t="s">
        <v>522</v>
      </c>
      <c r="P131" s="3">
        <v>14000</v>
      </c>
      <c r="Q131">
        <v>10</v>
      </c>
      <c r="R131" t="s">
        <v>524</v>
      </c>
      <c r="S131" t="s">
        <v>462</v>
      </c>
      <c r="T131" t="s">
        <v>351</v>
      </c>
      <c r="U131" t="s">
        <v>177</v>
      </c>
      <c r="V131" s="3">
        <f>Tabla1[[#This Row],[OS-Valor Unitario]]-Tabla1[[#This Row],[costo_antes_iva]]</f>
        <v>1000</v>
      </c>
      <c r="W131" s="3">
        <f>Tabla1[[#This Row],[OS-Valor Unitario]]*Tabla1[[#This Row],[OS-Cantidad]]</f>
        <v>140000</v>
      </c>
      <c r="X131" s="3">
        <f>Tabla1[[#This Row],[costo_antes_iva]]*Tabla1[[#This Row],[OS-Cantidad]]</f>
        <v>130000</v>
      </c>
      <c r="Y131" s="3">
        <f>Tabla1[[#This Row],[Valor total OS]]-Tabla1[[#This Row],[valor total op]]</f>
        <v>10000</v>
      </c>
    </row>
    <row r="132" spans="1:25" x14ac:dyDescent="0.3">
      <c r="A132">
        <v>6492</v>
      </c>
      <c r="B132">
        <v>15</v>
      </c>
      <c r="C132" t="s">
        <v>525</v>
      </c>
      <c r="D132">
        <v>50</v>
      </c>
      <c r="E132" s="5">
        <v>46020.875</v>
      </c>
      <c r="F132" t="s">
        <v>510</v>
      </c>
      <c r="G132" t="s">
        <v>23</v>
      </c>
      <c r="H132" t="s">
        <v>346</v>
      </c>
      <c r="I132">
        <v>60</v>
      </c>
      <c r="J132">
        <v>77869372</v>
      </c>
      <c r="K132" s="5">
        <v>46020</v>
      </c>
      <c r="L132" s="3">
        <v>39220</v>
      </c>
      <c r="M132" t="s">
        <v>511</v>
      </c>
      <c r="N132" t="s">
        <v>56</v>
      </c>
      <c r="O132" t="s">
        <v>526</v>
      </c>
      <c r="P132" s="3">
        <v>9000</v>
      </c>
      <c r="Q132">
        <v>50</v>
      </c>
      <c r="R132" t="s">
        <v>527</v>
      </c>
      <c r="S132" t="s">
        <v>514</v>
      </c>
      <c r="T132" t="s">
        <v>515</v>
      </c>
      <c r="U132" t="s">
        <v>177</v>
      </c>
      <c r="V132" s="3">
        <f>Tabla1[[#This Row],[OS-Valor Unitario]]-Tabla1[[#This Row],[costo_antes_iva]]</f>
        <v>-30220</v>
      </c>
      <c r="W132" s="3">
        <f>Tabla1[[#This Row],[OS-Valor Unitario]]*Tabla1[[#This Row],[OS-Cantidad]]</f>
        <v>450000</v>
      </c>
      <c r="X132" s="3">
        <f>Tabla1[[#This Row],[costo_antes_iva]]*Tabla1[[#This Row],[OS-Cantidad]]</f>
        <v>1961000</v>
      </c>
      <c r="Y132" s="3">
        <f>Tabla1[[#This Row],[Valor total OS]]-Tabla1[[#This Row],[valor total op]]</f>
        <v>-1511000</v>
      </c>
    </row>
    <row r="133" spans="1:25" x14ac:dyDescent="0.3">
      <c r="A133">
        <v>6492</v>
      </c>
      <c r="B133">
        <v>15</v>
      </c>
      <c r="C133" t="s">
        <v>525</v>
      </c>
      <c r="D133">
        <v>50</v>
      </c>
      <c r="E133" s="5">
        <v>46020.875</v>
      </c>
      <c r="F133" t="s">
        <v>510</v>
      </c>
      <c r="G133" t="s">
        <v>23</v>
      </c>
      <c r="H133" t="s">
        <v>346</v>
      </c>
      <c r="I133">
        <v>60</v>
      </c>
      <c r="J133">
        <v>77869372</v>
      </c>
      <c r="K133" s="5">
        <v>46020</v>
      </c>
      <c r="L133" s="3">
        <v>39220</v>
      </c>
      <c r="M133" t="s">
        <v>511</v>
      </c>
      <c r="N133" t="s">
        <v>56</v>
      </c>
      <c r="O133" t="s">
        <v>526</v>
      </c>
      <c r="P133" s="3">
        <v>9000</v>
      </c>
      <c r="Q133">
        <v>50</v>
      </c>
      <c r="R133" t="s">
        <v>527</v>
      </c>
      <c r="S133" t="s">
        <v>514</v>
      </c>
      <c r="T133" t="s">
        <v>516</v>
      </c>
      <c r="U133" t="s">
        <v>177</v>
      </c>
      <c r="V133" s="3">
        <f>Tabla1[[#This Row],[OS-Valor Unitario]]-Tabla1[[#This Row],[costo_antes_iva]]</f>
        <v>-30220</v>
      </c>
      <c r="W133" s="3">
        <f>Tabla1[[#This Row],[OS-Valor Unitario]]*Tabla1[[#This Row],[OS-Cantidad]]</f>
        <v>450000</v>
      </c>
      <c r="X133" s="3">
        <f>Tabla1[[#This Row],[costo_antes_iva]]*Tabla1[[#This Row],[OS-Cantidad]]</f>
        <v>1961000</v>
      </c>
      <c r="Y133" s="3">
        <f>Tabla1[[#This Row],[Valor total OS]]-Tabla1[[#This Row],[valor total op]]</f>
        <v>-1511000</v>
      </c>
    </row>
    <row r="134" spans="1:25" x14ac:dyDescent="0.3">
      <c r="A134">
        <v>6492</v>
      </c>
      <c r="B134">
        <v>15</v>
      </c>
      <c r="C134" t="s">
        <v>525</v>
      </c>
      <c r="D134">
        <v>50</v>
      </c>
      <c r="E134" s="5">
        <v>46020.875</v>
      </c>
      <c r="F134" t="s">
        <v>510</v>
      </c>
      <c r="G134" t="s">
        <v>517</v>
      </c>
      <c r="H134" t="s">
        <v>346</v>
      </c>
      <c r="I134">
        <v>50</v>
      </c>
      <c r="J134">
        <v>77869378</v>
      </c>
      <c r="K134" s="5">
        <v>46020</v>
      </c>
      <c r="L134" s="3">
        <v>6000</v>
      </c>
      <c r="M134" t="s">
        <v>518</v>
      </c>
      <c r="N134" t="s">
        <v>437</v>
      </c>
      <c r="O134" t="s">
        <v>526</v>
      </c>
      <c r="P134" s="3">
        <v>1156</v>
      </c>
      <c r="Q134">
        <v>50</v>
      </c>
      <c r="R134" t="s">
        <v>528</v>
      </c>
      <c r="S134" t="s">
        <v>514</v>
      </c>
      <c r="T134" t="s">
        <v>515</v>
      </c>
      <c r="U134" t="s">
        <v>177</v>
      </c>
      <c r="V134" s="3">
        <f>Tabla1[[#This Row],[OS-Valor Unitario]]-Tabla1[[#This Row],[costo_antes_iva]]</f>
        <v>-4844</v>
      </c>
      <c r="W134" s="3">
        <f>Tabla1[[#This Row],[OS-Valor Unitario]]*Tabla1[[#This Row],[OS-Cantidad]]</f>
        <v>57800</v>
      </c>
      <c r="X134" s="3">
        <f>Tabla1[[#This Row],[costo_antes_iva]]*Tabla1[[#This Row],[OS-Cantidad]]</f>
        <v>300000</v>
      </c>
      <c r="Y134" s="3">
        <f>Tabla1[[#This Row],[Valor total OS]]-Tabla1[[#This Row],[valor total op]]</f>
        <v>-242200</v>
      </c>
    </row>
    <row r="135" spans="1:25" x14ac:dyDescent="0.3">
      <c r="A135">
        <v>6492</v>
      </c>
      <c r="B135">
        <v>15</v>
      </c>
      <c r="C135" t="s">
        <v>525</v>
      </c>
      <c r="D135">
        <v>50</v>
      </c>
      <c r="E135" s="5">
        <v>46020.875</v>
      </c>
      <c r="F135" t="s">
        <v>510</v>
      </c>
      <c r="G135" t="s">
        <v>517</v>
      </c>
      <c r="H135" t="s">
        <v>346</v>
      </c>
      <c r="I135">
        <v>50</v>
      </c>
      <c r="J135">
        <v>77869378</v>
      </c>
      <c r="K135" s="5">
        <v>46020</v>
      </c>
      <c r="L135" s="3">
        <v>6000</v>
      </c>
      <c r="M135" t="s">
        <v>518</v>
      </c>
      <c r="N135" t="s">
        <v>437</v>
      </c>
      <c r="O135" t="s">
        <v>526</v>
      </c>
      <c r="P135" s="3">
        <v>1156</v>
      </c>
      <c r="Q135">
        <v>50</v>
      </c>
      <c r="R135" t="s">
        <v>528</v>
      </c>
      <c r="S135" t="s">
        <v>514</v>
      </c>
      <c r="T135" t="s">
        <v>516</v>
      </c>
      <c r="U135" t="s">
        <v>177</v>
      </c>
      <c r="V135" s="3">
        <f>Tabla1[[#This Row],[OS-Valor Unitario]]-Tabla1[[#This Row],[costo_antes_iva]]</f>
        <v>-4844</v>
      </c>
      <c r="W135" s="3">
        <f>Tabla1[[#This Row],[OS-Valor Unitario]]*Tabla1[[#This Row],[OS-Cantidad]]</f>
        <v>57800</v>
      </c>
      <c r="X135" s="3">
        <f>Tabla1[[#This Row],[costo_antes_iva]]*Tabla1[[#This Row],[OS-Cantidad]]</f>
        <v>300000</v>
      </c>
      <c r="Y135" s="3">
        <f>Tabla1[[#This Row],[Valor total OS]]-Tabla1[[#This Row],[valor total op]]</f>
        <v>-242200</v>
      </c>
    </row>
    <row r="136" spans="1:25" x14ac:dyDescent="0.3">
      <c r="A136">
        <v>6492</v>
      </c>
      <c r="B136">
        <v>15</v>
      </c>
      <c r="C136" t="s">
        <v>525</v>
      </c>
      <c r="D136">
        <v>50</v>
      </c>
      <c r="E136" s="5">
        <v>46020.875</v>
      </c>
      <c r="F136" t="s">
        <v>510</v>
      </c>
      <c r="G136" t="s">
        <v>517</v>
      </c>
      <c r="H136" t="s">
        <v>346</v>
      </c>
      <c r="I136">
        <v>50</v>
      </c>
      <c r="J136">
        <v>77869378</v>
      </c>
      <c r="K136" s="5">
        <v>46020</v>
      </c>
      <c r="L136" s="3">
        <v>12500</v>
      </c>
      <c r="M136" t="s">
        <v>518</v>
      </c>
      <c r="N136" t="s">
        <v>56</v>
      </c>
      <c r="O136" t="s">
        <v>526</v>
      </c>
      <c r="P136" s="3">
        <v>9000</v>
      </c>
      <c r="Q136">
        <v>50</v>
      </c>
      <c r="R136" t="s">
        <v>527</v>
      </c>
      <c r="S136" t="s">
        <v>514</v>
      </c>
      <c r="T136" t="s">
        <v>515</v>
      </c>
      <c r="U136" t="s">
        <v>177</v>
      </c>
      <c r="V136" s="3">
        <f>Tabla1[[#This Row],[OS-Valor Unitario]]-Tabla1[[#This Row],[costo_antes_iva]]</f>
        <v>-3500</v>
      </c>
      <c r="W136" s="3">
        <f>Tabla1[[#This Row],[OS-Valor Unitario]]*Tabla1[[#This Row],[OS-Cantidad]]</f>
        <v>450000</v>
      </c>
      <c r="X136" s="3">
        <f>Tabla1[[#This Row],[costo_antes_iva]]*Tabla1[[#This Row],[OS-Cantidad]]</f>
        <v>625000</v>
      </c>
      <c r="Y136" s="3">
        <f>Tabla1[[#This Row],[Valor total OS]]-Tabla1[[#This Row],[valor total op]]</f>
        <v>-175000</v>
      </c>
    </row>
    <row r="137" spans="1:25" x14ac:dyDescent="0.3">
      <c r="A137">
        <v>6492</v>
      </c>
      <c r="B137">
        <v>15</v>
      </c>
      <c r="C137" t="s">
        <v>525</v>
      </c>
      <c r="D137">
        <v>50</v>
      </c>
      <c r="E137" s="5">
        <v>46020.875</v>
      </c>
      <c r="F137" t="s">
        <v>510</v>
      </c>
      <c r="G137" t="s">
        <v>517</v>
      </c>
      <c r="H137" t="s">
        <v>346</v>
      </c>
      <c r="I137">
        <v>50</v>
      </c>
      <c r="J137">
        <v>77869378</v>
      </c>
      <c r="K137" s="5">
        <v>46020</v>
      </c>
      <c r="L137" s="3">
        <v>12500</v>
      </c>
      <c r="M137" t="s">
        <v>518</v>
      </c>
      <c r="N137" t="s">
        <v>56</v>
      </c>
      <c r="O137" t="s">
        <v>526</v>
      </c>
      <c r="P137" s="3">
        <v>9000</v>
      </c>
      <c r="Q137">
        <v>50</v>
      </c>
      <c r="R137" t="s">
        <v>527</v>
      </c>
      <c r="S137" t="s">
        <v>514</v>
      </c>
      <c r="T137" t="s">
        <v>516</v>
      </c>
      <c r="U137" t="s">
        <v>177</v>
      </c>
      <c r="V137" s="3">
        <f>Tabla1[[#This Row],[OS-Valor Unitario]]-Tabla1[[#This Row],[costo_antes_iva]]</f>
        <v>-3500</v>
      </c>
      <c r="W137" s="3">
        <f>Tabla1[[#This Row],[OS-Valor Unitario]]*Tabla1[[#This Row],[OS-Cantidad]]</f>
        <v>450000</v>
      </c>
      <c r="X137" s="3">
        <f>Tabla1[[#This Row],[costo_antes_iva]]*Tabla1[[#This Row],[OS-Cantidad]]</f>
        <v>625000</v>
      </c>
      <c r="Y137" s="3">
        <f>Tabla1[[#This Row],[Valor total OS]]-Tabla1[[#This Row],[valor total op]]</f>
        <v>-175000</v>
      </c>
    </row>
    <row r="138" spans="1:25" x14ac:dyDescent="0.3">
      <c r="A138">
        <v>6492</v>
      </c>
      <c r="B138">
        <v>15</v>
      </c>
      <c r="C138" t="s">
        <v>525</v>
      </c>
      <c r="D138">
        <v>50</v>
      </c>
      <c r="E138" s="5">
        <v>46020.875</v>
      </c>
      <c r="F138" t="s">
        <v>510</v>
      </c>
      <c r="G138" t="s">
        <v>517</v>
      </c>
      <c r="H138" t="s">
        <v>346</v>
      </c>
      <c r="I138">
        <v>10</v>
      </c>
      <c r="J138">
        <v>77863835</v>
      </c>
      <c r="K138" s="5">
        <v>46020</v>
      </c>
      <c r="L138" s="3">
        <v>6000</v>
      </c>
      <c r="M138" t="s">
        <v>519</v>
      </c>
      <c r="N138" t="s">
        <v>437</v>
      </c>
      <c r="O138" t="s">
        <v>526</v>
      </c>
      <c r="P138" s="3">
        <v>1156</v>
      </c>
      <c r="Q138">
        <v>50</v>
      </c>
      <c r="R138" t="s">
        <v>528</v>
      </c>
      <c r="S138" t="s">
        <v>514</v>
      </c>
      <c r="T138" t="s">
        <v>515</v>
      </c>
      <c r="U138" t="s">
        <v>177</v>
      </c>
      <c r="V138" s="3">
        <f>Tabla1[[#This Row],[OS-Valor Unitario]]-Tabla1[[#This Row],[costo_antes_iva]]</f>
        <v>-4844</v>
      </c>
      <c r="W138" s="3">
        <f>Tabla1[[#This Row],[OS-Valor Unitario]]*Tabla1[[#This Row],[OS-Cantidad]]</f>
        <v>57800</v>
      </c>
      <c r="X138" s="3">
        <f>Tabla1[[#This Row],[costo_antes_iva]]*Tabla1[[#This Row],[OS-Cantidad]]</f>
        <v>300000</v>
      </c>
      <c r="Y138" s="3">
        <f>Tabla1[[#This Row],[Valor total OS]]-Tabla1[[#This Row],[valor total op]]</f>
        <v>-242200</v>
      </c>
    </row>
    <row r="139" spans="1:25" x14ac:dyDescent="0.3">
      <c r="A139">
        <v>6492</v>
      </c>
      <c r="B139">
        <v>15</v>
      </c>
      <c r="C139" t="s">
        <v>525</v>
      </c>
      <c r="D139">
        <v>50</v>
      </c>
      <c r="E139" s="5">
        <v>46020.875</v>
      </c>
      <c r="F139" t="s">
        <v>510</v>
      </c>
      <c r="G139" t="s">
        <v>517</v>
      </c>
      <c r="H139" t="s">
        <v>346</v>
      </c>
      <c r="I139">
        <v>10</v>
      </c>
      <c r="J139">
        <v>77863835</v>
      </c>
      <c r="K139" s="5">
        <v>46020</v>
      </c>
      <c r="L139" s="3">
        <v>6000</v>
      </c>
      <c r="M139" t="s">
        <v>519</v>
      </c>
      <c r="N139" t="s">
        <v>437</v>
      </c>
      <c r="O139" t="s">
        <v>526</v>
      </c>
      <c r="P139" s="3">
        <v>1156</v>
      </c>
      <c r="Q139">
        <v>50</v>
      </c>
      <c r="R139" t="s">
        <v>528</v>
      </c>
      <c r="S139" t="s">
        <v>514</v>
      </c>
      <c r="T139" t="s">
        <v>516</v>
      </c>
      <c r="U139" t="s">
        <v>177</v>
      </c>
      <c r="V139" s="3">
        <f>Tabla1[[#This Row],[OS-Valor Unitario]]-Tabla1[[#This Row],[costo_antes_iva]]</f>
        <v>-4844</v>
      </c>
      <c r="W139" s="3">
        <f>Tabla1[[#This Row],[OS-Valor Unitario]]*Tabla1[[#This Row],[OS-Cantidad]]</f>
        <v>57800</v>
      </c>
      <c r="X139" s="3">
        <f>Tabla1[[#This Row],[costo_antes_iva]]*Tabla1[[#This Row],[OS-Cantidad]]</f>
        <v>300000</v>
      </c>
      <c r="Y139" s="3">
        <f>Tabla1[[#This Row],[Valor total OS]]-Tabla1[[#This Row],[valor total op]]</f>
        <v>-242200</v>
      </c>
    </row>
    <row r="140" spans="1:25" x14ac:dyDescent="0.3">
      <c r="A140">
        <v>6492</v>
      </c>
      <c r="B140">
        <v>15</v>
      </c>
      <c r="C140" t="s">
        <v>525</v>
      </c>
      <c r="D140">
        <v>50</v>
      </c>
      <c r="E140" s="5">
        <v>46020.875</v>
      </c>
      <c r="F140" t="s">
        <v>510</v>
      </c>
      <c r="G140" t="s">
        <v>517</v>
      </c>
      <c r="H140" t="s">
        <v>346</v>
      </c>
      <c r="I140">
        <v>10</v>
      </c>
      <c r="J140">
        <v>77863835</v>
      </c>
      <c r="K140" s="5">
        <v>46020</v>
      </c>
      <c r="L140" s="3">
        <v>7500</v>
      </c>
      <c r="M140" t="s">
        <v>519</v>
      </c>
      <c r="N140" t="s">
        <v>56</v>
      </c>
      <c r="O140" t="s">
        <v>526</v>
      </c>
      <c r="P140" s="3">
        <v>9000</v>
      </c>
      <c r="Q140">
        <v>50</v>
      </c>
      <c r="R140" t="s">
        <v>527</v>
      </c>
      <c r="S140" t="s">
        <v>514</v>
      </c>
      <c r="T140" t="s">
        <v>515</v>
      </c>
      <c r="U140" t="s">
        <v>177</v>
      </c>
      <c r="V140" s="3">
        <f>Tabla1[[#This Row],[OS-Valor Unitario]]-Tabla1[[#This Row],[costo_antes_iva]]</f>
        <v>1500</v>
      </c>
      <c r="W140" s="3">
        <f>Tabla1[[#This Row],[OS-Valor Unitario]]*Tabla1[[#This Row],[OS-Cantidad]]</f>
        <v>450000</v>
      </c>
      <c r="X140" s="3">
        <f>Tabla1[[#This Row],[costo_antes_iva]]*Tabla1[[#This Row],[OS-Cantidad]]</f>
        <v>375000</v>
      </c>
      <c r="Y140" s="3">
        <f>Tabla1[[#This Row],[Valor total OS]]-Tabla1[[#This Row],[valor total op]]</f>
        <v>75000</v>
      </c>
    </row>
    <row r="141" spans="1:25" x14ac:dyDescent="0.3">
      <c r="A141">
        <v>6492</v>
      </c>
      <c r="B141">
        <v>15</v>
      </c>
      <c r="C141" t="s">
        <v>525</v>
      </c>
      <c r="D141">
        <v>50</v>
      </c>
      <c r="E141" s="5">
        <v>46020.875</v>
      </c>
      <c r="F141" t="s">
        <v>510</v>
      </c>
      <c r="G141" t="s">
        <v>517</v>
      </c>
      <c r="H141" t="s">
        <v>346</v>
      </c>
      <c r="I141">
        <v>10</v>
      </c>
      <c r="J141">
        <v>77863835</v>
      </c>
      <c r="K141" s="5">
        <v>46020</v>
      </c>
      <c r="L141" s="3">
        <v>7500</v>
      </c>
      <c r="M141" t="s">
        <v>519</v>
      </c>
      <c r="N141" t="s">
        <v>56</v>
      </c>
      <c r="O141" t="s">
        <v>526</v>
      </c>
      <c r="P141" s="3">
        <v>9000</v>
      </c>
      <c r="Q141">
        <v>50</v>
      </c>
      <c r="R141" t="s">
        <v>527</v>
      </c>
      <c r="S141" t="s">
        <v>514</v>
      </c>
      <c r="T141" t="s">
        <v>516</v>
      </c>
      <c r="U141" t="s">
        <v>177</v>
      </c>
      <c r="V141" s="3">
        <f>Tabla1[[#This Row],[OS-Valor Unitario]]-Tabla1[[#This Row],[costo_antes_iva]]</f>
        <v>1500</v>
      </c>
      <c r="W141" s="3">
        <f>Tabla1[[#This Row],[OS-Valor Unitario]]*Tabla1[[#This Row],[OS-Cantidad]]</f>
        <v>450000</v>
      </c>
      <c r="X141" s="3">
        <f>Tabla1[[#This Row],[costo_antes_iva]]*Tabla1[[#This Row],[OS-Cantidad]]</f>
        <v>375000</v>
      </c>
      <c r="Y141" s="3">
        <f>Tabla1[[#This Row],[Valor total OS]]-Tabla1[[#This Row],[valor total op]]</f>
        <v>75000</v>
      </c>
    </row>
    <row r="142" spans="1:25" x14ac:dyDescent="0.3">
      <c r="A142">
        <v>6492</v>
      </c>
      <c r="B142">
        <v>16</v>
      </c>
      <c r="C142" t="s">
        <v>529</v>
      </c>
      <c r="D142">
        <v>4</v>
      </c>
      <c r="E142" s="5">
        <v>46020.875</v>
      </c>
      <c r="F142" t="s">
        <v>530</v>
      </c>
      <c r="G142" t="s">
        <v>87</v>
      </c>
      <c r="H142" t="s">
        <v>346</v>
      </c>
      <c r="I142">
        <v>4</v>
      </c>
      <c r="J142">
        <v>77864662</v>
      </c>
      <c r="K142" s="5">
        <v>46020</v>
      </c>
      <c r="L142" s="3">
        <v>3200</v>
      </c>
      <c r="M142" t="s">
        <v>459</v>
      </c>
      <c r="N142" t="s">
        <v>56</v>
      </c>
      <c r="O142" t="s">
        <v>531</v>
      </c>
      <c r="P142" s="3">
        <v>5000</v>
      </c>
      <c r="Q142">
        <v>4</v>
      </c>
      <c r="R142" t="s">
        <v>532</v>
      </c>
      <c r="S142" t="s">
        <v>462</v>
      </c>
      <c r="T142" t="s">
        <v>351</v>
      </c>
      <c r="U142" t="s">
        <v>177</v>
      </c>
      <c r="V142" s="3">
        <f>Tabla1[[#This Row],[OS-Valor Unitario]]-Tabla1[[#This Row],[costo_antes_iva]]</f>
        <v>1800</v>
      </c>
      <c r="W142" s="3">
        <f>Tabla1[[#This Row],[OS-Valor Unitario]]*Tabla1[[#This Row],[OS-Cantidad]]</f>
        <v>20000</v>
      </c>
      <c r="X142" s="3">
        <f>Tabla1[[#This Row],[costo_antes_iva]]*Tabla1[[#This Row],[OS-Cantidad]]</f>
        <v>12800</v>
      </c>
      <c r="Y142" s="3">
        <f>Tabla1[[#This Row],[Valor total OS]]-Tabla1[[#This Row],[valor total op]]</f>
        <v>7200</v>
      </c>
    </row>
    <row r="143" spans="1:25" x14ac:dyDescent="0.3">
      <c r="A143">
        <v>6492</v>
      </c>
      <c r="B143">
        <v>16</v>
      </c>
      <c r="C143" t="s">
        <v>529</v>
      </c>
      <c r="D143">
        <v>4</v>
      </c>
      <c r="E143" s="5">
        <v>46020.875</v>
      </c>
      <c r="F143" t="s">
        <v>530</v>
      </c>
      <c r="G143" t="s">
        <v>87</v>
      </c>
      <c r="H143" t="s">
        <v>346</v>
      </c>
      <c r="I143">
        <v>4</v>
      </c>
      <c r="J143">
        <v>77864662</v>
      </c>
      <c r="K143" s="5">
        <v>46020</v>
      </c>
      <c r="L143" s="3">
        <v>900</v>
      </c>
      <c r="M143" t="s">
        <v>459</v>
      </c>
      <c r="N143" t="s">
        <v>26</v>
      </c>
      <c r="O143" t="s">
        <v>531</v>
      </c>
      <c r="P143" s="3">
        <v>900</v>
      </c>
      <c r="Q143">
        <v>4</v>
      </c>
      <c r="R143" t="s">
        <v>533</v>
      </c>
      <c r="S143" t="s">
        <v>462</v>
      </c>
      <c r="T143" t="s">
        <v>351</v>
      </c>
      <c r="U143" t="s">
        <v>177</v>
      </c>
      <c r="V143" s="3">
        <f>Tabla1[[#This Row],[OS-Valor Unitario]]-Tabla1[[#This Row],[costo_antes_iva]]</f>
        <v>0</v>
      </c>
      <c r="W143" s="3">
        <f>Tabla1[[#This Row],[OS-Valor Unitario]]*Tabla1[[#This Row],[OS-Cantidad]]</f>
        <v>3600</v>
      </c>
      <c r="X143" s="3">
        <f>Tabla1[[#This Row],[costo_antes_iva]]*Tabla1[[#This Row],[OS-Cantidad]]</f>
        <v>3600</v>
      </c>
      <c r="Y143" s="3">
        <f>Tabla1[[#This Row],[Valor total OS]]-Tabla1[[#This Row],[valor total op]]</f>
        <v>0</v>
      </c>
    </row>
    <row r="144" spans="1:25" x14ac:dyDescent="0.3">
      <c r="A144">
        <v>6492</v>
      </c>
      <c r="B144">
        <v>17</v>
      </c>
      <c r="C144" t="s">
        <v>534</v>
      </c>
      <c r="D144">
        <v>12</v>
      </c>
      <c r="E144" s="5">
        <v>46020.875</v>
      </c>
      <c r="F144" t="s">
        <v>535</v>
      </c>
      <c r="G144" t="s">
        <v>517</v>
      </c>
      <c r="H144" t="s">
        <v>346</v>
      </c>
      <c r="I144">
        <v>12</v>
      </c>
      <c r="J144">
        <v>77863990</v>
      </c>
      <c r="K144" s="5">
        <v>46020</v>
      </c>
      <c r="L144" s="3">
        <v>800</v>
      </c>
      <c r="M144" t="s">
        <v>536</v>
      </c>
      <c r="N144" t="s">
        <v>72</v>
      </c>
      <c r="O144" t="s">
        <v>537</v>
      </c>
      <c r="P144" s="3">
        <v>1900</v>
      </c>
      <c r="Q144">
        <v>24</v>
      </c>
      <c r="R144" t="s">
        <v>538</v>
      </c>
      <c r="S144" t="s">
        <v>514</v>
      </c>
      <c r="T144" t="s">
        <v>515</v>
      </c>
      <c r="U144" t="s">
        <v>177</v>
      </c>
      <c r="V144" s="3">
        <f>Tabla1[[#This Row],[OS-Valor Unitario]]-Tabla1[[#This Row],[costo_antes_iva]]</f>
        <v>1100</v>
      </c>
      <c r="W144" s="3">
        <f>Tabla1[[#This Row],[OS-Valor Unitario]]*Tabla1[[#This Row],[OS-Cantidad]]</f>
        <v>45600</v>
      </c>
      <c r="X144" s="3">
        <f>Tabla1[[#This Row],[costo_antes_iva]]*Tabla1[[#This Row],[OS-Cantidad]]</f>
        <v>19200</v>
      </c>
      <c r="Y144" s="3">
        <f>Tabla1[[#This Row],[Valor total OS]]-Tabla1[[#This Row],[valor total op]]</f>
        <v>26400</v>
      </c>
    </row>
    <row r="145" spans="1:25" x14ac:dyDescent="0.3">
      <c r="A145">
        <v>6492</v>
      </c>
      <c r="B145">
        <v>17</v>
      </c>
      <c r="C145" t="s">
        <v>534</v>
      </c>
      <c r="D145">
        <v>12</v>
      </c>
      <c r="E145" s="5">
        <v>46020.875</v>
      </c>
      <c r="F145" t="s">
        <v>535</v>
      </c>
      <c r="G145" t="s">
        <v>517</v>
      </c>
      <c r="H145" t="s">
        <v>346</v>
      </c>
      <c r="I145">
        <v>12</v>
      </c>
      <c r="J145">
        <v>77863990</v>
      </c>
      <c r="K145" s="5">
        <v>46020</v>
      </c>
      <c r="L145" s="3">
        <v>800</v>
      </c>
      <c r="M145" t="s">
        <v>536</v>
      </c>
      <c r="N145" t="s">
        <v>72</v>
      </c>
      <c r="O145" t="s">
        <v>537</v>
      </c>
      <c r="P145" s="3">
        <v>1900</v>
      </c>
      <c r="Q145">
        <v>24</v>
      </c>
      <c r="R145" t="s">
        <v>538</v>
      </c>
      <c r="S145" t="s">
        <v>514</v>
      </c>
      <c r="T145" t="s">
        <v>516</v>
      </c>
      <c r="U145" t="s">
        <v>177</v>
      </c>
      <c r="V145" s="3">
        <f>Tabla1[[#This Row],[OS-Valor Unitario]]-Tabla1[[#This Row],[costo_antes_iva]]</f>
        <v>1100</v>
      </c>
      <c r="W145" s="3">
        <f>Tabla1[[#This Row],[OS-Valor Unitario]]*Tabla1[[#This Row],[OS-Cantidad]]</f>
        <v>45600</v>
      </c>
      <c r="X145" s="3">
        <f>Tabla1[[#This Row],[costo_antes_iva]]*Tabla1[[#This Row],[OS-Cantidad]]</f>
        <v>19200</v>
      </c>
      <c r="Y145" s="3">
        <f>Tabla1[[#This Row],[Valor total OS]]-Tabla1[[#This Row],[valor total op]]</f>
        <v>26400</v>
      </c>
    </row>
    <row r="146" spans="1:25" x14ac:dyDescent="0.3">
      <c r="A146">
        <v>6492</v>
      </c>
      <c r="B146">
        <v>17</v>
      </c>
      <c r="C146" t="s">
        <v>534</v>
      </c>
      <c r="D146">
        <v>12</v>
      </c>
      <c r="E146" s="5">
        <v>46020.875</v>
      </c>
      <c r="F146" t="s">
        <v>535</v>
      </c>
      <c r="G146" t="s">
        <v>517</v>
      </c>
      <c r="H146" t="s">
        <v>346</v>
      </c>
      <c r="I146">
        <v>12</v>
      </c>
      <c r="J146">
        <v>77863990</v>
      </c>
      <c r="K146" s="5">
        <v>46020</v>
      </c>
      <c r="L146" s="3">
        <v>12500</v>
      </c>
      <c r="M146" t="s">
        <v>536</v>
      </c>
      <c r="N146" t="s">
        <v>56</v>
      </c>
      <c r="O146" t="s">
        <v>537</v>
      </c>
      <c r="P146" s="3">
        <v>12000</v>
      </c>
      <c r="Q146">
        <v>12</v>
      </c>
      <c r="R146" t="s">
        <v>539</v>
      </c>
      <c r="S146" t="s">
        <v>514</v>
      </c>
      <c r="T146" t="s">
        <v>515</v>
      </c>
      <c r="U146" t="s">
        <v>177</v>
      </c>
      <c r="V146" s="3">
        <f>Tabla1[[#This Row],[OS-Valor Unitario]]-Tabla1[[#This Row],[costo_antes_iva]]</f>
        <v>-500</v>
      </c>
      <c r="W146" s="3">
        <f>Tabla1[[#This Row],[OS-Valor Unitario]]*Tabla1[[#This Row],[OS-Cantidad]]</f>
        <v>144000</v>
      </c>
      <c r="X146" s="3">
        <f>Tabla1[[#This Row],[costo_antes_iva]]*Tabla1[[#This Row],[OS-Cantidad]]</f>
        <v>150000</v>
      </c>
      <c r="Y146" s="3">
        <f>Tabla1[[#This Row],[Valor total OS]]-Tabla1[[#This Row],[valor total op]]</f>
        <v>-6000</v>
      </c>
    </row>
    <row r="147" spans="1:25" x14ac:dyDescent="0.3">
      <c r="A147">
        <v>6492</v>
      </c>
      <c r="B147">
        <v>17</v>
      </c>
      <c r="C147" t="s">
        <v>534</v>
      </c>
      <c r="D147">
        <v>12</v>
      </c>
      <c r="E147" s="5">
        <v>46020.875</v>
      </c>
      <c r="F147" t="s">
        <v>535</v>
      </c>
      <c r="G147" t="s">
        <v>517</v>
      </c>
      <c r="H147" t="s">
        <v>346</v>
      </c>
      <c r="I147">
        <v>12</v>
      </c>
      <c r="J147">
        <v>77863990</v>
      </c>
      <c r="K147" s="5">
        <v>46020</v>
      </c>
      <c r="L147" s="3">
        <v>12500</v>
      </c>
      <c r="M147" t="s">
        <v>536</v>
      </c>
      <c r="N147" t="s">
        <v>56</v>
      </c>
      <c r="O147" t="s">
        <v>537</v>
      </c>
      <c r="P147" s="3">
        <v>12000</v>
      </c>
      <c r="Q147">
        <v>12</v>
      </c>
      <c r="R147" t="s">
        <v>539</v>
      </c>
      <c r="S147" t="s">
        <v>514</v>
      </c>
      <c r="T147" t="s">
        <v>516</v>
      </c>
      <c r="U147" t="s">
        <v>177</v>
      </c>
      <c r="V147" s="3">
        <f>Tabla1[[#This Row],[OS-Valor Unitario]]-Tabla1[[#This Row],[costo_antes_iva]]</f>
        <v>-500</v>
      </c>
      <c r="W147" s="3">
        <f>Tabla1[[#This Row],[OS-Valor Unitario]]*Tabla1[[#This Row],[OS-Cantidad]]</f>
        <v>144000</v>
      </c>
      <c r="X147" s="3">
        <f>Tabla1[[#This Row],[costo_antes_iva]]*Tabla1[[#This Row],[OS-Cantidad]]</f>
        <v>150000</v>
      </c>
      <c r="Y147" s="3">
        <f>Tabla1[[#This Row],[Valor total OS]]-Tabla1[[#This Row],[valor total op]]</f>
        <v>-6000</v>
      </c>
    </row>
    <row r="148" spans="1:25" x14ac:dyDescent="0.3">
      <c r="A148">
        <v>6492</v>
      </c>
      <c r="B148">
        <v>18</v>
      </c>
      <c r="C148" t="s">
        <v>540</v>
      </c>
      <c r="D148">
        <v>140</v>
      </c>
      <c r="E148" s="5">
        <v>46020.875</v>
      </c>
      <c r="F148" t="s">
        <v>541</v>
      </c>
      <c r="G148" t="s">
        <v>294</v>
      </c>
      <c r="H148" t="s">
        <v>346</v>
      </c>
      <c r="I148">
        <v>140</v>
      </c>
      <c r="J148">
        <v>77864668</v>
      </c>
      <c r="K148" s="5">
        <v>46020</v>
      </c>
      <c r="L148" s="3">
        <v>7500</v>
      </c>
      <c r="M148" t="s">
        <v>459</v>
      </c>
      <c r="N148" t="s">
        <v>56</v>
      </c>
      <c r="O148" t="s">
        <v>542</v>
      </c>
      <c r="P148" s="3">
        <v>12000</v>
      </c>
      <c r="Q148">
        <v>140</v>
      </c>
      <c r="R148" t="s">
        <v>543</v>
      </c>
      <c r="S148" t="s">
        <v>462</v>
      </c>
      <c r="T148" t="s">
        <v>351</v>
      </c>
      <c r="U148" t="s">
        <v>177</v>
      </c>
      <c r="V148" s="3">
        <f>Tabla1[[#This Row],[OS-Valor Unitario]]-Tabla1[[#This Row],[costo_antes_iva]]</f>
        <v>4500</v>
      </c>
      <c r="W148" s="3">
        <f>Tabla1[[#This Row],[OS-Valor Unitario]]*Tabla1[[#This Row],[OS-Cantidad]]</f>
        <v>1680000</v>
      </c>
      <c r="X148" s="3">
        <f>Tabla1[[#This Row],[costo_antes_iva]]*Tabla1[[#This Row],[OS-Cantidad]]</f>
        <v>1050000</v>
      </c>
      <c r="Y148" s="3">
        <f>Tabla1[[#This Row],[Valor total OS]]-Tabla1[[#This Row],[valor total op]]</f>
        <v>630000</v>
      </c>
    </row>
    <row r="149" spans="1:25" x14ac:dyDescent="0.3">
      <c r="A149">
        <v>6492</v>
      </c>
      <c r="B149">
        <v>19</v>
      </c>
      <c r="C149" t="s">
        <v>544</v>
      </c>
      <c r="D149">
        <v>30</v>
      </c>
      <c r="E149" s="5">
        <v>46020.875</v>
      </c>
      <c r="F149" t="s">
        <v>545</v>
      </c>
      <c r="G149" t="s">
        <v>517</v>
      </c>
      <c r="H149" t="s">
        <v>346</v>
      </c>
      <c r="I149">
        <v>6</v>
      </c>
      <c r="J149">
        <v>77869273</v>
      </c>
      <c r="K149" s="5">
        <v>46020</v>
      </c>
      <c r="L149" s="3">
        <v>12500</v>
      </c>
      <c r="M149" t="s">
        <v>546</v>
      </c>
      <c r="N149" t="s">
        <v>56</v>
      </c>
      <c r="O149" t="s">
        <v>547</v>
      </c>
      <c r="P149" s="3">
        <v>13000</v>
      </c>
      <c r="Q149">
        <v>30</v>
      </c>
      <c r="R149" t="s">
        <v>548</v>
      </c>
      <c r="S149" t="s">
        <v>514</v>
      </c>
      <c r="T149" t="s">
        <v>515</v>
      </c>
      <c r="U149" t="s">
        <v>177</v>
      </c>
      <c r="V149" s="3">
        <f>Tabla1[[#This Row],[OS-Valor Unitario]]-Tabla1[[#This Row],[costo_antes_iva]]</f>
        <v>500</v>
      </c>
      <c r="W149" s="3">
        <f>Tabla1[[#This Row],[OS-Valor Unitario]]*Tabla1[[#This Row],[OS-Cantidad]]</f>
        <v>390000</v>
      </c>
      <c r="X149" s="3">
        <f>Tabla1[[#This Row],[costo_antes_iva]]*Tabla1[[#This Row],[OS-Cantidad]]</f>
        <v>375000</v>
      </c>
      <c r="Y149" s="3">
        <f>Tabla1[[#This Row],[Valor total OS]]-Tabla1[[#This Row],[valor total op]]</f>
        <v>15000</v>
      </c>
    </row>
    <row r="150" spans="1:25" x14ac:dyDescent="0.3">
      <c r="A150">
        <v>6492</v>
      </c>
      <c r="B150">
        <v>19</v>
      </c>
      <c r="C150" t="s">
        <v>544</v>
      </c>
      <c r="D150">
        <v>30</v>
      </c>
      <c r="E150" s="5">
        <v>46020.875</v>
      </c>
      <c r="F150" t="s">
        <v>545</v>
      </c>
      <c r="G150" t="s">
        <v>517</v>
      </c>
      <c r="H150" t="s">
        <v>346</v>
      </c>
      <c r="I150">
        <v>6</v>
      </c>
      <c r="J150">
        <v>77869273</v>
      </c>
      <c r="K150" s="5">
        <v>46020</v>
      </c>
      <c r="L150" s="3">
        <v>12500</v>
      </c>
      <c r="M150" t="s">
        <v>546</v>
      </c>
      <c r="N150" t="s">
        <v>56</v>
      </c>
      <c r="O150" t="s">
        <v>547</v>
      </c>
      <c r="P150" s="3">
        <v>13000</v>
      </c>
      <c r="Q150">
        <v>30</v>
      </c>
      <c r="R150" t="s">
        <v>548</v>
      </c>
      <c r="S150" t="s">
        <v>514</v>
      </c>
      <c r="T150" t="s">
        <v>516</v>
      </c>
      <c r="U150" t="s">
        <v>177</v>
      </c>
      <c r="V150" s="3">
        <f>Tabla1[[#This Row],[OS-Valor Unitario]]-Tabla1[[#This Row],[costo_antes_iva]]</f>
        <v>500</v>
      </c>
      <c r="W150" s="3">
        <f>Tabla1[[#This Row],[OS-Valor Unitario]]*Tabla1[[#This Row],[OS-Cantidad]]</f>
        <v>390000</v>
      </c>
      <c r="X150" s="3">
        <f>Tabla1[[#This Row],[costo_antes_iva]]*Tabla1[[#This Row],[OS-Cantidad]]</f>
        <v>375000</v>
      </c>
      <c r="Y150" s="3">
        <f>Tabla1[[#This Row],[Valor total OS]]-Tabla1[[#This Row],[valor total op]]</f>
        <v>15000</v>
      </c>
    </row>
    <row r="151" spans="1:25" x14ac:dyDescent="0.3">
      <c r="A151">
        <v>6492</v>
      </c>
      <c r="B151">
        <v>19</v>
      </c>
      <c r="C151" t="s">
        <v>544</v>
      </c>
      <c r="D151">
        <v>30</v>
      </c>
      <c r="E151" s="5">
        <v>46020.875</v>
      </c>
      <c r="F151" t="s">
        <v>545</v>
      </c>
      <c r="G151" t="s">
        <v>429</v>
      </c>
      <c r="H151" t="s">
        <v>346</v>
      </c>
      <c r="I151">
        <v>30</v>
      </c>
      <c r="J151">
        <v>77869427</v>
      </c>
      <c r="K151" s="5">
        <v>46020</v>
      </c>
      <c r="L151" s="3">
        <v>1000</v>
      </c>
      <c r="M151" t="s">
        <v>549</v>
      </c>
      <c r="N151" t="s">
        <v>26</v>
      </c>
      <c r="O151" t="s">
        <v>547</v>
      </c>
      <c r="P151" s="3">
        <v>900</v>
      </c>
      <c r="Q151">
        <v>30</v>
      </c>
      <c r="R151" t="s">
        <v>550</v>
      </c>
      <c r="S151" t="s">
        <v>514</v>
      </c>
      <c r="T151" t="s">
        <v>515</v>
      </c>
      <c r="U151" t="s">
        <v>177</v>
      </c>
      <c r="V151" s="3">
        <f>Tabla1[[#This Row],[OS-Valor Unitario]]-Tabla1[[#This Row],[costo_antes_iva]]</f>
        <v>-100</v>
      </c>
      <c r="W151" s="3">
        <f>Tabla1[[#This Row],[OS-Valor Unitario]]*Tabla1[[#This Row],[OS-Cantidad]]</f>
        <v>27000</v>
      </c>
      <c r="X151" s="3">
        <f>Tabla1[[#This Row],[costo_antes_iva]]*Tabla1[[#This Row],[OS-Cantidad]]</f>
        <v>30000</v>
      </c>
      <c r="Y151" s="3">
        <f>Tabla1[[#This Row],[Valor total OS]]-Tabla1[[#This Row],[valor total op]]</f>
        <v>-3000</v>
      </c>
    </row>
    <row r="152" spans="1:25" x14ac:dyDescent="0.3">
      <c r="A152">
        <v>6492</v>
      </c>
      <c r="B152">
        <v>19</v>
      </c>
      <c r="C152" t="s">
        <v>544</v>
      </c>
      <c r="D152">
        <v>30</v>
      </c>
      <c r="E152" s="5">
        <v>46020.875</v>
      </c>
      <c r="F152" t="s">
        <v>545</v>
      </c>
      <c r="G152" t="s">
        <v>429</v>
      </c>
      <c r="H152" t="s">
        <v>346</v>
      </c>
      <c r="I152">
        <v>30</v>
      </c>
      <c r="J152">
        <v>77869427</v>
      </c>
      <c r="K152" s="5">
        <v>46020</v>
      </c>
      <c r="L152" s="3">
        <v>1000</v>
      </c>
      <c r="M152" t="s">
        <v>549</v>
      </c>
      <c r="N152" t="s">
        <v>26</v>
      </c>
      <c r="O152" t="s">
        <v>547</v>
      </c>
      <c r="P152" s="3">
        <v>900</v>
      </c>
      <c r="Q152">
        <v>30</v>
      </c>
      <c r="R152" t="s">
        <v>550</v>
      </c>
      <c r="S152" t="s">
        <v>514</v>
      </c>
      <c r="T152" t="s">
        <v>516</v>
      </c>
      <c r="U152" t="s">
        <v>177</v>
      </c>
      <c r="V152" s="3">
        <f>Tabla1[[#This Row],[OS-Valor Unitario]]-Tabla1[[#This Row],[costo_antes_iva]]</f>
        <v>-100</v>
      </c>
      <c r="W152" s="3">
        <f>Tabla1[[#This Row],[OS-Valor Unitario]]*Tabla1[[#This Row],[OS-Cantidad]]</f>
        <v>27000</v>
      </c>
      <c r="X152" s="3">
        <f>Tabla1[[#This Row],[costo_antes_iva]]*Tabla1[[#This Row],[OS-Cantidad]]</f>
        <v>30000</v>
      </c>
      <c r="Y152" s="3">
        <f>Tabla1[[#This Row],[Valor total OS]]-Tabla1[[#This Row],[valor total op]]</f>
        <v>-3000</v>
      </c>
    </row>
    <row r="153" spans="1:25" x14ac:dyDescent="0.3">
      <c r="A153">
        <v>6492</v>
      </c>
      <c r="B153">
        <v>19</v>
      </c>
      <c r="C153" t="s">
        <v>544</v>
      </c>
      <c r="D153">
        <v>30</v>
      </c>
      <c r="E153" s="5">
        <v>46020.875</v>
      </c>
      <c r="F153" t="s">
        <v>545</v>
      </c>
      <c r="G153" t="s">
        <v>429</v>
      </c>
      <c r="H153" t="s">
        <v>346</v>
      </c>
      <c r="I153">
        <v>30</v>
      </c>
      <c r="J153">
        <v>77869427</v>
      </c>
      <c r="K153" s="5">
        <v>46020</v>
      </c>
      <c r="L153" s="3">
        <v>11500</v>
      </c>
      <c r="M153" t="s">
        <v>549</v>
      </c>
      <c r="N153" t="s">
        <v>56</v>
      </c>
      <c r="O153" t="s">
        <v>547</v>
      </c>
      <c r="P153" s="3">
        <v>13000</v>
      </c>
      <c r="Q153">
        <v>30</v>
      </c>
      <c r="R153" t="s">
        <v>548</v>
      </c>
      <c r="S153" t="s">
        <v>514</v>
      </c>
      <c r="T153" t="s">
        <v>515</v>
      </c>
      <c r="U153" t="s">
        <v>177</v>
      </c>
      <c r="V153" s="3">
        <f>Tabla1[[#This Row],[OS-Valor Unitario]]-Tabla1[[#This Row],[costo_antes_iva]]</f>
        <v>1500</v>
      </c>
      <c r="W153" s="3">
        <f>Tabla1[[#This Row],[OS-Valor Unitario]]*Tabla1[[#This Row],[OS-Cantidad]]</f>
        <v>390000</v>
      </c>
      <c r="X153" s="3">
        <f>Tabla1[[#This Row],[costo_antes_iva]]*Tabla1[[#This Row],[OS-Cantidad]]</f>
        <v>345000</v>
      </c>
      <c r="Y153" s="3">
        <f>Tabla1[[#This Row],[Valor total OS]]-Tabla1[[#This Row],[valor total op]]</f>
        <v>45000</v>
      </c>
    </row>
    <row r="154" spans="1:25" x14ac:dyDescent="0.3">
      <c r="A154">
        <v>6492</v>
      </c>
      <c r="B154">
        <v>19</v>
      </c>
      <c r="C154" t="s">
        <v>544</v>
      </c>
      <c r="D154">
        <v>30</v>
      </c>
      <c r="E154" s="5">
        <v>46020.875</v>
      </c>
      <c r="F154" t="s">
        <v>545</v>
      </c>
      <c r="G154" t="s">
        <v>429</v>
      </c>
      <c r="H154" t="s">
        <v>346</v>
      </c>
      <c r="I154">
        <v>30</v>
      </c>
      <c r="J154">
        <v>77869427</v>
      </c>
      <c r="K154" s="5">
        <v>46020</v>
      </c>
      <c r="L154" s="3">
        <v>11500</v>
      </c>
      <c r="M154" t="s">
        <v>549</v>
      </c>
      <c r="N154" t="s">
        <v>56</v>
      </c>
      <c r="O154" t="s">
        <v>547</v>
      </c>
      <c r="P154" s="3">
        <v>13000</v>
      </c>
      <c r="Q154">
        <v>30</v>
      </c>
      <c r="R154" t="s">
        <v>548</v>
      </c>
      <c r="S154" t="s">
        <v>514</v>
      </c>
      <c r="T154" t="s">
        <v>516</v>
      </c>
      <c r="U154" t="s">
        <v>177</v>
      </c>
      <c r="V154" s="3">
        <f>Tabla1[[#This Row],[OS-Valor Unitario]]-Tabla1[[#This Row],[costo_antes_iva]]</f>
        <v>1500</v>
      </c>
      <c r="W154" s="3">
        <f>Tabla1[[#This Row],[OS-Valor Unitario]]*Tabla1[[#This Row],[OS-Cantidad]]</f>
        <v>390000</v>
      </c>
      <c r="X154" s="3">
        <f>Tabla1[[#This Row],[costo_antes_iva]]*Tabla1[[#This Row],[OS-Cantidad]]</f>
        <v>345000</v>
      </c>
      <c r="Y154" s="3">
        <f>Tabla1[[#This Row],[Valor total OS]]-Tabla1[[#This Row],[valor total op]]</f>
        <v>45000</v>
      </c>
    </row>
    <row r="155" spans="1:25" x14ac:dyDescent="0.3">
      <c r="A155">
        <v>6492</v>
      </c>
      <c r="B155">
        <v>20</v>
      </c>
      <c r="C155" t="s">
        <v>551</v>
      </c>
      <c r="D155">
        <v>6</v>
      </c>
      <c r="E155" s="5">
        <v>46020.875</v>
      </c>
      <c r="F155" t="s">
        <v>545</v>
      </c>
      <c r="G155" t="s">
        <v>517</v>
      </c>
      <c r="H155" t="s">
        <v>346</v>
      </c>
      <c r="I155">
        <v>6</v>
      </c>
      <c r="J155">
        <v>77869273</v>
      </c>
      <c r="K155" s="5">
        <v>46020</v>
      </c>
      <c r="L155" s="3">
        <v>800</v>
      </c>
      <c r="M155" t="s">
        <v>546</v>
      </c>
      <c r="N155" t="s">
        <v>72</v>
      </c>
      <c r="O155" t="s">
        <v>552</v>
      </c>
      <c r="P155" s="3">
        <v>2450</v>
      </c>
      <c r="Q155">
        <v>12</v>
      </c>
      <c r="R155" t="s">
        <v>553</v>
      </c>
      <c r="S155" t="s">
        <v>514</v>
      </c>
      <c r="T155" t="s">
        <v>515</v>
      </c>
      <c r="U155" t="s">
        <v>177</v>
      </c>
      <c r="V155" s="3">
        <f>Tabla1[[#This Row],[OS-Valor Unitario]]-Tabla1[[#This Row],[costo_antes_iva]]</f>
        <v>1650</v>
      </c>
      <c r="W155" s="3">
        <f>Tabla1[[#This Row],[OS-Valor Unitario]]*Tabla1[[#This Row],[OS-Cantidad]]</f>
        <v>29400</v>
      </c>
      <c r="X155" s="3">
        <f>Tabla1[[#This Row],[costo_antes_iva]]*Tabla1[[#This Row],[OS-Cantidad]]</f>
        <v>9600</v>
      </c>
      <c r="Y155" s="3">
        <f>Tabla1[[#This Row],[Valor total OS]]-Tabla1[[#This Row],[valor total op]]</f>
        <v>19800</v>
      </c>
    </row>
    <row r="156" spans="1:25" x14ac:dyDescent="0.3">
      <c r="A156">
        <v>6492</v>
      </c>
      <c r="B156">
        <v>20</v>
      </c>
      <c r="C156" t="s">
        <v>551</v>
      </c>
      <c r="D156">
        <v>6</v>
      </c>
      <c r="E156" s="5">
        <v>46020.875</v>
      </c>
      <c r="F156" t="s">
        <v>545</v>
      </c>
      <c r="G156" t="s">
        <v>517</v>
      </c>
      <c r="H156" t="s">
        <v>346</v>
      </c>
      <c r="I156">
        <v>6</v>
      </c>
      <c r="J156">
        <v>77869273</v>
      </c>
      <c r="K156" s="5">
        <v>46020</v>
      </c>
      <c r="L156" s="3">
        <v>800</v>
      </c>
      <c r="M156" t="s">
        <v>546</v>
      </c>
      <c r="N156" t="s">
        <v>72</v>
      </c>
      <c r="O156" t="s">
        <v>552</v>
      </c>
      <c r="P156" s="3">
        <v>2450</v>
      </c>
      <c r="Q156">
        <v>12</v>
      </c>
      <c r="R156" t="s">
        <v>553</v>
      </c>
      <c r="S156" t="s">
        <v>514</v>
      </c>
      <c r="T156" t="s">
        <v>516</v>
      </c>
      <c r="U156" t="s">
        <v>177</v>
      </c>
      <c r="V156" s="3">
        <f>Tabla1[[#This Row],[OS-Valor Unitario]]-Tabla1[[#This Row],[costo_antes_iva]]</f>
        <v>1650</v>
      </c>
      <c r="W156" s="3">
        <f>Tabla1[[#This Row],[OS-Valor Unitario]]*Tabla1[[#This Row],[OS-Cantidad]]</f>
        <v>29400</v>
      </c>
      <c r="X156" s="3">
        <f>Tabla1[[#This Row],[costo_antes_iva]]*Tabla1[[#This Row],[OS-Cantidad]]</f>
        <v>9600</v>
      </c>
      <c r="Y156" s="3">
        <f>Tabla1[[#This Row],[Valor total OS]]-Tabla1[[#This Row],[valor total op]]</f>
        <v>19800</v>
      </c>
    </row>
    <row r="157" spans="1:25" x14ac:dyDescent="0.3">
      <c r="A157">
        <v>6492</v>
      </c>
      <c r="B157">
        <v>20</v>
      </c>
      <c r="C157" t="s">
        <v>551</v>
      </c>
      <c r="D157">
        <v>6</v>
      </c>
      <c r="E157" s="5">
        <v>46020.875</v>
      </c>
      <c r="F157" t="s">
        <v>545</v>
      </c>
      <c r="G157" t="s">
        <v>517</v>
      </c>
      <c r="H157" t="s">
        <v>346</v>
      </c>
      <c r="I157">
        <v>6</v>
      </c>
      <c r="J157">
        <v>77869273</v>
      </c>
      <c r="K157" s="5">
        <v>46020</v>
      </c>
      <c r="L157" s="3">
        <v>12500</v>
      </c>
      <c r="M157" t="s">
        <v>546</v>
      </c>
      <c r="N157" t="s">
        <v>56</v>
      </c>
      <c r="O157" t="s">
        <v>552</v>
      </c>
      <c r="P157" s="3">
        <v>12000</v>
      </c>
      <c r="Q157">
        <v>6</v>
      </c>
      <c r="R157" t="s">
        <v>554</v>
      </c>
      <c r="S157" t="s">
        <v>514</v>
      </c>
      <c r="T157" t="s">
        <v>515</v>
      </c>
      <c r="U157" t="s">
        <v>177</v>
      </c>
      <c r="V157" s="3">
        <f>Tabla1[[#This Row],[OS-Valor Unitario]]-Tabla1[[#This Row],[costo_antes_iva]]</f>
        <v>-500</v>
      </c>
      <c r="W157" s="3">
        <f>Tabla1[[#This Row],[OS-Valor Unitario]]*Tabla1[[#This Row],[OS-Cantidad]]</f>
        <v>72000</v>
      </c>
      <c r="X157" s="3">
        <f>Tabla1[[#This Row],[costo_antes_iva]]*Tabla1[[#This Row],[OS-Cantidad]]</f>
        <v>75000</v>
      </c>
      <c r="Y157" s="3">
        <f>Tabla1[[#This Row],[Valor total OS]]-Tabla1[[#This Row],[valor total op]]</f>
        <v>-3000</v>
      </c>
    </row>
    <row r="158" spans="1:25" x14ac:dyDescent="0.3">
      <c r="A158">
        <v>6492</v>
      </c>
      <c r="B158">
        <v>20</v>
      </c>
      <c r="C158" t="s">
        <v>551</v>
      </c>
      <c r="D158">
        <v>6</v>
      </c>
      <c r="E158" s="5">
        <v>46020.875</v>
      </c>
      <c r="F158" t="s">
        <v>545</v>
      </c>
      <c r="G158" t="s">
        <v>517</v>
      </c>
      <c r="H158" t="s">
        <v>346</v>
      </c>
      <c r="I158">
        <v>6</v>
      </c>
      <c r="J158">
        <v>77869273</v>
      </c>
      <c r="K158" s="5">
        <v>46020</v>
      </c>
      <c r="L158" s="3">
        <v>12500</v>
      </c>
      <c r="M158" t="s">
        <v>546</v>
      </c>
      <c r="N158" t="s">
        <v>56</v>
      </c>
      <c r="O158" t="s">
        <v>552</v>
      </c>
      <c r="P158" s="3">
        <v>12000</v>
      </c>
      <c r="Q158">
        <v>6</v>
      </c>
      <c r="R158" t="s">
        <v>554</v>
      </c>
      <c r="S158" t="s">
        <v>514</v>
      </c>
      <c r="T158" t="s">
        <v>516</v>
      </c>
      <c r="U158" t="s">
        <v>177</v>
      </c>
      <c r="V158" s="3">
        <f>Tabla1[[#This Row],[OS-Valor Unitario]]-Tabla1[[#This Row],[costo_antes_iva]]</f>
        <v>-500</v>
      </c>
      <c r="W158" s="3">
        <f>Tabla1[[#This Row],[OS-Valor Unitario]]*Tabla1[[#This Row],[OS-Cantidad]]</f>
        <v>72000</v>
      </c>
      <c r="X158" s="3">
        <f>Tabla1[[#This Row],[costo_antes_iva]]*Tabla1[[#This Row],[OS-Cantidad]]</f>
        <v>75000</v>
      </c>
      <c r="Y158" s="3">
        <f>Tabla1[[#This Row],[Valor total OS]]-Tabla1[[#This Row],[valor total op]]</f>
        <v>-3000</v>
      </c>
    </row>
    <row r="159" spans="1:25" x14ac:dyDescent="0.3">
      <c r="A159">
        <v>6492</v>
      </c>
      <c r="B159">
        <v>20</v>
      </c>
      <c r="C159" t="s">
        <v>551</v>
      </c>
      <c r="D159">
        <v>6</v>
      </c>
      <c r="E159" s="5">
        <v>46020.875</v>
      </c>
      <c r="F159" t="s">
        <v>545</v>
      </c>
      <c r="G159" t="s">
        <v>429</v>
      </c>
      <c r="H159" t="s">
        <v>346</v>
      </c>
      <c r="I159">
        <v>30</v>
      </c>
      <c r="J159">
        <v>77869427</v>
      </c>
      <c r="K159" s="5">
        <v>46020</v>
      </c>
      <c r="L159" s="3">
        <v>11500</v>
      </c>
      <c r="M159" t="s">
        <v>549</v>
      </c>
      <c r="N159" t="s">
        <v>56</v>
      </c>
      <c r="O159" t="s">
        <v>552</v>
      </c>
      <c r="P159" s="3">
        <v>12000</v>
      </c>
      <c r="Q159">
        <v>6</v>
      </c>
      <c r="R159" t="s">
        <v>554</v>
      </c>
      <c r="S159" t="s">
        <v>514</v>
      </c>
      <c r="T159" t="s">
        <v>515</v>
      </c>
      <c r="U159" t="s">
        <v>177</v>
      </c>
      <c r="V159" s="3">
        <f>Tabla1[[#This Row],[OS-Valor Unitario]]-Tabla1[[#This Row],[costo_antes_iva]]</f>
        <v>500</v>
      </c>
      <c r="W159" s="3">
        <f>Tabla1[[#This Row],[OS-Valor Unitario]]*Tabla1[[#This Row],[OS-Cantidad]]</f>
        <v>72000</v>
      </c>
      <c r="X159" s="3">
        <f>Tabla1[[#This Row],[costo_antes_iva]]*Tabla1[[#This Row],[OS-Cantidad]]</f>
        <v>69000</v>
      </c>
      <c r="Y159" s="3">
        <f>Tabla1[[#This Row],[Valor total OS]]-Tabla1[[#This Row],[valor total op]]</f>
        <v>3000</v>
      </c>
    </row>
    <row r="160" spans="1:25" x14ac:dyDescent="0.3">
      <c r="A160">
        <v>6492</v>
      </c>
      <c r="B160">
        <v>20</v>
      </c>
      <c r="C160" t="s">
        <v>551</v>
      </c>
      <c r="D160">
        <v>6</v>
      </c>
      <c r="E160" s="5">
        <v>46020.875</v>
      </c>
      <c r="F160" t="s">
        <v>545</v>
      </c>
      <c r="G160" t="s">
        <v>429</v>
      </c>
      <c r="H160" t="s">
        <v>346</v>
      </c>
      <c r="I160">
        <v>30</v>
      </c>
      <c r="J160">
        <v>77869427</v>
      </c>
      <c r="K160" s="5">
        <v>46020</v>
      </c>
      <c r="L160" s="3">
        <v>11500</v>
      </c>
      <c r="M160" t="s">
        <v>549</v>
      </c>
      <c r="N160" t="s">
        <v>56</v>
      </c>
      <c r="O160" t="s">
        <v>552</v>
      </c>
      <c r="P160" s="3">
        <v>12000</v>
      </c>
      <c r="Q160">
        <v>6</v>
      </c>
      <c r="R160" t="s">
        <v>554</v>
      </c>
      <c r="S160" t="s">
        <v>514</v>
      </c>
      <c r="T160" t="s">
        <v>516</v>
      </c>
      <c r="U160" t="s">
        <v>177</v>
      </c>
      <c r="V160" s="3">
        <f>Tabla1[[#This Row],[OS-Valor Unitario]]-Tabla1[[#This Row],[costo_antes_iva]]</f>
        <v>500</v>
      </c>
      <c r="W160" s="3">
        <f>Tabla1[[#This Row],[OS-Valor Unitario]]*Tabla1[[#This Row],[OS-Cantidad]]</f>
        <v>72000</v>
      </c>
      <c r="X160" s="3">
        <f>Tabla1[[#This Row],[costo_antes_iva]]*Tabla1[[#This Row],[OS-Cantidad]]</f>
        <v>69000</v>
      </c>
      <c r="Y160" s="3">
        <f>Tabla1[[#This Row],[Valor total OS]]-Tabla1[[#This Row],[valor total op]]</f>
        <v>3000</v>
      </c>
    </row>
    <row r="161" spans="1:25" x14ac:dyDescent="0.3">
      <c r="A161">
        <v>6492</v>
      </c>
      <c r="B161">
        <v>21</v>
      </c>
      <c r="C161" t="s">
        <v>555</v>
      </c>
      <c r="D161">
        <v>50</v>
      </c>
      <c r="E161" s="5">
        <v>46020.875</v>
      </c>
      <c r="F161" t="s">
        <v>428</v>
      </c>
      <c r="G161" t="s">
        <v>429</v>
      </c>
      <c r="H161" t="s">
        <v>346</v>
      </c>
      <c r="I161">
        <v>50</v>
      </c>
      <c r="J161">
        <v>77869395</v>
      </c>
      <c r="K161" s="5">
        <v>46020</v>
      </c>
      <c r="L161" s="3">
        <v>11500</v>
      </c>
      <c r="M161" t="s">
        <v>430</v>
      </c>
      <c r="N161" t="s">
        <v>56</v>
      </c>
      <c r="O161" t="s">
        <v>556</v>
      </c>
      <c r="P161" s="3">
        <v>13000</v>
      </c>
      <c r="Q161">
        <v>50</v>
      </c>
      <c r="R161" t="s">
        <v>557</v>
      </c>
      <c r="S161" t="s">
        <v>433</v>
      </c>
      <c r="T161" t="s">
        <v>434</v>
      </c>
      <c r="U161" t="s">
        <v>177</v>
      </c>
      <c r="V161" s="3">
        <f>Tabla1[[#This Row],[OS-Valor Unitario]]-Tabla1[[#This Row],[costo_antes_iva]]</f>
        <v>1500</v>
      </c>
      <c r="W161" s="3">
        <f>Tabla1[[#This Row],[OS-Valor Unitario]]*Tabla1[[#This Row],[OS-Cantidad]]</f>
        <v>650000</v>
      </c>
      <c r="X161" s="3">
        <f>Tabla1[[#This Row],[costo_antes_iva]]*Tabla1[[#This Row],[OS-Cantidad]]</f>
        <v>575000</v>
      </c>
      <c r="Y161" s="3">
        <f>Tabla1[[#This Row],[Valor total OS]]-Tabla1[[#This Row],[valor total op]]</f>
        <v>75000</v>
      </c>
    </row>
    <row r="162" spans="1:25" x14ac:dyDescent="0.3">
      <c r="A162">
        <v>6492</v>
      </c>
      <c r="B162">
        <v>21</v>
      </c>
      <c r="C162" t="s">
        <v>555</v>
      </c>
      <c r="D162">
        <v>50</v>
      </c>
      <c r="E162" s="5">
        <v>46020.875</v>
      </c>
      <c r="F162" t="s">
        <v>428</v>
      </c>
      <c r="G162" t="s">
        <v>435</v>
      </c>
      <c r="H162" t="s">
        <v>346</v>
      </c>
      <c r="I162">
        <v>200</v>
      </c>
      <c r="J162">
        <v>77935140</v>
      </c>
      <c r="K162" s="5">
        <v>46022</v>
      </c>
      <c r="L162" s="3">
        <v>4500</v>
      </c>
      <c r="M162" t="s">
        <v>436</v>
      </c>
      <c r="N162" t="s">
        <v>56</v>
      </c>
      <c r="O162" t="s">
        <v>556</v>
      </c>
      <c r="P162" s="3">
        <v>13000</v>
      </c>
      <c r="Q162">
        <v>50</v>
      </c>
      <c r="R162" t="s">
        <v>557</v>
      </c>
      <c r="S162" t="s">
        <v>433</v>
      </c>
      <c r="T162" t="s">
        <v>434</v>
      </c>
      <c r="U162" t="s">
        <v>177</v>
      </c>
      <c r="V162" s="3">
        <f>Tabla1[[#This Row],[OS-Valor Unitario]]-Tabla1[[#This Row],[costo_antes_iva]]</f>
        <v>8500</v>
      </c>
      <c r="W162" s="3">
        <f>Tabla1[[#This Row],[OS-Valor Unitario]]*Tabla1[[#This Row],[OS-Cantidad]]</f>
        <v>650000</v>
      </c>
      <c r="X162" s="3">
        <f>Tabla1[[#This Row],[costo_antes_iva]]*Tabla1[[#This Row],[OS-Cantidad]]</f>
        <v>225000</v>
      </c>
      <c r="Y162" s="3">
        <f>Tabla1[[#This Row],[Valor total OS]]-Tabla1[[#This Row],[valor total op]]</f>
        <v>425000</v>
      </c>
    </row>
    <row r="163" spans="1:25" x14ac:dyDescent="0.3">
      <c r="A163">
        <v>6492</v>
      </c>
      <c r="B163">
        <v>21</v>
      </c>
      <c r="C163" t="s">
        <v>555</v>
      </c>
      <c r="D163">
        <v>50</v>
      </c>
      <c r="E163" s="5">
        <v>46020.875</v>
      </c>
      <c r="F163" t="s">
        <v>428</v>
      </c>
      <c r="G163" t="s">
        <v>435</v>
      </c>
      <c r="H163" t="s">
        <v>346</v>
      </c>
      <c r="I163">
        <v>1150</v>
      </c>
      <c r="J163">
        <v>76177272</v>
      </c>
      <c r="K163" s="5">
        <v>45987</v>
      </c>
      <c r="L163" s="3">
        <v>4500</v>
      </c>
      <c r="M163" t="s">
        <v>439</v>
      </c>
      <c r="N163" t="s">
        <v>56</v>
      </c>
      <c r="O163" t="s">
        <v>556</v>
      </c>
      <c r="P163" s="3">
        <v>13000</v>
      </c>
      <c r="Q163">
        <v>50</v>
      </c>
      <c r="R163" t="s">
        <v>557</v>
      </c>
      <c r="S163" t="s">
        <v>433</v>
      </c>
      <c r="T163" t="s">
        <v>434</v>
      </c>
      <c r="U163" t="s">
        <v>177</v>
      </c>
      <c r="V163" s="3">
        <f>Tabla1[[#This Row],[OS-Valor Unitario]]-Tabla1[[#This Row],[costo_antes_iva]]</f>
        <v>8500</v>
      </c>
      <c r="W163" s="3">
        <f>Tabla1[[#This Row],[OS-Valor Unitario]]*Tabla1[[#This Row],[OS-Cantidad]]</f>
        <v>650000</v>
      </c>
      <c r="X163" s="3">
        <f>Tabla1[[#This Row],[costo_antes_iva]]*Tabla1[[#This Row],[OS-Cantidad]]</f>
        <v>225000</v>
      </c>
      <c r="Y163" s="3">
        <f>Tabla1[[#This Row],[Valor total OS]]-Tabla1[[#This Row],[valor total op]]</f>
        <v>425000</v>
      </c>
    </row>
    <row r="164" spans="1:25" x14ac:dyDescent="0.3">
      <c r="A164">
        <v>6492</v>
      </c>
      <c r="B164">
        <v>21</v>
      </c>
      <c r="C164" t="s">
        <v>555</v>
      </c>
      <c r="D164">
        <v>50</v>
      </c>
      <c r="E164" s="5">
        <v>46020.875</v>
      </c>
      <c r="F164" t="s">
        <v>428</v>
      </c>
      <c r="G164" t="s">
        <v>435</v>
      </c>
      <c r="H164" t="s">
        <v>346</v>
      </c>
      <c r="I164">
        <v>5</v>
      </c>
      <c r="J164">
        <v>75885191</v>
      </c>
      <c r="K164" s="5">
        <v>45986</v>
      </c>
      <c r="L164" s="3">
        <v>4500</v>
      </c>
      <c r="M164" t="s">
        <v>440</v>
      </c>
      <c r="N164" t="s">
        <v>56</v>
      </c>
      <c r="O164" t="s">
        <v>556</v>
      </c>
      <c r="P164" s="3">
        <v>13000</v>
      </c>
      <c r="Q164">
        <v>50</v>
      </c>
      <c r="R164" t="s">
        <v>557</v>
      </c>
      <c r="S164" t="s">
        <v>433</v>
      </c>
      <c r="T164" t="s">
        <v>434</v>
      </c>
      <c r="U164" t="s">
        <v>177</v>
      </c>
      <c r="V164" s="3">
        <f>Tabla1[[#This Row],[OS-Valor Unitario]]-Tabla1[[#This Row],[costo_antes_iva]]</f>
        <v>8500</v>
      </c>
      <c r="W164" s="3">
        <f>Tabla1[[#This Row],[OS-Valor Unitario]]*Tabla1[[#This Row],[OS-Cantidad]]</f>
        <v>650000</v>
      </c>
      <c r="X164" s="3">
        <f>Tabla1[[#This Row],[costo_antes_iva]]*Tabla1[[#This Row],[OS-Cantidad]]</f>
        <v>225000</v>
      </c>
      <c r="Y164" s="3">
        <f>Tabla1[[#This Row],[Valor total OS]]-Tabla1[[#This Row],[valor total op]]</f>
        <v>425000</v>
      </c>
    </row>
    <row r="165" spans="1:25" x14ac:dyDescent="0.3">
      <c r="A165">
        <v>6492</v>
      </c>
      <c r="B165">
        <v>22</v>
      </c>
      <c r="C165" t="s">
        <v>558</v>
      </c>
      <c r="D165">
        <v>12</v>
      </c>
      <c r="E165" s="5">
        <v>46020.875</v>
      </c>
      <c r="F165" t="s">
        <v>559</v>
      </c>
      <c r="G165" t="s">
        <v>487</v>
      </c>
      <c r="H165" t="s">
        <v>346</v>
      </c>
      <c r="I165">
        <v>12</v>
      </c>
      <c r="J165">
        <v>77864131</v>
      </c>
      <c r="K165" s="5">
        <v>46020</v>
      </c>
      <c r="L165" s="3">
        <v>1000</v>
      </c>
      <c r="M165" t="s">
        <v>560</v>
      </c>
      <c r="N165" t="s">
        <v>26</v>
      </c>
      <c r="O165" t="s">
        <v>561</v>
      </c>
      <c r="P165" s="3">
        <v>900</v>
      </c>
      <c r="Q165">
        <v>12</v>
      </c>
      <c r="R165" t="s">
        <v>562</v>
      </c>
      <c r="S165" t="s">
        <v>563</v>
      </c>
      <c r="T165" t="s">
        <v>564</v>
      </c>
      <c r="U165" t="s">
        <v>177</v>
      </c>
      <c r="V165" s="3">
        <f>Tabla1[[#This Row],[OS-Valor Unitario]]-Tabla1[[#This Row],[costo_antes_iva]]</f>
        <v>-100</v>
      </c>
      <c r="W165" s="3">
        <f>Tabla1[[#This Row],[OS-Valor Unitario]]*Tabla1[[#This Row],[OS-Cantidad]]</f>
        <v>10800</v>
      </c>
      <c r="X165" s="3">
        <f>Tabla1[[#This Row],[costo_antes_iva]]*Tabla1[[#This Row],[OS-Cantidad]]</f>
        <v>12000</v>
      </c>
      <c r="Y165" s="3">
        <f>Tabla1[[#This Row],[Valor total OS]]-Tabla1[[#This Row],[valor total op]]</f>
        <v>-1200</v>
      </c>
    </row>
    <row r="166" spans="1:25" x14ac:dyDescent="0.3">
      <c r="A166">
        <v>6492</v>
      </c>
      <c r="B166">
        <v>22</v>
      </c>
      <c r="C166" t="s">
        <v>558</v>
      </c>
      <c r="D166">
        <v>12</v>
      </c>
      <c r="E166" s="5">
        <v>46020.875</v>
      </c>
      <c r="F166" t="s">
        <v>559</v>
      </c>
      <c r="G166" t="s">
        <v>487</v>
      </c>
      <c r="H166" t="s">
        <v>346</v>
      </c>
      <c r="I166">
        <v>12</v>
      </c>
      <c r="J166">
        <v>77864131</v>
      </c>
      <c r="K166" s="5">
        <v>46020</v>
      </c>
      <c r="L166" s="3">
        <v>11500</v>
      </c>
      <c r="M166" t="s">
        <v>560</v>
      </c>
      <c r="N166" t="s">
        <v>56</v>
      </c>
      <c r="O166" t="s">
        <v>561</v>
      </c>
      <c r="P166" s="3">
        <v>11500</v>
      </c>
      <c r="Q166">
        <v>12</v>
      </c>
      <c r="R166" t="s">
        <v>565</v>
      </c>
      <c r="S166" t="s">
        <v>563</v>
      </c>
      <c r="T166" t="s">
        <v>564</v>
      </c>
      <c r="U166" t="s">
        <v>177</v>
      </c>
      <c r="V166" s="3">
        <f>Tabla1[[#This Row],[OS-Valor Unitario]]-Tabla1[[#This Row],[costo_antes_iva]]</f>
        <v>0</v>
      </c>
      <c r="W166" s="3">
        <f>Tabla1[[#This Row],[OS-Valor Unitario]]*Tabla1[[#This Row],[OS-Cantidad]]</f>
        <v>138000</v>
      </c>
      <c r="X166" s="3">
        <f>Tabla1[[#This Row],[costo_antes_iva]]*Tabla1[[#This Row],[OS-Cantidad]]</f>
        <v>138000</v>
      </c>
      <c r="Y166" s="3">
        <f>Tabla1[[#This Row],[Valor total OS]]-Tabla1[[#This Row],[valor total op]]</f>
        <v>0</v>
      </c>
    </row>
    <row r="167" spans="1:25" x14ac:dyDescent="0.3">
      <c r="A167">
        <v>6492</v>
      </c>
      <c r="B167">
        <v>23</v>
      </c>
      <c r="C167" t="s">
        <v>566</v>
      </c>
      <c r="D167">
        <v>7</v>
      </c>
      <c r="E167" s="5">
        <v>46020.875</v>
      </c>
      <c r="F167" t="s">
        <v>567</v>
      </c>
      <c r="G167" t="s">
        <v>568</v>
      </c>
      <c r="H167" t="s">
        <v>346</v>
      </c>
      <c r="I167">
        <v>7</v>
      </c>
      <c r="J167">
        <v>77864470</v>
      </c>
      <c r="K167" s="5">
        <v>46020</v>
      </c>
      <c r="L167" s="3">
        <v>900</v>
      </c>
      <c r="M167" t="s">
        <v>569</v>
      </c>
      <c r="N167" t="s">
        <v>26</v>
      </c>
      <c r="O167" t="s">
        <v>570</v>
      </c>
      <c r="P167" s="3">
        <v>900</v>
      </c>
      <c r="Q167">
        <v>7</v>
      </c>
      <c r="R167" t="s">
        <v>571</v>
      </c>
      <c r="S167" t="s">
        <v>563</v>
      </c>
      <c r="T167" t="s">
        <v>564</v>
      </c>
      <c r="U167" t="s">
        <v>177</v>
      </c>
      <c r="V167" s="3">
        <f>Tabla1[[#This Row],[OS-Valor Unitario]]-Tabla1[[#This Row],[costo_antes_iva]]</f>
        <v>0</v>
      </c>
      <c r="W167" s="3">
        <f>Tabla1[[#This Row],[OS-Valor Unitario]]*Tabla1[[#This Row],[OS-Cantidad]]</f>
        <v>6300</v>
      </c>
      <c r="X167" s="3">
        <f>Tabla1[[#This Row],[costo_antes_iva]]*Tabla1[[#This Row],[OS-Cantidad]]</f>
        <v>6300</v>
      </c>
      <c r="Y167" s="3">
        <f>Tabla1[[#This Row],[Valor total OS]]-Tabla1[[#This Row],[valor total op]]</f>
        <v>0</v>
      </c>
    </row>
    <row r="168" spans="1:25" x14ac:dyDescent="0.3">
      <c r="A168">
        <v>6492</v>
      </c>
      <c r="B168">
        <v>23</v>
      </c>
      <c r="C168" t="s">
        <v>566</v>
      </c>
      <c r="D168">
        <v>7</v>
      </c>
      <c r="E168" s="5">
        <v>46020.875</v>
      </c>
      <c r="F168" t="s">
        <v>567</v>
      </c>
      <c r="G168" t="s">
        <v>568</v>
      </c>
      <c r="H168" t="s">
        <v>346</v>
      </c>
      <c r="I168">
        <v>7</v>
      </c>
      <c r="J168">
        <v>77864470</v>
      </c>
      <c r="K168" s="5">
        <v>46020</v>
      </c>
      <c r="L168" s="3">
        <v>13000</v>
      </c>
      <c r="M168" t="s">
        <v>569</v>
      </c>
      <c r="N168" t="s">
        <v>56</v>
      </c>
      <c r="O168" t="s">
        <v>570</v>
      </c>
      <c r="P168" s="3">
        <v>12000</v>
      </c>
      <c r="Q168">
        <v>7</v>
      </c>
      <c r="R168" t="s">
        <v>572</v>
      </c>
      <c r="S168" t="s">
        <v>563</v>
      </c>
      <c r="T168" t="s">
        <v>564</v>
      </c>
      <c r="U168" t="s">
        <v>177</v>
      </c>
      <c r="V168" s="3">
        <f>Tabla1[[#This Row],[OS-Valor Unitario]]-Tabla1[[#This Row],[costo_antes_iva]]</f>
        <v>-1000</v>
      </c>
      <c r="W168" s="3">
        <f>Tabla1[[#This Row],[OS-Valor Unitario]]*Tabla1[[#This Row],[OS-Cantidad]]</f>
        <v>84000</v>
      </c>
      <c r="X168" s="3">
        <f>Tabla1[[#This Row],[costo_antes_iva]]*Tabla1[[#This Row],[OS-Cantidad]]</f>
        <v>91000</v>
      </c>
      <c r="Y168" s="3">
        <f>Tabla1[[#This Row],[Valor total OS]]-Tabla1[[#This Row],[valor total op]]</f>
        <v>-7000</v>
      </c>
    </row>
    <row r="169" spans="1:25" x14ac:dyDescent="0.3">
      <c r="A169">
        <v>6492</v>
      </c>
      <c r="B169">
        <v>23</v>
      </c>
      <c r="C169" t="s">
        <v>566</v>
      </c>
      <c r="D169">
        <v>7</v>
      </c>
      <c r="E169" s="5">
        <v>46020.875</v>
      </c>
      <c r="F169" t="s">
        <v>567</v>
      </c>
      <c r="G169" t="s">
        <v>87</v>
      </c>
      <c r="H169" t="s">
        <v>346</v>
      </c>
      <c r="I169">
        <v>14</v>
      </c>
      <c r="J169">
        <v>77864464</v>
      </c>
      <c r="K169" s="5">
        <v>46020</v>
      </c>
      <c r="L169" s="3">
        <v>3200</v>
      </c>
      <c r="M169" t="s">
        <v>573</v>
      </c>
      <c r="N169" t="s">
        <v>56</v>
      </c>
      <c r="O169" t="s">
        <v>570</v>
      </c>
      <c r="P169" s="3">
        <v>12000</v>
      </c>
      <c r="Q169">
        <v>7</v>
      </c>
      <c r="R169" t="s">
        <v>572</v>
      </c>
      <c r="S169" t="s">
        <v>563</v>
      </c>
      <c r="T169" t="s">
        <v>564</v>
      </c>
      <c r="U169" t="s">
        <v>177</v>
      </c>
      <c r="V169" s="3">
        <f>Tabla1[[#This Row],[OS-Valor Unitario]]-Tabla1[[#This Row],[costo_antes_iva]]</f>
        <v>8800</v>
      </c>
      <c r="W169" s="3">
        <f>Tabla1[[#This Row],[OS-Valor Unitario]]*Tabla1[[#This Row],[OS-Cantidad]]</f>
        <v>84000</v>
      </c>
      <c r="X169" s="3">
        <f>Tabla1[[#This Row],[costo_antes_iva]]*Tabla1[[#This Row],[OS-Cantidad]]</f>
        <v>22400</v>
      </c>
      <c r="Y169" s="3">
        <f>Tabla1[[#This Row],[Valor total OS]]-Tabla1[[#This Row],[valor total op]]</f>
        <v>61600</v>
      </c>
    </row>
    <row r="170" spans="1:25" x14ac:dyDescent="0.3">
      <c r="A170">
        <v>6492</v>
      </c>
      <c r="B170">
        <v>23</v>
      </c>
      <c r="C170" t="s">
        <v>566</v>
      </c>
      <c r="D170">
        <v>7</v>
      </c>
      <c r="E170" s="5">
        <v>46020.875</v>
      </c>
      <c r="F170" t="s">
        <v>567</v>
      </c>
      <c r="G170" t="s">
        <v>87</v>
      </c>
      <c r="H170" t="s">
        <v>346</v>
      </c>
      <c r="I170">
        <v>14</v>
      </c>
      <c r="J170">
        <v>77864464</v>
      </c>
      <c r="K170" s="5">
        <v>46020</v>
      </c>
      <c r="L170" s="3">
        <v>900</v>
      </c>
      <c r="M170" t="s">
        <v>573</v>
      </c>
      <c r="N170" t="s">
        <v>26</v>
      </c>
      <c r="O170" t="s">
        <v>570</v>
      </c>
      <c r="P170" s="3">
        <v>900</v>
      </c>
      <c r="Q170">
        <v>7</v>
      </c>
      <c r="R170" t="s">
        <v>571</v>
      </c>
      <c r="S170" t="s">
        <v>563</v>
      </c>
      <c r="T170" t="s">
        <v>564</v>
      </c>
      <c r="U170" t="s">
        <v>177</v>
      </c>
      <c r="V170" s="3">
        <f>Tabla1[[#This Row],[OS-Valor Unitario]]-Tabla1[[#This Row],[costo_antes_iva]]</f>
        <v>0</v>
      </c>
      <c r="W170" s="3">
        <f>Tabla1[[#This Row],[OS-Valor Unitario]]*Tabla1[[#This Row],[OS-Cantidad]]</f>
        <v>6300</v>
      </c>
      <c r="X170" s="3">
        <f>Tabla1[[#This Row],[costo_antes_iva]]*Tabla1[[#This Row],[OS-Cantidad]]</f>
        <v>6300</v>
      </c>
      <c r="Y170" s="3">
        <f>Tabla1[[#This Row],[Valor total OS]]-Tabla1[[#This Row],[valor total op]]</f>
        <v>0</v>
      </c>
    </row>
    <row r="171" spans="1:25" x14ac:dyDescent="0.3">
      <c r="A171">
        <v>6492</v>
      </c>
      <c r="B171">
        <v>1</v>
      </c>
      <c r="C171" t="s">
        <v>456</v>
      </c>
      <c r="D171">
        <v>10</v>
      </c>
      <c r="E171" s="5">
        <v>46020.868750000001</v>
      </c>
      <c r="F171" t="s">
        <v>457</v>
      </c>
      <c r="G171" t="s">
        <v>458</v>
      </c>
      <c r="H171" t="s">
        <v>346</v>
      </c>
      <c r="I171">
        <v>10</v>
      </c>
      <c r="J171">
        <v>77864531</v>
      </c>
      <c r="K171" s="5">
        <v>46020</v>
      </c>
      <c r="L171" s="3">
        <v>1600</v>
      </c>
      <c r="M171" t="s">
        <v>459</v>
      </c>
      <c r="N171" t="s">
        <v>72</v>
      </c>
      <c r="O171" t="s">
        <v>460</v>
      </c>
      <c r="P171" s="3">
        <v>1400</v>
      </c>
      <c r="Q171">
        <v>10</v>
      </c>
      <c r="R171" t="s">
        <v>461</v>
      </c>
      <c r="S171" t="s">
        <v>462</v>
      </c>
      <c r="T171" t="s">
        <v>351</v>
      </c>
      <c r="U171" t="s">
        <v>177</v>
      </c>
      <c r="V171" s="3">
        <f>Tabla1[[#This Row],[OS-Valor Unitario]]-Tabla1[[#This Row],[costo_antes_iva]]</f>
        <v>-200</v>
      </c>
      <c r="W171" s="3">
        <f>Tabla1[[#This Row],[OS-Valor Unitario]]*Tabla1[[#This Row],[OS-Cantidad]]</f>
        <v>14000</v>
      </c>
      <c r="X171" s="3">
        <f>Tabla1[[#This Row],[costo_antes_iva]]*Tabla1[[#This Row],[OS-Cantidad]]</f>
        <v>16000</v>
      </c>
      <c r="Y171" s="3">
        <f>Tabla1[[#This Row],[Valor total OS]]-Tabla1[[#This Row],[valor total op]]</f>
        <v>-2000</v>
      </c>
    </row>
    <row r="172" spans="1:25" x14ac:dyDescent="0.3">
      <c r="A172">
        <v>6492</v>
      </c>
      <c r="B172">
        <v>1</v>
      </c>
      <c r="C172" t="s">
        <v>456</v>
      </c>
      <c r="D172">
        <v>10</v>
      </c>
      <c r="E172" s="5">
        <v>46020.868750000001</v>
      </c>
      <c r="F172" t="s">
        <v>457</v>
      </c>
      <c r="G172" t="s">
        <v>458</v>
      </c>
      <c r="H172" t="s">
        <v>346</v>
      </c>
      <c r="I172">
        <v>10</v>
      </c>
      <c r="J172">
        <v>77864531</v>
      </c>
      <c r="K172" s="5">
        <v>46020</v>
      </c>
      <c r="L172" s="3">
        <v>14000</v>
      </c>
      <c r="M172" t="s">
        <v>459</v>
      </c>
      <c r="N172" t="s">
        <v>56</v>
      </c>
      <c r="O172" t="s">
        <v>460</v>
      </c>
      <c r="P172" s="3">
        <v>13500</v>
      </c>
      <c r="Q172">
        <v>10</v>
      </c>
      <c r="R172" t="s">
        <v>463</v>
      </c>
      <c r="S172" t="s">
        <v>462</v>
      </c>
      <c r="T172" t="s">
        <v>351</v>
      </c>
      <c r="U172" t="s">
        <v>177</v>
      </c>
      <c r="V172" s="3">
        <f>Tabla1[[#This Row],[OS-Valor Unitario]]-Tabla1[[#This Row],[costo_antes_iva]]</f>
        <v>-500</v>
      </c>
      <c r="W172" s="3">
        <f>Tabla1[[#This Row],[OS-Valor Unitario]]*Tabla1[[#This Row],[OS-Cantidad]]</f>
        <v>135000</v>
      </c>
      <c r="X172" s="3">
        <f>Tabla1[[#This Row],[costo_antes_iva]]*Tabla1[[#This Row],[OS-Cantidad]]</f>
        <v>140000</v>
      </c>
      <c r="Y172" s="3">
        <f>Tabla1[[#This Row],[Valor total OS]]-Tabla1[[#This Row],[valor total op]]</f>
        <v>-5000</v>
      </c>
    </row>
    <row r="173" spans="1:25" x14ac:dyDescent="0.3">
      <c r="A173">
        <v>6492</v>
      </c>
      <c r="B173">
        <v>3</v>
      </c>
      <c r="C173" t="s">
        <v>464</v>
      </c>
      <c r="D173">
        <v>70</v>
      </c>
      <c r="E173" s="5">
        <v>46020.868750000001</v>
      </c>
      <c r="F173" t="s">
        <v>465</v>
      </c>
      <c r="G173" t="s">
        <v>435</v>
      </c>
      <c r="H173" t="s">
        <v>346</v>
      </c>
      <c r="I173">
        <v>70</v>
      </c>
      <c r="J173">
        <v>77864545</v>
      </c>
      <c r="K173" s="5">
        <v>46020</v>
      </c>
      <c r="L173" s="3">
        <v>12500</v>
      </c>
      <c r="M173" t="s">
        <v>459</v>
      </c>
      <c r="N173" t="s">
        <v>437</v>
      </c>
      <c r="O173" t="s">
        <v>466</v>
      </c>
      <c r="P173" s="3">
        <v>10400</v>
      </c>
      <c r="Q173">
        <v>70</v>
      </c>
      <c r="R173" t="s">
        <v>467</v>
      </c>
      <c r="S173" t="s">
        <v>462</v>
      </c>
      <c r="T173" t="s">
        <v>351</v>
      </c>
      <c r="U173" t="s">
        <v>177</v>
      </c>
      <c r="V173" s="3">
        <f>Tabla1[[#This Row],[OS-Valor Unitario]]-Tabla1[[#This Row],[costo_antes_iva]]</f>
        <v>-2100</v>
      </c>
      <c r="W173" s="3">
        <f>Tabla1[[#This Row],[OS-Valor Unitario]]*Tabla1[[#This Row],[OS-Cantidad]]</f>
        <v>728000</v>
      </c>
      <c r="X173" s="3">
        <f>Tabla1[[#This Row],[costo_antes_iva]]*Tabla1[[#This Row],[OS-Cantidad]]</f>
        <v>875000</v>
      </c>
      <c r="Y173" s="3">
        <f>Tabla1[[#This Row],[Valor total OS]]-Tabla1[[#This Row],[valor total op]]</f>
        <v>-147000</v>
      </c>
    </row>
    <row r="174" spans="1:25" x14ac:dyDescent="0.3">
      <c r="A174">
        <v>6492</v>
      </c>
      <c r="B174">
        <v>3</v>
      </c>
      <c r="C174" t="s">
        <v>464</v>
      </c>
      <c r="D174">
        <v>70</v>
      </c>
      <c r="E174" s="5">
        <v>46020.868750000001</v>
      </c>
      <c r="F174" t="s">
        <v>465</v>
      </c>
      <c r="G174" t="s">
        <v>435</v>
      </c>
      <c r="H174" t="s">
        <v>346</v>
      </c>
      <c r="I174">
        <v>70</v>
      </c>
      <c r="J174">
        <v>77864545</v>
      </c>
      <c r="K174" s="5">
        <v>46020</v>
      </c>
      <c r="L174" s="3">
        <v>4500</v>
      </c>
      <c r="M174" t="s">
        <v>459</v>
      </c>
      <c r="N174" t="s">
        <v>56</v>
      </c>
      <c r="O174" t="s">
        <v>466</v>
      </c>
      <c r="P174" s="3">
        <v>5000</v>
      </c>
      <c r="Q174">
        <v>70</v>
      </c>
      <c r="R174" t="s">
        <v>468</v>
      </c>
      <c r="S174" t="s">
        <v>462</v>
      </c>
      <c r="T174" t="s">
        <v>351</v>
      </c>
      <c r="U174" t="s">
        <v>177</v>
      </c>
      <c r="V174" s="3">
        <f>Tabla1[[#This Row],[OS-Valor Unitario]]-Tabla1[[#This Row],[costo_antes_iva]]</f>
        <v>500</v>
      </c>
      <c r="W174" s="3">
        <f>Tabla1[[#This Row],[OS-Valor Unitario]]*Tabla1[[#This Row],[OS-Cantidad]]</f>
        <v>350000</v>
      </c>
      <c r="X174" s="3">
        <f>Tabla1[[#This Row],[costo_antes_iva]]*Tabla1[[#This Row],[OS-Cantidad]]</f>
        <v>315000</v>
      </c>
      <c r="Y174" s="3">
        <f>Tabla1[[#This Row],[Valor total OS]]-Tabla1[[#This Row],[valor total op]]</f>
        <v>35000</v>
      </c>
    </row>
    <row r="175" spans="1:25" x14ac:dyDescent="0.3">
      <c r="A175">
        <v>6492</v>
      </c>
      <c r="B175">
        <v>4</v>
      </c>
      <c r="C175" t="s">
        <v>469</v>
      </c>
      <c r="D175">
        <v>1100</v>
      </c>
      <c r="E175" s="5">
        <v>46020.868750000001</v>
      </c>
      <c r="F175" t="s">
        <v>470</v>
      </c>
      <c r="G175" t="s">
        <v>471</v>
      </c>
      <c r="H175" t="s">
        <v>346</v>
      </c>
      <c r="I175">
        <v>1100</v>
      </c>
      <c r="J175">
        <v>77864570</v>
      </c>
      <c r="K175" s="5">
        <v>46020</v>
      </c>
      <c r="L175" s="3">
        <v>900</v>
      </c>
      <c r="M175" t="s">
        <v>459</v>
      </c>
      <c r="N175" t="s">
        <v>72</v>
      </c>
      <c r="O175" t="s">
        <v>472</v>
      </c>
      <c r="P175" s="3">
        <v>900</v>
      </c>
      <c r="Q175">
        <v>1100</v>
      </c>
      <c r="R175" t="s">
        <v>473</v>
      </c>
      <c r="S175" t="s">
        <v>462</v>
      </c>
      <c r="T175" t="s">
        <v>351</v>
      </c>
      <c r="U175" t="s">
        <v>177</v>
      </c>
      <c r="V175" s="3">
        <f>Tabla1[[#This Row],[OS-Valor Unitario]]-Tabla1[[#This Row],[costo_antes_iva]]</f>
        <v>0</v>
      </c>
      <c r="W175" s="3">
        <f>Tabla1[[#This Row],[OS-Valor Unitario]]*Tabla1[[#This Row],[OS-Cantidad]]</f>
        <v>990000</v>
      </c>
      <c r="X175" s="3">
        <f>Tabla1[[#This Row],[costo_antes_iva]]*Tabla1[[#This Row],[OS-Cantidad]]</f>
        <v>990000</v>
      </c>
      <c r="Y175" s="3">
        <f>Tabla1[[#This Row],[Valor total OS]]-Tabla1[[#This Row],[valor total op]]</f>
        <v>0</v>
      </c>
    </row>
    <row r="176" spans="1:25" x14ac:dyDescent="0.3">
      <c r="A176">
        <v>6492</v>
      </c>
      <c r="B176">
        <v>4</v>
      </c>
      <c r="C176" t="s">
        <v>469</v>
      </c>
      <c r="D176">
        <v>1100</v>
      </c>
      <c r="E176" s="5">
        <v>46020.868750000001</v>
      </c>
      <c r="F176" t="s">
        <v>470</v>
      </c>
      <c r="G176" t="s">
        <v>471</v>
      </c>
      <c r="H176" t="s">
        <v>346</v>
      </c>
      <c r="I176">
        <v>1100</v>
      </c>
      <c r="J176">
        <v>77864570</v>
      </c>
      <c r="K176" s="5">
        <v>46020</v>
      </c>
      <c r="L176" s="3">
        <v>8200</v>
      </c>
      <c r="M176" t="s">
        <v>459</v>
      </c>
      <c r="N176" t="s">
        <v>56</v>
      </c>
      <c r="O176" t="s">
        <v>472</v>
      </c>
      <c r="P176" s="3">
        <v>8750</v>
      </c>
      <c r="Q176">
        <v>1100</v>
      </c>
      <c r="R176" t="s">
        <v>474</v>
      </c>
      <c r="S176" t="s">
        <v>462</v>
      </c>
      <c r="T176" t="s">
        <v>351</v>
      </c>
      <c r="U176" t="s">
        <v>177</v>
      </c>
      <c r="V176" s="3">
        <f>Tabla1[[#This Row],[OS-Valor Unitario]]-Tabla1[[#This Row],[costo_antes_iva]]</f>
        <v>550</v>
      </c>
      <c r="W176" s="3">
        <f>Tabla1[[#This Row],[OS-Valor Unitario]]*Tabla1[[#This Row],[OS-Cantidad]]</f>
        <v>9625000</v>
      </c>
      <c r="X176" s="3">
        <f>Tabla1[[#This Row],[costo_antes_iva]]*Tabla1[[#This Row],[OS-Cantidad]]</f>
        <v>9020000</v>
      </c>
      <c r="Y176" s="3">
        <f>Tabla1[[#This Row],[Valor total OS]]-Tabla1[[#This Row],[valor total op]]</f>
        <v>605000</v>
      </c>
    </row>
    <row r="177" spans="1:25" x14ac:dyDescent="0.3">
      <c r="A177">
        <v>6492</v>
      </c>
      <c r="B177">
        <v>5</v>
      </c>
      <c r="C177" t="s">
        <v>475</v>
      </c>
      <c r="D177">
        <v>20</v>
      </c>
      <c r="E177" s="5">
        <v>46020.868750000001</v>
      </c>
      <c r="F177" t="s">
        <v>476</v>
      </c>
      <c r="G177" t="s">
        <v>477</v>
      </c>
      <c r="H177" t="s">
        <v>346</v>
      </c>
      <c r="I177">
        <v>20</v>
      </c>
      <c r="J177">
        <v>77864583</v>
      </c>
      <c r="K177" s="5">
        <v>46020</v>
      </c>
      <c r="L177" s="3">
        <v>40000</v>
      </c>
      <c r="M177" t="s">
        <v>459</v>
      </c>
      <c r="N177" t="s">
        <v>478</v>
      </c>
      <c r="O177" t="s">
        <v>479</v>
      </c>
      <c r="P177" s="3">
        <v>47000</v>
      </c>
      <c r="Q177">
        <v>20</v>
      </c>
      <c r="R177" t="s">
        <v>480</v>
      </c>
      <c r="S177" t="s">
        <v>462</v>
      </c>
      <c r="T177" t="s">
        <v>351</v>
      </c>
      <c r="U177" t="s">
        <v>177</v>
      </c>
      <c r="V177" s="3">
        <f>Tabla1[[#This Row],[OS-Valor Unitario]]-Tabla1[[#This Row],[costo_antes_iva]]</f>
        <v>7000</v>
      </c>
      <c r="W177" s="3">
        <f>Tabla1[[#This Row],[OS-Valor Unitario]]*Tabla1[[#This Row],[OS-Cantidad]]</f>
        <v>940000</v>
      </c>
      <c r="X177" s="3">
        <f>Tabla1[[#This Row],[costo_antes_iva]]*Tabla1[[#This Row],[OS-Cantidad]]</f>
        <v>800000</v>
      </c>
      <c r="Y177" s="3">
        <f>Tabla1[[#This Row],[Valor total OS]]-Tabla1[[#This Row],[valor total op]]</f>
        <v>140000</v>
      </c>
    </row>
    <row r="178" spans="1:25" x14ac:dyDescent="0.3">
      <c r="A178">
        <v>6492</v>
      </c>
      <c r="B178">
        <v>6</v>
      </c>
      <c r="C178" t="s">
        <v>481</v>
      </c>
      <c r="D178">
        <v>120</v>
      </c>
      <c r="E178" s="5">
        <v>46020.868750000001</v>
      </c>
      <c r="F178" t="s">
        <v>482</v>
      </c>
      <c r="G178" t="s">
        <v>23</v>
      </c>
      <c r="H178" t="s">
        <v>346</v>
      </c>
      <c r="I178">
        <v>120</v>
      </c>
      <c r="J178">
        <v>77864585</v>
      </c>
      <c r="K178" s="5">
        <v>46020</v>
      </c>
      <c r="L178" s="3">
        <v>19610</v>
      </c>
      <c r="M178" t="s">
        <v>459</v>
      </c>
      <c r="N178" t="s">
        <v>56</v>
      </c>
      <c r="O178" t="s">
        <v>483</v>
      </c>
      <c r="P178" s="3">
        <v>19600</v>
      </c>
      <c r="Q178">
        <v>120</v>
      </c>
      <c r="R178" t="s">
        <v>484</v>
      </c>
      <c r="S178" t="s">
        <v>462</v>
      </c>
      <c r="T178" t="s">
        <v>351</v>
      </c>
      <c r="U178" t="s">
        <v>177</v>
      </c>
      <c r="V178" s="3">
        <f>Tabla1[[#This Row],[OS-Valor Unitario]]-Tabla1[[#This Row],[costo_antes_iva]]</f>
        <v>-10</v>
      </c>
      <c r="W178" s="3">
        <f>Tabla1[[#This Row],[OS-Valor Unitario]]*Tabla1[[#This Row],[OS-Cantidad]]</f>
        <v>2352000</v>
      </c>
      <c r="X178" s="3">
        <f>Tabla1[[#This Row],[costo_antes_iva]]*Tabla1[[#This Row],[OS-Cantidad]]</f>
        <v>2353200</v>
      </c>
      <c r="Y178" s="3">
        <f>Tabla1[[#This Row],[Valor total OS]]-Tabla1[[#This Row],[valor total op]]</f>
        <v>-1200</v>
      </c>
    </row>
    <row r="179" spans="1:25" x14ac:dyDescent="0.3">
      <c r="A179">
        <v>6492</v>
      </c>
      <c r="B179">
        <v>8</v>
      </c>
      <c r="C179" t="s">
        <v>485</v>
      </c>
      <c r="D179">
        <v>50</v>
      </c>
      <c r="E179" s="5">
        <v>46020.868750000001</v>
      </c>
      <c r="F179" t="s">
        <v>486</v>
      </c>
      <c r="G179" t="s">
        <v>487</v>
      </c>
      <c r="H179" t="s">
        <v>346</v>
      </c>
      <c r="I179">
        <v>50</v>
      </c>
      <c r="J179">
        <v>77864591</v>
      </c>
      <c r="K179" s="5">
        <v>46020</v>
      </c>
      <c r="L179" s="3">
        <v>1000</v>
      </c>
      <c r="M179" t="s">
        <v>459</v>
      </c>
      <c r="N179" t="s">
        <v>26</v>
      </c>
      <c r="O179" t="s">
        <v>488</v>
      </c>
      <c r="P179" s="3">
        <v>900</v>
      </c>
      <c r="Q179">
        <v>51</v>
      </c>
      <c r="R179" t="s">
        <v>489</v>
      </c>
      <c r="S179" t="s">
        <v>462</v>
      </c>
      <c r="T179" t="s">
        <v>351</v>
      </c>
      <c r="U179" t="s">
        <v>177</v>
      </c>
      <c r="V179" s="3">
        <f>Tabla1[[#This Row],[OS-Valor Unitario]]-Tabla1[[#This Row],[costo_antes_iva]]</f>
        <v>-100</v>
      </c>
      <c r="W179" s="3">
        <f>Tabla1[[#This Row],[OS-Valor Unitario]]*Tabla1[[#This Row],[OS-Cantidad]]</f>
        <v>45900</v>
      </c>
      <c r="X179" s="3">
        <f>Tabla1[[#This Row],[costo_antes_iva]]*Tabla1[[#This Row],[OS-Cantidad]]</f>
        <v>51000</v>
      </c>
      <c r="Y179" s="3">
        <f>Tabla1[[#This Row],[Valor total OS]]-Tabla1[[#This Row],[valor total op]]</f>
        <v>-5100</v>
      </c>
    </row>
    <row r="180" spans="1:25" x14ac:dyDescent="0.3">
      <c r="A180">
        <v>6492</v>
      </c>
      <c r="B180">
        <v>8</v>
      </c>
      <c r="C180" t="s">
        <v>485</v>
      </c>
      <c r="D180">
        <v>50</v>
      </c>
      <c r="E180" s="5">
        <v>46020.868750000001</v>
      </c>
      <c r="F180" t="s">
        <v>486</v>
      </c>
      <c r="G180" t="s">
        <v>487</v>
      </c>
      <c r="H180" t="s">
        <v>346</v>
      </c>
      <c r="I180">
        <v>50</v>
      </c>
      <c r="J180">
        <v>77864591</v>
      </c>
      <c r="K180" s="5">
        <v>46020</v>
      </c>
      <c r="L180" s="3">
        <v>11500</v>
      </c>
      <c r="M180" t="s">
        <v>459</v>
      </c>
      <c r="N180" t="s">
        <v>56</v>
      </c>
      <c r="O180" t="s">
        <v>488</v>
      </c>
      <c r="P180" s="3">
        <v>12000</v>
      </c>
      <c r="Q180">
        <v>51</v>
      </c>
      <c r="R180" t="s">
        <v>490</v>
      </c>
      <c r="S180" t="s">
        <v>462</v>
      </c>
      <c r="T180" t="s">
        <v>351</v>
      </c>
      <c r="U180" t="s">
        <v>177</v>
      </c>
      <c r="V180" s="3">
        <f>Tabla1[[#This Row],[OS-Valor Unitario]]-Tabla1[[#This Row],[costo_antes_iva]]</f>
        <v>500</v>
      </c>
      <c r="W180" s="3">
        <f>Tabla1[[#This Row],[OS-Valor Unitario]]*Tabla1[[#This Row],[OS-Cantidad]]</f>
        <v>612000</v>
      </c>
      <c r="X180" s="3">
        <f>Tabla1[[#This Row],[costo_antes_iva]]*Tabla1[[#This Row],[OS-Cantidad]]</f>
        <v>586500</v>
      </c>
      <c r="Y180" s="3">
        <f>Tabla1[[#This Row],[Valor total OS]]-Tabla1[[#This Row],[valor total op]]</f>
        <v>25500</v>
      </c>
    </row>
    <row r="181" spans="1:25" x14ac:dyDescent="0.3">
      <c r="A181">
        <v>6492</v>
      </c>
      <c r="B181">
        <v>9</v>
      </c>
      <c r="C181" t="s">
        <v>491</v>
      </c>
      <c r="D181">
        <v>22</v>
      </c>
      <c r="E181" s="5">
        <v>46020.868750000001</v>
      </c>
      <c r="F181" t="s">
        <v>492</v>
      </c>
      <c r="G181" t="s">
        <v>128</v>
      </c>
      <c r="H181" t="s">
        <v>346</v>
      </c>
      <c r="I181">
        <v>22</v>
      </c>
      <c r="J181">
        <v>77864602</v>
      </c>
      <c r="K181" s="5">
        <v>46020</v>
      </c>
      <c r="L181" s="3">
        <v>7000</v>
      </c>
      <c r="M181" t="s">
        <v>459</v>
      </c>
      <c r="N181" t="s">
        <v>56</v>
      </c>
      <c r="O181" t="s">
        <v>493</v>
      </c>
      <c r="P181" s="3">
        <v>8500</v>
      </c>
      <c r="Q181">
        <v>22</v>
      </c>
      <c r="R181" t="s">
        <v>494</v>
      </c>
      <c r="S181" t="s">
        <v>462</v>
      </c>
      <c r="T181" t="s">
        <v>351</v>
      </c>
      <c r="U181" t="s">
        <v>177</v>
      </c>
      <c r="V181" s="3">
        <f>Tabla1[[#This Row],[OS-Valor Unitario]]-Tabla1[[#This Row],[costo_antes_iva]]</f>
        <v>1500</v>
      </c>
      <c r="W181" s="3">
        <f>Tabla1[[#This Row],[OS-Valor Unitario]]*Tabla1[[#This Row],[OS-Cantidad]]</f>
        <v>187000</v>
      </c>
      <c r="X181" s="3">
        <f>Tabla1[[#This Row],[costo_antes_iva]]*Tabla1[[#This Row],[OS-Cantidad]]</f>
        <v>154000</v>
      </c>
      <c r="Y181" s="3">
        <f>Tabla1[[#This Row],[Valor total OS]]-Tabla1[[#This Row],[valor total op]]</f>
        <v>33000</v>
      </c>
    </row>
    <row r="182" spans="1:25" x14ac:dyDescent="0.3">
      <c r="A182">
        <v>6492</v>
      </c>
      <c r="B182">
        <v>9</v>
      </c>
      <c r="C182" t="s">
        <v>491</v>
      </c>
      <c r="D182">
        <v>22</v>
      </c>
      <c r="E182" s="5">
        <v>46020.868750000001</v>
      </c>
      <c r="F182" t="s">
        <v>492</v>
      </c>
      <c r="G182" t="s">
        <v>128</v>
      </c>
      <c r="H182" t="s">
        <v>346</v>
      </c>
      <c r="I182">
        <v>22</v>
      </c>
      <c r="J182">
        <v>77864602</v>
      </c>
      <c r="K182" s="5">
        <v>46020</v>
      </c>
      <c r="L182" s="3">
        <v>1300</v>
      </c>
      <c r="M182" t="s">
        <v>459</v>
      </c>
      <c r="N182" t="s">
        <v>72</v>
      </c>
      <c r="O182" t="s">
        <v>493</v>
      </c>
      <c r="P182" s="3">
        <v>1600</v>
      </c>
      <c r="Q182">
        <v>22</v>
      </c>
      <c r="R182" t="s">
        <v>495</v>
      </c>
      <c r="S182" t="s">
        <v>462</v>
      </c>
      <c r="T182" t="s">
        <v>351</v>
      </c>
      <c r="U182" t="s">
        <v>177</v>
      </c>
      <c r="V182" s="3">
        <f>Tabla1[[#This Row],[OS-Valor Unitario]]-Tabla1[[#This Row],[costo_antes_iva]]</f>
        <v>300</v>
      </c>
      <c r="W182" s="3">
        <f>Tabla1[[#This Row],[OS-Valor Unitario]]*Tabla1[[#This Row],[OS-Cantidad]]</f>
        <v>35200</v>
      </c>
      <c r="X182" s="3">
        <f>Tabla1[[#This Row],[costo_antes_iva]]*Tabla1[[#This Row],[OS-Cantidad]]</f>
        <v>28600</v>
      </c>
      <c r="Y182" s="3">
        <f>Tabla1[[#This Row],[Valor total OS]]-Tabla1[[#This Row],[valor total op]]</f>
        <v>6600</v>
      </c>
    </row>
    <row r="183" spans="1:25" x14ac:dyDescent="0.3">
      <c r="A183">
        <v>6492</v>
      </c>
      <c r="B183">
        <v>10</v>
      </c>
      <c r="C183" t="s">
        <v>496</v>
      </c>
      <c r="D183">
        <v>120</v>
      </c>
      <c r="E183" s="5">
        <v>46020.868750000001</v>
      </c>
      <c r="F183" t="s">
        <v>497</v>
      </c>
      <c r="G183" t="s">
        <v>345</v>
      </c>
      <c r="H183" t="s">
        <v>346</v>
      </c>
      <c r="I183">
        <v>30</v>
      </c>
      <c r="J183">
        <v>77864618</v>
      </c>
      <c r="K183" s="5">
        <v>46020</v>
      </c>
      <c r="L183" s="3">
        <v>800</v>
      </c>
      <c r="M183" t="s">
        <v>459</v>
      </c>
      <c r="N183" t="s">
        <v>72</v>
      </c>
      <c r="O183" t="s">
        <v>498</v>
      </c>
      <c r="P183" s="3">
        <v>1400</v>
      </c>
      <c r="Q183">
        <v>120</v>
      </c>
      <c r="R183" t="s">
        <v>499</v>
      </c>
      <c r="S183" t="s">
        <v>462</v>
      </c>
      <c r="T183" t="s">
        <v>351</v>
      </c>
      <c r="U183" t="s">
        <v>177</v>
      </c>
      <c r="V183" s="3">
        <f>Tabla1[[#This Row],[OS-Valor Unitario]]-Tabla1[[#This Row],[costo_antes_iva]]</f>
        <v>600</v>
      </c>
      <c r="W183" s="3">
        <f>Tabla1[[#This Row],[OS-Valor Unitario]]*Tabla1[[#This Row],[OS-Cantidad]]</f>
        <v>168000</v>
      </c>
      <c r="X183" s="3">
        <f>Tabla1[[#This Row],[costo_antes_iva]]*Tabla1[[#This Row],[OS-Cantidad]]</f>
        <v>96000</v>
      </c>
      <c r="Y183" s="3">
        <f>Tabla1[[#This Row],[Valor total OS]]-Tabla1[[#This Row],[valor total op]]</f>
        <v>72000</v>
      </c>
    </row>
    <row r="184" spans="1:25" x14ac:dyDescent="0.3">
      <c r="A184">
        <v>6492</v>
      </c>
      <c r="B184">
        <v>10</v>
      </c>
      <c r="C184" t="s">
        <v>496</v>
      </c>
      <c r="D184">
        <v>120</v>
      </c>
      <c r="E184" s="5">
        <v>46020.868750000001</v>
      </c>
      <c r="F184" t="s">
        <v>497</v>
      </c>
      <c r="G184" t="s">
        <v>345</v>
      </c>
      <c r="H184" t="s">
        <v>346</v>
      </c>
      <c r="I184">
        <v>30</v>
      </c>
      <c r="J184">
        <v>77864618</v>
      </c>
      <c r="K184" s="5">
        <v>46020</v>
      </c>
      <c r="L184" s="3">
        <v>15000</v>
      </c>
      <c r="M184" t="s">
        <v>459</v>
      </c>
      <c r="N184" t="s">
        <v>56</v>
      </c>
      <c r="O184" t="s">
        <v>498</v>
      </c>
      <c r="P184" s="3">
        <v>15500</v>
      </c>
      <c r="Q184">
        <v>120</v>
      </c>
      <c r="R184" t="s">
        <v>500</v>
      </c>
      <c r="S184" t="s">
        <v>462</v>
      </c>
      <c r="T184" t="s">
        <v>351</v>
      </c>
      <c r="U184" t="s">
        <v>177</v>
      </c>
      <c r="V184" s="3">
        <f>Tabla1[[#This Row],[OS-Valor Unitario]]-Tabla1[[#This Row],[costo_antes_iva]]</f>
        <v>500</v>
      </c>
      <c r="W184" s="3">
        <f>Tabla1[[#This Row],[OS-Valor Unitario]]*Tabla1[[#This Row],[OS-Cantidad]]</f>
        <v>1860000</v>
      </c>
      <c r="X184" s="3">
        <f>Tabla1[[#This Row],[costo_antes_iva]]*Tabla1[[#This Row],[OS-Cantidad]]</f>
        <v>1800000</v>
      </c>
      <c r="Y184" s="3">
        <f>Tabla1[[#This Row],[Valor total OS]]-Tabla1[[#This Row],[valor total op]]</f>
        <v>60000</v>
      </c>
    </row>
    <row r="185" spans="1:25" x14ac:dyDescent="0.3">
      <c r="A185">
        <v>6492</v>
      </c>
      <c r="B185">
        <v>11</v>
      </c>
      <c r="C185" t="s">
        <v>501</v>
      </c>
      <c r="D185">
        <v>200</v>
      </c>
      <c r="E185" s="5">
        <v>46020.868750000001</v>
      </c>
      <c r="F185" t="s">
        <v>502</v>
      </c>
      <c r="G185" t="s">
        <v>264</v>
      </c>
      <c r="H185" t="s">
        <v>346</v>
      </c>
      <c r="I185">
        <v>200</v>
      </c>
      <c r="J185">
        <v>77864629</v>
      </c>
      <c r="K185" s="5">
        <v>46020</v>
      </c>
      <c r="L185" s="3">
        <v>11500</v>
      </c>
      <c r="M185" t="s">
        <v>459</v>
      </c>
      <c r="N185" t="s">
        <v>56</v>
      </c>
      <c r="O185" t="s">
        <v>503</v>
      </c>
      <c r="P185" s="3">
        <v>12000</v>
      </c>
      <c r="Q185">
        <v>200</v>
      </c>
      <c r="R185" t="s">
        <v>504</v>
      </c>
      <c r="S185" t="s">
        <v>462</v>
      </c>
      <c r="T185" t="s">
        <v>351</v>
      </c>
      <c r="U185" t="s">
        <v>177</v>
      </c>
      <c r="V185" s="3">
        <f>Tabla1[[#This Row],[OS-Valor Unitario]]-Tabla1[[#This Row],[costo_antes_iva]]</f>
        <v>500</v>
      </c>
      <c r="W185" s="3">
        <f>Tabla1[[#This Row],[OS-Valor Unitario]]*Tabla1[[#This Row],[OS-Cantidad]]</f>
        <v>2400000</v>
      </c>
      <c r="X185" s="3">
        <f>Tabla1[[#This Row],[costo_antes_iva]]*Tabla1[[#This Row],[OS-Cantidad]]</f>
        <v>2300000</v>
      </c>
      <c r="Y185" s="3">
        <f>Tabla1[[#This Row],[Valor total OS]]-Tabla1[[#This Row],[valor total op]]</f>
        <v>100000</v>
      </c>
    </row>
    <row r="186" spans="1:25" x14ac:dyDescent="0.3">
      <c r="A186">
        <v>6492</v>
      </c>
      <c r="B186">
        <v>12</v>
      </c>
      <c r="C186" t="s">
        <v>505</v>
      </c>
      <c r="D186">
        <v>40</v>
      </c>
      <c r="E186" s="5">
        <v>46020.868750000001</v>
      </c>
      <c r="F186" t="s">
        <v>506</v>
      </c>
      <c r="G186" t="s">
        <v>294</v>
      </c>
      <c r="H186" t="s">
        <v>346</v>
      </c>
      <c r="I186">
        <v>40</v>
      </c>
      <c r="J186">
        <v>77864643</v>
      </c>
      <c r="K186" s="5">
        <v>46020</v>
      </c>
      <c r="L186" s="3">
        <v>1000</v>
      </c>
      <c r="M186" t="s">
        <v>459</v>
      </c>
      <c r="N186" t="s">
        <v>26</v>
      </c>
      <c r="O186" t="s">
        <v>507</v>
      </c>
      <c r="P186" s="3">
        <v>1200</v>
      </c>
      <c r="Q186">
        <v>40</v>
      </c>
      <c r="R186" t="s">
        <v>508</v>
      </c>
      <c r="S186" t="s">
        <v>462</v>
      </c>
      <c r="T186" t="s">
        <v>351</v>
      </c>
      <c r="U186" t="s">
        <v>177</v>
      </c>
      <c r="V186" s="3">
        <f>Tabla1[[#This Row],[OS-Valor Unitario]]-Tabla1[[#This Row],[costo_antes_iva]]</f>
        <v>200</v>
      </c>
      <c r="W186" s="3">
        <f>Tabla1[[#This Row],[OS-Valor Unitario]]*Tabla1[[#This Row],[OS-Cantidad]]</f>
        <v>48000</v>
      </c>
      <c r="X186" s="3">
        <f>Tabla1[[#This Row],[costo_antes_iva]]*Tabla1[[#This Row],[OS-Cantidad]]</f>
        <v>40000</v>
      </c>
      <c r="Y186" s="3">
        <f>Tabla1[[#This Row],[Valor total OS]]-Tabla1[[#This Row],[valor total op]]</f>
        <v>8000</v>
      </c>
    </row>
    <row r="187" spans="1:25" x14ac:dyDescent="0.3">
      <c r="A187">
        <v>6492</v>
      </c>
      <c r="B187">
        <v>13</v>
      </c>
      <c r="C187" t="s">
        <v>509</v>
      </c>
      <c r="D187">
        <v>60</v>
      </c>
      <c r="E187" s="5">
        <v>46020.868750000001</v>
      </c>
      <c r="F187" t="s">
        <v>510</v>
      </c>
      <c r="G187" t="s">
        <v>23</v>
      </c>
      <c r="H187" t="s">
        <v>346</v>
      </c>
      <c r="I187">
        <v>60</v>
      </c>
      <c r="J187">
        <v>77869372</v>
      </c>
      <c r="K187" s="5">
        <v>46020</v>
      </c>
      <c r="L187" s="3">
        <v>39220</v>
      </c>
      <c r="M187" t="s">
        <v>511</v>
      </c>
      <c r="N187" t="s">
        <v>56</v>
      </c>
      <c r="O187" t="s">
        <v>512</v>
      </c>
      <c r="P187" s="3">
        <v>39200</v>
      </c>
      <c r="Q187">
        <v>60</v>
      </c>
      <c r="R187" t="s">
        <v>513</v>
      </c>
      <c r="S187" t="s">
        <v>514</v>
      </c>
      <c r="T187" t="s">
        <v>515</v>
      </c>
      <c r="U187" t="s">
        <v>177</v>
      </c>
      <c r="V187" s="3">
        <f>Tabla1[[#This Row],[OS-Valor Unitario]]-Tabla1[[#This Row],[costo_antes_iva]]</f>
        <v>-20</v>
      </c>
      <c r="W187" s="3">
        <f>Tabla1[[#This Row],[OS-Valor Unitario]]*Tabla1[[#This Row],[OS-Cantidad]]</f>
        <v>2352000</v>
      </c>
      <c r="X187" s="3">
        <f>Tabla1[[#This Row],[costo_antes_iva]]*Tabla1[[#This Row],[OS-Cantidad]]</f>
        <v>2353200</v>
      </c>
      <c r="Y187" s="3">
        <f>Tabla1[[#This Row],[Valor total OS]]-Tabla1[[#This Row],[valor total op]]</f>
        <v>-1200</v>
      </c>
    </row>
    <row r="188" spans="1:25" x14ac:dyDescent="0.3">
      <c r="A188">
        <v>6492</v>
      </c>
      <c r="B188">
        <v>13</v>
      </c>
      <c r="C188" t="s">
        <v>509</v>
      </c>
      <c r="D188">
        <v>60</v>
      </c>
      <c r="E188" s="5">
        <v>46020.868750000001</v>
      </c>
      <c r="F188" t="s">
        <v>510</v>
      </c>
      <c r="G188" t="s">
        <v>23</v>
      </c>
      <c r="H188" t="s">
        <v>346</v>
      </c>
      <c r="I188">
        <v>60</v>
      </c>
      <c r="J188">
        <v>77869372</v>
      </c>
      <c r="K188" s="5">
        <v>46020</v>
      </c>
      <c r="L188" s="3">
        <v>39220</v>
      </c>
      <c r="M188" t="s">
        <v>511</v>
      </c>
      <c r="N188" t="s">
        <v>56</v>
      </c>
      <c r="O188" t="s">
        <v>512</v>
      </c>
      <c r="P188" s="3">
        <v>39200</v>
      </c>
      <c r="Q188">
        <v>60</v>
      </c>
      <c r="R188" t="s">
        <v>513</v>
      </c>
      <c r="S188" t="s">
        <v>514</v>
      </c>
      <c r="T188" t="s">
        <v>516</v>
      </c>
      <c r="U188" t="s">
        <v>177</v>
      </c>
      <c r="V188" s="3">
        <f>Tabla1[[#This Row],[OS-Valor Unitario]]-Tabla1[[#This Row],[costo_antes_iva]]</f>
        <v>-20</v>
      </c>
      <c r="W188" s="3">
        <f>Tabla1[[#This Row],[OS-Valor Unitario]]*Tabla1[[#This Row],[OS-Cantidad]]</f>
        <v>2352000</v>
      </c>
      <c r="X188" s="3">
        <f>Tabla1[[#This Row],[costo_antes_iva]]*Tabla1[[#This Row],[OS-Cantidad]]</f>
        <v>2353200</v>
      </c>
      <c r="Y188" s="3">
        <f>Tabla1[[#This Row],[Valor total OS]]-Tabla1[[#This Row],[valor total op]]</f>
        <v>-1200</v>
      </c>
    </row>
    <row r="189" spans="1:25" x14ac:dyDescent="0.3">
      <c r="A189">
        <v>6492</v>
      </c>
      <c r="B189">
        <v>13</v>
      </c>
      <c r="C189" t="s">
        <v>509</v>
      </c>
      <c r="D189">
        <v>60</v>
      </c>
      <c r="E189" s="5">
        <v>46020.868750000001</v>
      </c>
      <c r="F189" t="s">
        <v>510</v>
      </c>
      <c r="G189" t="s">
        <v>517</v>
      </c>
      <c r="H189" t="s">
        <v>346</v>
      </c>
      <c r="I189">
        <v>50</v>
      </c>
      <c r="J189">
        <v>77869378</v>
      </c>
      <c r="K189" s="5">
        <v>46020</v>
      </c>
      <c r="L189" s="3">
        <v>12500</v>
      </c>
      <c r="M189" t="s">
        <v>518</v>
      </c>
      <c r="N189" t="s">
        <v>56</v>
      </c>
      <c r="O189" t="s">
        <v>512</v>
      </c>
      <c r="P189" s="3">
        <v>39200</v>
      </c>
      <c r="Q189">
        <v>60</v>
      </c>
      <c r="R189" t="s">
        <v>513</v>
      </c>
      <c r="S189" t="s">
        <v>514</v>
      </c>
      <c r="T189" t="s">
        <v>515</v>
      </c>
      <c r="U189" t="s">
        <v>177</v>
      </c>
      <c r="V189" s="3">
        <f>Tabla1[[#This Row],[OS-Valor Unitario]]-Tabla1[[#This Row],[costo_antes_iva]]</f>
        <v>26700</v>
      </c>
      <c r="W189" s="3">
        <f>Tabla1[[#This Row],[OS-Valor Unitario]]*Tabla1[[#This Row],[OS-Cantidad]]</f>
        <v>2352000</v>
      </c>
      <c r="X189" s="3">
        <f>Tabla1[[#This Row],[costo_antes_iva]]*Tabla1[[#This Row],[OS-Cantidad]]</f>
        <v>750000</v>
      </c>
      <c r="Y189" s="3">
        <f>Tabla1[[#This Row],[Valor total OS]]-Tabla1[[#This Row],[valor total op]]</f>
        <v>1602000</v>
      </c>
    </row>
    <row r="190" spans="1:25" x14ac:dyDescent="0.3">
      <c r="A190">
        <v>6492</v>
      </c>
      <c r="B190">
        <v>13</v>
      </c>
      <c r="C190" t="s">
        <v>509</v>
      </c>
      <c r="D190">
        <v>60</v>
      </c>
      <c r="E190" s="5">
        <v>46020.868750000001</v>
      </c>
      <c r="F190" t="s">
        <v>510</v>
      </c>
      <c r="G190" t="s">
        <v>517</v>
      </c>
      <c r="H190" t="s">
        <v>346</v>
      </c>
      <c r="I190">
        <v>50</v>
      </c>
      <c r="J190">
        <v>77869378</v>
      </c>
      <c r="K190" s="5">
        <v>46020</v>
      </c>
      <c r="L190" s="3">
        <v>12500</v>
      </c>
      <c r="M190" t="s">
        <v>518</v>
      </c>
      <c r="N190" t="s">
        <v>56</v>
      </c>
      <c r="O190" t="s">
        <v>512</v>
      </c>
      <c r="P190" s="3">
        <v>39200</v>
      </c>
      <c r="Q190">
        <v>60</v>
      </c>
      <c r="R190" t="s">
        <v>513</v>
      </c>
      <c r="S190" t="s">
        <v>514</v>
      </c>
      <c r="T190" t="s">
        <v>516</v>
      </c>
      <c r="U190" t="s">
        <v>177</v>
      </c>
      <c r="V190" s="3">
        <f>Tabla1[[#This Row],[OS-Valor Unitario]]-Tabla1[[#This Row],[costo_antes_iva]]</f>
        <v>26700</v>
      </c>
      <c r="W190" s="3">
        <f>Tabla1[[#This Row],[OS-Valor Unitario]]*Tabla1[[#This Row],[OS-Cantidad]]</f>
        <v>2352000</v>
      </c>
      <c r="X190" s="3">
        <f>Tabla1[[#This Row],[costo_antes_iva]]*Tabla1[[#This Row],[OS-Cantidad]]</f>
        <v>750000</v>
      </c>
      <c r="Y190" s="3">
        <f>Tabla1[[#This Row],[Valor total OS]]-Tabla1[[#This Row],[valor total op]]</f>
        <v>1602000</v>
      </c>
    </row>
    <row r="191" spans="1:25" x14ac:dyDescent="0.3">
      <c r="A191">
        <v>6492</v>
      </c>
      <c r="B191">
        <v>13</v>
      </c>
      <c r="C191" t="s">
        <v>509</v>
      </c>
      <c r="D191">
        <v>60</v>
      </c>
      <c r="E191" s="5">
        <v>46020.868750000001</v>
      </c>
      <c r="F191" t="s">
        <v>510</v>
      </c>
      <c r="G191" t="s">
        <v>517</v>
      </c>
      <c r="H191" t="s">
        <v>346</v>
      </c>
      <c r="I191">
        <v>10</v>
      </c>
      <c r="J191">
        <v>77863835</v>
      </c>
      <c r="K191" s="5">
        <v>46020</v>
      </c>
      <c r="L191" s="3">
        <v>7500</v>
      </c>
      <c r="M191" t="s">
        <v>519</v>
      </c>
      <c r="N191" t="s">
        <v>56</v>
      </c>
      <c r="O191" t="s">
        <v>512</v>
      </c>
      <c r="P191" s="3">
        <v>39200</v>
      </c>
      <c r="Q191">
        <v>60</v>
      </c>
      <c r="R191" t="s">
        <v>513</v>
      </c>
      <c r="S191" t="s">
        <v>514</v>
      </c>
      <c r="T191" t="s">
        <v>515</v>
      </c>
      <c r="U191" t="s">
        <v>177</v>
      </c>
      <c r="V191" s="3">
        <f>Tabla1[[#This Row],[OS-Valor Unitario]]-Tabla1[[#This Row],[costo_antes_iva]]</f>
        <v>31700</v>
      </c>
      <c r="W191" s="3">
        <f>Tabla1[[#This Row],[OS-Valor Unitario]]*Tabla1[[#This Row],[OS-Cantidad]]</f>
        <v>2352000</v>
      </c>
      <c r="X191" s="3">
        <f>Tabla1[[#This Row],[costo_antes_iva]]*Tabla1[[#This Row],[OS-Cantidad]]</f>
        <v>450000</v>
      </c>
      <c r="Y191" s="3">
        <f>Tabla1[[#This Row],[Valor total OS]]-Tabla1[[#This Row],[valor total op]]</f>
        <v>1902000</v>
      </c>
    </row>
    <row r="192" spans="1:25" x14ac:dyDescent="0.3">
      <c r="A192">
        <v>6492</v>
      </c>
      <c r="B192">
        <v>13</v>
      </c>
      <c r="C192" t="s">
        <v>509</v>
      </c>
      <c r="D192">
        <v>60</v>
      </c>
      <c r="E192" s="5">
        <v>46020.868750000001</v>
      </c>
      <c r="F192" t="s">
        <v>510</v>
      </c>
      <c r="G192" t="s">
        <v>517</v>
      </c>
      <c r="H192" t="s">
        <v>346</v>
      </c>
      <c r="I192">
        <v>10</v>
      </c>
      <c r="J192">
        <v>77863835</v>
      </c>
      <c r="K192" s="5">
        <v>46020</v>
      </c>
      <c r="L192" s="3">
        <v>7500</v>
      </c>
      <c r="M192" t="s">
        <v>519</v>
      </c>
      <c r="N192" t="s">
        <v>56</v>
      </c>
      <c r="O192" t="s">
        <v>512</v>
      </c>
      <c r="P192" s="3">
        <v>39200</v>
      </c>
      <c r="Q192">
        <v>60</v>
      </c>
      <c r="R192" t="s">
        <v>513</v>
      </c>
      <c r="S192" t="s">
        <v>514</v>
      </c>
      <c r="T192" t="s">
        <v>516</v>
      </c>
      <c r="U192" t="s">
        <v>177</v>
      </c>
      <c r="V192" s="3">
        <f>Tabla1[[#This Row],[OS-Valor Unitario]]-Tabla1[[#This Row],[costo_antes_iva]]</f>
        <v>31700</v>
      </c>
      <c r="W192" s="3">
        <f>Tabla1[[#This Row],[OS-Valor Unitario]]*Tabla1[[#This Row],[OS-Cantidad]]</f>
        <v>2352000</v>
      </c>
      <c r="X192" s="3">
        <f>Tabla1[[#This Row],[costo_antes_iva]]*Tabla1[[#This Row],[OS-Cantidad]]</f>
        <v>450000</v>
      </c>
      <c r="Y192" s="3">
        <f>Tabla1[[#This Row],[Valor total OS]]-Tabla1[[#This Row],[valor total op]]</f>
        <v>1902000</v>
      </c>
    </row>
    <row r="193" spans="1:25" x14ac:dyDescent="0.3">
      <c r="A193">
        <v>6492</v>
      </c>
      <c r="B193">
        <v>14</v>
      </c>
      <c r="C193" t="s">
        <v>520</v>
      </c>
      <c r="D193">
        <v>10</v>
      </c>
      <c r="E193" s="5">
        <v>46020.868750000001</v>
      </c>
      <c r="F193" t="s">
        <v>521</v>
      </c>
      <c r="G193" t="s">
        <v>345</v>
      </c>
      <c r="H193" t="s">
        <v>346</v>
      </c>
      <c r="I193">
        <v>10</v>
      </c>
      <c r="J193">
        <v>77864652</v>
      </c>
      <c r="K193" s="5">
        <v>46020</v>
      </c>
      <c r="L193" s="3">
        <v>1500</v>
      </c>
      <c r="M193" t="s">
        <v>459</v>
      </c>
      <c r="N193" t="s">
        <v>72</v>
      </c>
      <c r="O193" t="s">
        <v>522</v>
      </c>
      <c r="P193" s="3">
        <v>6000</v>
      </c>
      <c r="Q193">
        <v>10</v>
      </c>
      <c r="R193" t="s">
        <v>523</v>
      </c>
      <c r="S193" t="s">
        <v>462</v>
      </c>
      <c r="T193" t="s">
        <v>351</v>
      </c>
      <c r="U193" t="s">
        <v>177</v>
      </c>
      <c r="V193" s="3">
        <f>Tabla1[[#This Row],[OS-Valor Unitario]]-Tabla1[[#This Row],[costo_antes_iva]]</f>
        <v>4500</v>
      </c>
      <c r="W193" s="3">
        <f>Tabla1[[#This Row],[OS-Valor Unitario]]*Tabla1[[#This Row],[OS-Cantidad]]</f>
        <v>60000</v>
      </c>
      <c r="X193" s="3">
        <f>Tabla1[[#This Row],[costo_antes_iva]]*Tabla1[[#This Row],[OS-Cantidad]]</f>
        <v>15000</v>
      </c>
      <c r="Y193" s="3">
        <f>Tabla1[[#This Row],[Valor total OS]]-Tabla1[[#This Row],[valor total op]]</f>
        <v>45000</v>
      </c>
    </row>
    <row r="194" spans="1:25" x14ac:dyDescent="0.3">
      <c r="A194">
        <v>6492</v>
      </c>
      <c r="B194">
        <v>14</v>
      </c>
      <c r="C194" t="s">
        <v>520</v>
      </c>
      <c r="D194">
        <v>10</v>
      </c>
      <c r="E194" s="5">
        <v>46020.868750000001</v>
      </c>
      <c r="F194" t="s">
        <v>521</v>
      </c>
      <c r="G194" t="s">
        <v>345</v>
      </c>
      <c r="H194" t="s">
        <v>346</v>
      </c>
      <c r="I194">
        <v>10</v>
      </c>
      <c r="J194">
        <v>77864652</v>
      </c>
      <c r="K194" s="5">
        <v>46020</v>
      </c>
      <c r="L194" s="3">
        <v>13000</v>
      </c>
      <c r="M194" t="s">
        <v>459</v>
      </c>
      <c r="N194" t="s">
        <v>56</v>
      </c>
      <c r="O194" t="s">
        <v>522</v>
      </c>
      <c r="P194" s="3">
        <v>14000</v>
      </c>
      <c r="Q194">
        <v>10</v>
      </c>
      <c r="R194" t="s">
        <v>524</v>
      </c>
      <c r="S194" t="s">
        <v>462</v>
      </c>
      <c r="T194" t="s">
        <v>351</v>
      </c>
      <c r="U194" t="s">
        <v>177</v>
      </c>
      <c r="V194" s="3">
        <f>Tabla1[[#This Row],[OS-Valor Unitario]]-Tabla1[[#This Row],[costo_antes_iva]]</f>
        <v>1000</v>
      </c>
      <c r="W194" s="3">
        <f>Tabla1[[#This Row],[OS-Valor Unitario]]*Tabla1[[#This Row],[OS-Cantidad]]</f>
        <v>140000</v>
      </c>
      <c r="X194" s="3">
        <f>Tabla1[[#This Row],[costo_antes_iva]]*Tabla1[[#This Row],[OS-Cantidad]]</f>
        <v>130000</v>
      </c>
      <c r="Y194" s="3">
        <f>Tabla1[[#This Row],[Valor total OS]]-Tabla1[[#This Row],[valor total op]]</f>
        <v>10000</v>
      </c>
    </row>
    <row r="195" spans="1:25" x14ac:dyDescent="0.3">
      <c r="A195">
        <v>6492</v>
      </c>
      <c r="B195">
        <v>15</v>
      </c>
      <c r="C195" t="s">
        <v>525</v>
      </c>
      <c r="D195">
        <v>50</v>
      </c>
      <c r="E195" s="5">
        <v>46020.868750000001</v>
      </c>
      <c r="F195" t="s">
        <v>510</v>
      </c>
      <c r="G195" t="s">
        <v>23</v>
      </c>
      <c r="H195" t="s">
        <v>346</v>
      </c>
      <c r="I195">
        <v>60</v>
      </c>
      <c r="J195">
        <v>77869372</v>
      </c>
      <c r="K195" s="5">
        <v>46020</v>
      </c>
      <c r="L195" s="3">
        <v>39220</v>
      </c>
      <c r="M195" t="s">
        <v>511</v>
      </c>
      <c r="N195" t="s">
        <v>56</v>
      </c>
      <c r="O195" t="s">
        <v>526</v>
      </c>
      <c r="P195" s="3">
        <v>9000</v>
      </c>
      <c r="Q195">
        <v>50</v>
      </c>
      <c r="R195" t="s">
        <v>527</v>
      </c>
      <c r="S195" t="s">
        <v>514</v>
      </c>
      <c r="T195" t="s">
        <v>515</v>
      </c>
      <c r="U195" t="s">
        <v>177</v>
      </c>
      <c r="V195" s="3">
        <f>Tabla1[[#This Row],[OS-Valor Unitario]]-Tabla1[[#This Row],[costo_antes_iva]]</f>
        <v>-30220</v>
      </c>
      <c r="W195" s="3">
        <f>Tabla1[[#This Row],[OS-Valor Unitario]]*Tabla1[[#This Row],[OS-Cantidad]]</f>
        <v>450000</v>
      </c>
      <c r="X195" s="3">
        <f>Tabla1[[#This Row],[costo_antes_iva]]*Tabla1[[#This Row],[OS-Cantidad]]</f>
        <v>1961000</v>
      </c>
      <c r="Y195" s="3">
        <f>Tabla1[[#This Row],[Valor total OS]]-Tabla1[[#This Row],[valor total op]]</f>
        <v>-1511000</v>
      </c>
    </row>
    <row r="196" spans="1:25" x14ac:dyDescent="0.3">
      <c r="A196">
        <v>6492</v>
      </c>
      <c r="B196">
        <v>15</v>
      </c>
      <c r="C196" t="s">
        <v>525</v>
      </c>
      <c r="D196">
        <v>50</v>
      </c>
      <c r="E196" s="5">
        <v>46020.868750000001</v>
      </c>
      <c r="F196" t="s">
        <v>510</v>
      </c>
      <c r="G196" t="s">
        <v>23</v>
      </c>
      <c r="H196" t="s">
        <v>346</v>
      </c>
      <c r="I196">
        <v>60</v>
      </c>
      <c r="J196">
        <v>77869372</v>
      </c>
      <c r="K196" s="5">
        <v>46020</v>
      </c>
      <c r="L196" s="3">
        <v>39220</v>
      </c>
      <c r="M196" t="s">
        <v>511</v>
      </c>
      <c r="N196" t="s">
        <v>56</v>
      </c>
      <c r="O196" t="s">
        <v>526</v>
      </c>
      <c r="P196" s="3">
        <v>9000</v>
      </c>
      <c r="Q196">
        <v>50</v>
      </c>
      <c r="R196" t="s">
        <v>527</v>
      </c>
      <c r="S196" t="s">
        <v>514</v>
      </c>
      <c r="T196" t="s">
        <v>516</v>
      </c>
      <c r="U196" t="s">
        <v>177</v>
      </c>
      <c r="V196" s="3">
        <f>Tabla1[[#This Row],[OS-Valor Unitario]]-Tabla1[[#This Row],[costo_antes_iva]]</f>
        <v>-30220</v>
      </c>
      <c r="W196" s="3">
        <f>Tabla1[[#This Row],[OS-Valor Unitario]]*Tabla1[[#This Row],[OS-Cantidad]]</f>
        <v>450000</v>
      </c>
      <c r="X196" s="3">
        <f>Tabla1[[#This Row],[costo_antes_iva]]*Tabla1[[#This Row],[OS-Cantidad]]</f>
        <v>1961000</v>
      </c>
      <c r="Y196" s="3">
        <f>Tabla1[[#This Row],[Valor total OS]]-Tabla1[[#This Row],[valor total op]]</f>
        <v>-1511000</v>
      </c>
    </row>
    <row r="197" spans="1:25" x14ac:dyDescent="0.3">
      <c r="A197">
        <v>6492</v>
      </c>
      <c r="B197">
        <v>15</v>
      </c>
      <c r="C197" t="s">
        <v>525</v>
      </c>
      <c r="D197">
        <v>50</v>
      </c>
      <c r="E197" s="5">
        <v>46020.868750000001</v>
      </c>
      <c r="F197" t="s">
        <v>510</v>
      </c>
      <c r="G197" t="s">
        <v>517</v>
      </c>
      <c r="H197" t="s">
        <v>346</v>
      </c>
      <c r="I197">
        <v>50</v>
      </c>
      <c r="J197">
        <v>77869378</v>
      </c>
      <c r="K197" s="5">
        <v>46020</v>
      </c>
      <c r="L197" s="3">
        <v>6000</v>
      </c>
      <c r="M197" t="s">
        <v>518</v>
      </c>
      <c r="N197" t="s">
        <v>437</v>
      </c>
      <c r="O197" t="s">
        <v>526</v>
      </c>
      <c r="P197" s="3">
        <v>1156</v>
      </c>
      <c r="Q197">
        <v>50</v>
      </c>
      <c r="R197" t="s">
        <v>528</v>
      </c>
      <c r="S197" t="s">
        <v>514</v>
      </c>
      <c r="T197" t="s">
        <v>515</v>
      </c>
      <c r="U197" t="s">
        <v>177</v>
      </c>
      <c r="V197" s="3">
        <f>Tabla1[[#This Row],[OS-Valor Unitario]]-Tabla1[[#This Row],[costo_antes_iva]]</f>
        <v>-4844</v>
      </c>
      <c r="W197" s="3">
        <f>Tabla1[[#This Row],[OS-Valor Unitario]]*Tabla1[[#This Row],[OS-Cantidad]]</f>
        <v>57800</v>
      </c>
      <c r="X197" s="3">
        <f>Tabla1[[#This Row],[costo_antes_iva]]*Tabla1[[#This Row],[OS-Cantidad]]</f>
        <v>300000</v>
      </c>
      <c r="Y197" s="3">
        <f>Tabla1[[#This Row],[Valor total OS]]-Tabla1[[#This Row],[valor total op]]</f>
        <v>-242200</v>
      </c>
    </row>
    <row r="198" spans="1:25" x14ac:dyDescent="0.3">
      <c r="A198">
        <v>6492</v>
      </c>
      <c r="B198">
        <v>15</v>
      </c>
      <c r="C198" t="s">
        <v>525</v>
      </c>
      <c r="D198">
        <v>50</v>
      </c>
      <c r="E198" s="5">
        <v>46020.868750000001</v>
      </c>
      <c r="F198" t="s">
        <v>510</v>
      </c>
      <c r="G198" t="s">
        <v>517</v>
      </c>
      <c r="H198" t="s">
        <v>346</v>
      </c>
      <c r="I198">
        <v>50</v>
      </c>
      <c r="J198">
        <v>77869378</v>
      </c>
      <c r="K198" s="5">
        <v>46020</v>
      </c>
      <c r="L198" s="3">
        <v>6000</v>
      </c>
      <c r="M198" t="s">
        <v>518</v>
      </c>
      <c r="N198" t="s">
        <v>437</v>
      </c>
      <c r="O198" t="s">
        <v>526</v>
      </c>
      <c r="P198" s="3">
        <v>1156</v>
      </c>
      <c r="Q198">
        <v>50</v>
      </c>
      <c r="R198" t="s">
        <v>528</v>
      </c>
      <c r="S198" t="s">
        <v>514</v>
      </c>
      <c r="T198" t="s">
        <v>516</v>
      </c>
      <c r="U198" t="s">
        <v>177</v>
      </c>
      <c r="V198" s="3">
        <f>Tabla1[[#This Row],[OS-Valor Unitario]]-Tabla1[[#This Row],[costo_antes_iva]]</f>
        <v>-4844</v>
      </c>
      <c r="W198" s="3">
        <f>Tabla1[[#This Row],[OS-Valor Unitario]]*Tabla1[[#This Row],[OS-Cantidad]]</f>
        <v>57800</v>
      </c>
      <c r="X198" s="3">
        <f>Tabla1[[#This Row],[costo_antes_iva]]*Tabla1[[#This Row],[OS-Cantidad]]</f>
        <v>300000</v>
      </c>
      <c r="Y198" s="3">
        <f>Tabla1[[#This Row],[Valor total OS]]-Tabla1[[#This Row],[valor total op]]</f>
        <v>-242200</v>
      </c>
    </row>
    <row r="199" spans="1:25" x14ac:dyDescent="0.3">
      <c r="A199">
        <v>6492</v>
      </c>
      <c r="B199">
        <v>15</v>
      </c>
      <c r="C199" t="s">
        <v>525</v>
      </c>
      <c r="D199">
        <v>50</v>
      </c>
      <c r="E199" s="5">
        <v>46020.868750000001</v>
      </c>
      <c r="F199" t="s">
        <v>510</v>
      </c>
      <c r="G199" t="s">
        <v>517</v>
      </c>
      <c r="H199" t="s">
        <v>346</v>
      </c>
      <c r="I199">
        <v>50</v>
      </c>
      <c r="J199">
        <v>77869378</v>
      </c>
      <c r="K199" s="5">
        <v>46020</v>
      </c>
      <c r="L199" s="3">
        <v>12500</v>
      </c>
      <c r="M199" t="s">
        <v>518</v>
      </c>
      <c r="N199" t="s">
        <v>56</v>
      </c>
      <c r="O199" t="s">
        <v>526</v>
      </c>
      <c r="P199" s="3">
        <v>9000</v>
      </c>
      <c r="Q199">
        <v>50</v>
      </c>
      <c r="R199" t="s">
        <v>527</v>
      </c>
      <c r="S199" t="s">
        <v>514</v>
      </c>
      <c r="T199" t="s">
        <v>515</v>
      </c>
      <c r="U199" t="s">
        <v>177</v>
      </c>
      <c r="V199" s="3">
        <f>Tabla1[[#This Row],[OS-Valor Unitario]]-Tabla1[[#This Row],[costo_antes_iva]]</f>
        <v>-3500</v>
      </c>
      <c r="W199" s="3">
        <f>Tabla1[[#This Row],[OS-Valor Unitario]]*Tabla1[[#This Row],[OS-Cantidad]]</f>
        <v>450000</v>
      </c>
      <c r="X199" s="3">
        <f>Tabla1[[#This Row],[costo_antes_iva]]*Tabla1[[#This Row],[OS-Cantidad]]</f>
        <v>625000</v>
      </c>
      <c r="Y199" s="3">
        <f>Tabla1[[#This Row],[Valor total OS]]-Tabla1[[#This Row],[valor total op]]</f>
        <v>-175000</v>
      </c>
    </row>
    <row r="200" spans="1:25" x14ac:dyDescent="0.3">
      <c r="A200">
        <v>6492</v>
      </c>
      <c r="B200">
        <v>15</v>
      </c>
      <c r="C200" t="s">
        <v>525</v>
      </c>
      <c r="D200">
        <v>50</v>
      </c>
      <c r="E200" s="5">
        <v>46020.868750000001</v>
      </c>
      <c r="F200" t="s">
        <v>510</v>
      </c>
      <c r="G200" t="s">
        <v>517</v>
      </c>
      <c r="H200" t="s">
        <v>346</v>
      </c>
      <c r="I200">
        <v>50</v>
      </c>
      <c r="J200">
        <v>77869378</v>
      </c>
      <c r="K200" s="5">
        <v>46020</v>
      </c>
      <c r="L200" s="3">
        <v>12500</v>
      </c>
      <c r="M200" t="s">
        <v>518</v>
      </c>
      <c r="N200" t="s">
        <v>56</v>
      </c>
      <c r="O200" t="s">
        <v>526</v>
      </c>
      <c r="P200" s="3">
        <v>9000</v>
      </c>
      <c r="Q200">
        <v>50</v>
      </c>
      <c r="R200" t="s">
        <v>527</v>
      </c>
      <c r="S200" t="s">
        <v>514</v>
      </c>
      <c r="T200" t="s">
        <v>516</v>
      </c>
      <c r="U200" t="s">
        <v>177</v>
      </c>
      <c r="V200" s="3">
        <f>Tabla1[[#This Row],[OS-Valor Unitario]]-Tabla1[[#This Row],[costo_antes_iva]]</f>
        <v>-3500</v>
      </c>
      <c r="W200" s="3">
        <f>Tabla1[[#This Row],[OS-Valor Unitario]]*Tabla1[[#This Row],[OS-Cantidad]]</f>
        <v>450000</v>
      </c>
      <c r="X200" s="3">
        <f>Tabla1[[#This Row],[costo_antes_iva]]*Tabla1[[#This Row],[OS-Cantidad]]</f>
        <v>625000</v>
      </c>
      <c r="Y200" s="3">
        <f>Tabla1[[#This Row],[Valor total OS]]-Tabla1[[#This Row],[valor total op]]</f>
        <v>-175000</v>
      </c>
    </row>
    <row r="201" spans="1:25" x14ac:dyDescent="0.3">
      <c r="A201">
        <v>6492</v>
      </c>
      <c r="B201">
        <v>15</v>
      </c>
      <c r="C201" t="s">
        <v>525</v>
      </c>
      <c r="D201">
        <v>50</v>
      </c>
      <c r="E201" s="5">
        <v>46020.868750000001</v>
      </c>
      <c r="F201" t="s">
        <v>510</v>
      </c>
      <c r="G201" t="s">
        <v>517</v>
      </c>
      <c r="H201" t="s">
        <v>346</v>
      </c>
      <c r="I201">
        <v>10</v>
      </c>
      <c r="J201">
        <v>77863835</v>
      </c>
      <c r="K201" s="5">
        <v>46020</v>
      </c>
      <c r="L201" s="3">
        <v>6000</v>
      </c>
      <c r="M201" t="s">
        <v>519</v>
      </c>
      <c r="N201" t="s">
        <v>437</v>
      </c>
      <c r="O201" t="s">
        <v>526</v>
      </c>
      <c r="P201" s="3">
        <v>1156</v>
      </c>
      <c r="Q201">
        <v>50</v>
      </c>
      <c r="R201" t="s">
        <v>528</v>
      </c>
      <c r="S201" t="s">
        <v>514</v>
      </c>
      <c r="T201" t="s">
        <v>515</v>
      </c>
      <c r="U201" t="s">
        <v>177</v>
      </c>
      <c r="V201" s="3">
        <f>Tabla1[[#This Row],[OS-Valor Unitario]]-Tabla1[[#This Row],[costo_antes_iva]]</f>
        <v>-4844</v>
      </c>
      <c r="W201" s="3">
        <f>Tabla1[[#This Row],[OS-Valor Unitario]]*Tabla1[[#This Row],[OS-Cantidad]]</f>
        <v>57800</v>
      </c>
      <c r="X201" s="3">
        <f>Tabla1[[#This Row],[costo_antes_iva]]*Tabla1[[#This Row],[OS-Cantidad]]</f>
        <v>300000</v>
      </c>
      <c r="Y201" s="3">
        <f>Tabla1[[#This Row],[Valor total OS]]-Tabla1[[#This Row],[valor total op]]</f>
        <v>-242200</v>
      </c>
    </row>
    <row r="202" spans="1:25" x14ac:dyDescent="0.3">
      <c r="A202">
        <v>6492</v>
      </c>
      <c r="B202">
        <v>15</v>
      </c>
      <c r="C202" t="s">
        <v>525</v>
      </c>
      <c r="D202">
        <v>50</v>
      </c>
      <c r="E202" s="5">
        <v>46020.868750000001</v>
      </c>
      <c r="F202" t="s">
        <v>510</v>
      </c>
      <c r="G202" t="s">
        <v>517</v>
      </c>
      <c r="H202" t="s">
        <v>346</v>
      </c>
      <c r="I202">
        <v>10</v>
      </c>
      <c r="J202">
        <v>77863835</v>
      </c>
      <c r="K202" s="5">
        <v>46020</v>
      </c>
      <c r="L202" s="3">
        <v>6000</v>
      </c>
      <c r="M202" t="s">
        <v>519</v>
      </c>
      <c r="N202" t="s">
        <v>437</v>
      </c>
      <c r="O202" t="s">
        <v>526</v>
      </c>
      <c r="P202" s="3">
        <v>1156</v>
      </c>
      <c r="Q202">
        <v>50</v>
      </c>
      <c r="R202" t="s">
        <v>528</v>
      </c>
      <c r="S202" t="s">
        <v>514</v>
      </c>
      <c r="T202" t="s">
        <v>516</v>
      </c>
      <c r="U202" t="s">
        <v>177</v>
      </c>
      <c r="V202" s="3">
        <f>Tabla1[[#This Row],[OS-Valor Unitario]]-Tabla1[[#This Row],[costo_antes_iva]]</f>
        <v>-4844</v>
      </c>
      <c r="W202" s="3">
        <f>Tabla1[[#This Row],[OS-Valor Unitario]]*Tabla1[[#This Row],[OS-Cantidad]]</f>
        <v>57800</v>
      </c>
      <c r="X202" s="3">
        <f>Tabla1[[#This Row],[costo_antes_iva]]*Tabla1[[#This Row],[OS-Cantidad]]</f>
        <v>300000</v>
      </c>
      <c r="Y202" s="3">
        <f>Tabla1[[#This Row],[Valor total OS]]-Tabla1[[#This Row],[valor total op]]</f>
        <v>-242200</v>
      </c>
    </row>
    <row r="203" spans="1:25" x14ac:dyDescent="0.3">
      <c r="A203">
        <v>6492</v>
      </c>
      <c r="B203">
        <v>15</v>
      </c>
      <c r="C203" t="s">
        <v>525</v>
      </c>
      <c r="D203">
        <v>50</v>
      </c>
      <c r="E203" s="5">
        <v>46020.868750000001</v>
      </c>
      <c r="F203" t="s">
        <v>510</v>
      </c>
      <c r="G203" t="s">
        <v>517</v>
      </c>
      <c r="H203" t="s">
        <v>346</v>
      </c>
      <c r="I203">
        <v>10</v>
      </c>
      <c r="J203">
        <v>77863835</v>
      </c>
      <c r="K203" s="5">
        <v>46020</v>
      </c>
      <c r="L203" s="3">
        <v>7500</v>
      </c>
      <c r="M203" t="s">
        <v>519</v>
      </c>
      <c r="N203" t="s">
        <v>56</v>
      </c>
      <c r="O203" t="s">
        <v>526</v>
      </c>
      <c r="P203" s="3">
        <v>9000</v>
      </c>
      <c r="Q203">
        <v>50</v>
      </c>
      <c r="R203" t="s">
        <v>527</v>
      </c>
      <c r="S203" t="s">
        <v>514</v>
      </c>
      <c r="T203" t="s">
        <v>515</v>
      </c>
      <c r="U203" t="s">
        <v>177</v>
      </c>
      <c r="V203" s="3">
        <f>Tabla1[[#This Row],[OS-Valor Unitario]]-Tabla1[[#This Row],[costo_antes_iva]]</f>
        <v>1500</v>
      </c>
      <c r="W203" s="3">
        <f>Tabla1[[#This Row],[OS-Valor Unitario]]*Tabla1[[#This Row],[OS-Cantidad]]</f>
        <v>450000</v>
      </c>
      <c r="X203" s="3">
        <f>Tabla1[[#This Row],[costo_antes_iva]]*Tabla1[[#This Row],[OS-Cantidad]]</f>
        <v>375000</v>
      </c>
      <c r="Y203" s="3">
        <f>Tabla1[[#This Row],[Valor total OS]]-Tabla1[[#This Row],[valor total op]]</f>
        <v>75000</v>
      </c>
    </row>
    <row r="204" spans="1:25" x14ac:dyDescent="0.3">
      <c r="A204">
        <v>6492</v>
      </c>
      <c r="B204">
        <v>15</v>
      </c>
      <c r="C204" t="s">
        <v>525</v>
      </c>
      <c r="D204">
        <v>50</v>
      </c>
      <c r="E204" s="5">
        <v>46020.868750000001</v>
      </c>
      <c r="F204" t="s">
        <v>510</v>
      </c>
      <c r="G204" t="s">
        <v>517</v>
      </c>
      <c r="H204" t="s">
        <v>346</v>
      </c>
      <c r="I204">
        <v>10</v>
      </c>
      <c r="J204">
        <v>77863835</v>
      </c>
      <c r="K204" s="5">
        <v>46020</v>
      </c>
      <c r="L204" s="3">
        <v>7500</v>
      </c>
      <c r="M204" t="s">
        <v>519</v>
      </c>
      <c r="N204" t="s">
        <v>56</v>
      </c>
      <c r="O204" t="s">
        <v>526</v>
      </c>
      <c r="P204" s="3">
        <v>9000</v>
      </c>
      <c r="Q204">
        <v>50</v>
      </c>
      <c r="R204" t="s">
        <v>527</v>
      </c>
      <c r="S204" t="s">
        <v>514</v>
      </c>
      <c r="T204" t="s">
        <v>516</v>
      </c>
      <c r="U204" t="s">
        <v>177</v>
      </c>
      <c r="V204" s="3">
        <f>Tabla1[[#This Row],[OS-Valor Unitario]]-Tabla1[[#This Row],[costo_antes_iva]]</f>
        <v>1500</v>
      </c>
      <c r="W204" s="3">
        <f>Tabla1[[#This Row],[OS-Valor Unitario]]*Tabla1[[#This Row],[OS-Cantidad]]</f>
        <v>450000</v>
      </c>
      <c r="X204" s="3">
        <f>Tabla1[[#This Row],[costo_antes_iva]]*Tabla1[[#This Row],[OS-Cantidad]]</f>
        <v>375000</v>
      </c>
      <c r="Y204" s="3">
        <f>Tabla1[[#This Row],[Valor total OS]]-Tabla1[[#This Row],[valor total op]]</f>
        <v>75000</v>
      </c>
    </row>
    <row r="205" spans="1:25" x14ac:dyDescent="0.3">
      <c r="A205">
        <v>6492</v>
      </c>
      <c r="B205">
        <v>16</v>
      </c>
      <c r="C205" t="s">
        <v>529</v>
      </c>
      <c r="D205">
        <v>4</v>
      </c>
      <c r="E205" s="5">
        <v>46020.868750000001</v>
      </c>
      <c r="F205" t="s">
        <v>530</v>
      </c>
      <c r="G205" t="s">
        <v>87</v>
      </c>
      <c r="H205" t="s">
        <v>346</v>
      </c>
      <c r="I205">
        <v>4</v>
      </c>
      <c r="J205">
        <v>77864662</v>
      </c>
      <c r="K205" s="5">
        <v>46020</v>
      </c>
      <c r="L205" s="3">
        <v>3200</v>
      </c>
      <c r="M205" t="s">
        <v>459</v>
      </c>
      <c r="N205" t="s">
        <v>56</v>
      </c>
      <c r="O205" t="s">
        <v>531</v>
      </c>
      <c r="P205" s="3">
        <v>5000</v>
      </c>
      <c r="Q205">
        <v>4</v>
      </c>
      <c r="R205" t="s">
        <v>532</v>
      </c>
      <c r="S205" t="s">
        <v>462</v>
      </c>
      <c r="T205" t="s">
        <v>351</v>
      </c>
      <c r="U205" t="s">
        <v>177</v>
      </c>
      <c r="V205" s="3">
        <f>Tabla1[[#This Row],[OS-Valor Unitario]]-Tabla1[[#This Row],[costo_antes_iva]]</f>
        <v>1800</v>
      </c>
      <c r="W205" s="3">
        <f>Tabla1[[#This Row],[OS-Valor Unitario]]*Tabla1[[#This Row],[OS-Cantidad]]</f>
        <v>20000</v>
      </c>
      <c r="X205" s="3">
        <f>Tabla1[[#This Row],[costo_antes_iva]]*Tabla1[[#This Row],[OS-Cantidad]]</f>
        <v>12800</v>
      </c>
      <c r="Y205" s="3">
        <f>Tabla1[[#This Row],[Valor total OS]]-Tabla1[[#This Row],[valor total op]]</f>
        <v>7200</v>
      </c>
    </row>
    <row r="206" spans="1:25" x14ac:dyDescent="0.3">
      <c r="A206">
        <v>6492</v>
      </c>
      <c r="B206">
        <v>16</v>
      </c>
      <c r="C206" t="s">
        <v>529</v>
      </c>
      <c r="D206">
        <v>4</v>
      </c>
      <c r="E206" s="5">
        <v>46020.868750000001</v>
      </c>
      <c r="F206" t="s">
        <v>530</v>
      </c>
      <c r="G206" t="s">
        <v>87</v>
      </c>
      <c r="H206" t="s">
        <v>346</v>
      </c>
      <c r="I206">
        <v>4</v>
      </c>
      <c r="J206">
        <v>77864662</v>
      </c>
      <c r="K206" s="5">
        <v>46020</v>
      </c>
      <c r="L206" s="3">
        <v>900</v>
      </c>
      <c r="M206" t="s">
        <v>459</v>
      </c>
      <c r="N206" t="s">
        <v>26</v>
      </c>
      <c r="O206" t="s">
        <v>531</v>
      </c>
      <c r="P206" s="3">
        <v>900</v>
      </c>
      <c r="Q206">
        <v>4</v>
      </c>
      <c r="R206" t="s">
        <v>533</v>
      </c>
      <c r="S206" t="s">
        <v>462</v>
      </c>
      <c r="T206" t="s">
        <v>351</v>
      </c>
      <c r="U206" t="s">
        <v>177</v>
      </c>
      <c r="V206" s="3">
        <f>Tabla1[[#This Row],[OS-Valor Unitario]]-Tabla1[[#This Row],[costo_antes_iva]]</f>
        <v>0</v>
      </c>
      <c r="W206" s="3">
        <f>Tabla1[[#This Row],[OS-Valor Unitario]]*Tabla1[[#This Row],[OS-Cantidad]]</f>
        <v>3600</v>
      </c>
      <c r="X206" s="3">
        <f>Tabla1[[#This Row],[costo_antes_iva]]*Tabla1[[#This Row],[OS-Cantidad]]</f>
        <v>3600</v>
      </c>
      <c r="Y206" s="3">
        <f>Tabla1[[#This Row],[Valor total OS]]-Tabla1[[#This Row],[valor total op]]</f>
        <v>0</v>
      </c>
    </row>
    <row r="207" spans="1:25" x14ac:dyDescent="0.3">
      <c r="A207">
        <v>6492</v>
      </c>
      <c r="B207">
        <v>17</v>
      </c>
      <c r="C207" t="s">
        <v>534</v>
      </c>
      <c r="D207">
        <v>12</v>
      </c>
      <c r="E207" s="5">
        <v>46020.868750000001</v>
      </c>
      <c r="F207" t="s">
        <v>535</v>
      </c>
      <c r="G207" t="s">
        <v>517</v>
      </c>
      <c r="H207" t="s">
        <v>346</v>
      </c>
      <c r="I207">
        <v>12</v>
      </c>
      <c r="J207">
        <v>77863990</v>
      </c>
      <c r="K207" s="5">
        <v>46020</v>
      </c>
      <c r="L207" s="3">
        <v>800</v>
      </c>
      <c r="M207" t="s">
        <v>536</v>
      </c>
      <c r="N207" t="s">
        <v>72</v>
      </c>
      <c r="O207" t="s">
        <v>537</v>
      </c>
      <c r="P207" s="3">
        <v>1900</v>
      </c>
      <c r="Q207">
        <v>24</v>
      </c>
      <c r="R207" t="s">
        <v>538</v>
      </c>
      <c r="S207" t="s">
        <v>514</v>
      </c>
      <c r="T207" t="s">
        <v>515</v>
      </c>
      <c r="U207" t="s">
        <v>177</v>
      </c>
      <c r="V207" s="3">
        <f>Tabla1[[#This Row],[OS-Valor Unitario]]-Tabla1[[#This Row],[costo_antes_iva]]</f>
        <v>1100</v>
      </c>
      <c r="W207" s="3">
        <f>Tabla1[[#This Row],[OS-Valor Unitario]]*Tabla1[[#This Row],[OS-Cantidad]]</f>
        <v>45600</v>
      </c>
      <c r="X207" s="3">
        <f>Tabla1[[#This Row],[costo_antes_iva]]*Tabla1[[#This Row],[OS-Cantidad]]</f>
        <v>19200</v>
      </c>
      <c r="Y207" s="3">
        <f>Tabla1[[#This Row],[Valor total OS]]-Tabla1[[#This Row],[valor total op]]</f>
        <v>26400</v>
      </c>
    </row>
    <row r="208" spans="1:25" x14ac:dyDescent="0.3">
      <c r="A208">
        <v>6492</v>
      </c>
      <c r="B208">
        <v>17</v>
      </c>
      <c r="C208" t="s">
        <v>534</v>
      </c>
      <c r="D208">
        <v>12</v>
      </c>
      <c r="E208" s="5">
        <v>46020.868750000001</v>
      </c>
      <c r="F208" t="s">
        <v>535</v>
      </c>
      <c r="G208" t="s">
        <v>517</v>
      </c>
      <c r="H208" t="s">
        <v>346</v>
      </c>
      <c r="I208">
        <v>12</v>
      </c>
      <c r="J208">
        <v>77863990</v>
      </c>
      <c r="K208" s="5">
        <v>46020</v>
      </c>
      <c r="L208" s="3">
        <v>800</v>
      </c>
      <c r="M208" t="s">
        <v>536</v>
      </c>
      <c r="N208" t="s">
        <v>72</v>
      </c>
      <c r="O208" t="s">
        <v>537</v>
      </c>
      <c r="P208" s="3">
        <v>1900</v>
      </c>
      <c r="Q208">
        <v>24</v>
      </c>
      <c r="R208" t="s">
        <v>538</v>
      </c>
      <c r="S208" t="s">
        <v>514</v>
      </c>
      <c r="T208" t="s">
        <v>516</v>
      </c>
      <c r="U208" t="s">
        <v>177</v>
      </c>
      <c r="V208" s="3">
        <f>Tabla1[[#This Row],[OS-Valor Unitario]]-Tabla1[[#This Row],[costo_antes_iva]]</f>
        <v>1100</v>
      </c>
      <c r="W208" s="3">
        <f>Tabla1[[#This Row],[OS-Valor Unitario]]*Tabla1[[#This Row],[OS-Cantidad]]</f>
        <v>45600</v>
      </c>
      <c r="X208" s="3">
        <f>Tabla1[[#This Row],[costo_antes_iva]]*Tabla1[[#This Row],[OS-Cantidad]]</f>
        <v>19200</v>
      </c>
      <c r="Y208" s="3">
        <f>Tabla1[[#This Row],[Valor total OS]]-Tabla1[[#This Row],[valor total op]]</f>
        <v>26400</v>
      </c>
    </row>
    <row r="209" spans="1:25" x14ac:dyDescent="0.3">
      <c r="A209">
        <v>6492</v>
      </c>
      <c r="B209">
        <v>17</v>
      </c>
      <c r="C209" t="s">
        <v>534</v>
      </c>
      <c r="D209">
        <v>12</v>
      </c>
      <c r="E209" s="5">
        <v>46020.868750000001</v>
      </c>
      <c r="F209" t="s">
        <v>535</v>
      </c>
      <c r="G209" t="s">
        <v>517</v>
      </c>
      <c r="H209" t="s">
        <v>346</v>
      </c>
      <c r="I209">
        <v>12</v>
      </c>
      <c r="J209">
        <v>77863990</v>
      </c>
      <c r="K209" s="5">
        <v>46020</v>
      </c>
      <c r="L209" s="3">
        <v>12500</v>
      </c>
      <c r="M209" t="s">
        <v>536</v>
      </c>
      <c r="N209" t="s">
        <v>56</v>
      </c>
      <c r="O209" t="s">
        <v>537</v>
      </c>
      <c r="P209" s="3">
        <v>12000</v>
      </c>
      <c r="Q209">
        <v>12</v>
      </c>
      <c r="R209" t="s">
        <v>539</v>
      </c>
      <c r="S209" t="s">
        <v>514</v>
      </c>
      <c r="T209" t="s">
        <v>515</v>
      </c>
      <c r="U209" t="s">
        <v>177</v>
      </c>
      <c r="V209" s="3">
        <f>Tabla1[[#This Row],[OS-Valor Unitario]]-Tabla1[[#This Row],[costo_antes_iva]]</f>
        <v>-500</v>
      </c>
      <c r="W209" s="3">
        <f>Tabla1[[#This Row],[OS-Valor Unitario]]*Tabla1[[#This Row],[OS-Cantidad]]</f>
        <v>144000</v>
      </c>
      <c r="X209" s="3">
        <f>Tabla1[[#This Row],[costo_antes_iva]]*Tabla1[[#This Row],[OS-Cantidad]]</f>
        <v>150000</v>
      </c>
      <c r="Y209" s="3">
        <f>Tabla1[[#This Row],[Valor total OS]]-Tabla1[[#This Row],[valor total op]]</f>
        <v>-6000</v>
      </c>
    </row>
    <row r="210" spans="1:25" x14ac:dyDescent="0.3">
      <c r="A210">
        <v>6492</v>
      </c>
      <c r="B210">
        <v>17</v>
      </c>
      <c r="C210" t="s">
        <v>534</v>
      </c>
      <c r="D210">
        <v>12</v>
      </c>
      <c r="E210" s="5">
        <v>46020.868750000001</v>
      </c>
      <c r="F210" t="s">
        <v>535</v>
      </c>
      <c r="G210" t="s">
        <v>517</v>
      </c>
      <c r="H210" t="s">
        <v>346</v>
      </c>
      <c r="I210">
        <v>12</v>
      </c>
      <c r="J210">
        <v>77863990</v>
      </c>
      <c r="K210" s="5">
        <v>46020</v>
      </c>
      <c r="L210" s="3">
        <v>12500</v>
      </c>
      <c r="M210" t="s">
        <v>536</v>
      </c>
      <c r="N210" t="s">
        <v>56</v>
      </c>
      <c r="O210" t="s">
        <v>537</v>
      </c>
      <c r="P210" s="3">
        <v>12000</v>
      </c>
      <c r="Q210">
        <v>12</v>
      </c>
      <c r="R210" t="s">
        <v>539</v>
      </c>
      <c r="S210" t="s">
        <v>514</v>
      </c>
      <c r="T210" t="s">
        <v>516</v>
      </c>
      <c r="U210" t="s">
        <v>177</v>
      </c>
      <c r="V210" s="3">
        <f>Tabla1[[#This Row],[OS-Valor Unitario]]-Tabla1[[#This Row],[costo_antes_iva]]</f>
        <v>-500</v>
      </c>
      <c r="W210" s="3">
        <f>Tabla1[[#This Row],[OS-Valor Unitario]]*Tabla1[[#This Row],[OS-Cantidad]]</f>
        <v>144000</v>
      </c>
      <c r="X210" s="3">
        <f>Tabla1[[#This Row],[costo_antes_iva]]*Tabla1[[#This Row],[OS-Cantidad]]</f>
        <v>150000</v>
      </c>
      <c r="Y210" s="3">
        <f>Tabla1[[#This Row],[Valor total OS]]-Tabla1[[#This Row],[valor total op]]</f>
        <v>-6000</v>
      </c>
    </row>
    <row r="211" spans="1:25" x14ac:dyDescent="0.3">
      <c r="A211">
        <v>6492</v>
      </c>
      <c r="B211">
        <v>18</v>
      </c>
      <c r="C211" t="s">
        <v>540</v>
      </c>
      <c r="D211">
        <v>140</v>
      </c>
      <c r="E211" s="5">
        <v>46020.868750000001</v>
      </c>
      <c r="F211" t="s">
        <v>541</v>
      </c>
      <c r="G211" t="s">
        <v>294</v>
      </c>
      <c r="H211" t="s">
        <v>346</v>
      </c>
      <c r="I211">
        <v>140</v>
      </c>
      <c r="J211">
        <v>77864668</v>
      </c>
      <c r="K211" s="5">
        <v>46020</v>
      </c>
      <c r="L211" s="3">
        <v>7500</v>
      </c>
      <c r="M211" t="s">
        <v>459</v>
      </c>
      <c r="N211" t="s">
        <v>56</v>
      </c>
      <c r="O211" t="s">
        <v>542</v>
      </c>
      <c r="P211" s="3">
        <v>12000</v>
      </c>
      <c r="Q211">
        <v>140</v>
      </c>
      <c r="R211" t="s">
        <v>543</v>
      </c>
      <c r="S211" t="s">
        <v>462</v>
      </c>
      <c r="T211" t="s">
        <v>351</v>
      </c>
      <c r="U211" t="s">
        <v>177</v>
      </c>
      <c r="V211" s="3">
        <f>Tabla1[[#This Row],[OS-Valor Unitario]]-Tabla1[[#This Row],[costo_antes_iva]]</f>
        <v>4500</v>
      </c>
      <c r="W211" s="3">
        <f>Tabla1[[#This Row],[OS-Valor Unitario]]*Tabla1[[#This Row],[OS-Cantidad]]</f>
        <v>1680000</v>
      </c>
      <c r="X211" s="3">
        <f>Tabla1[[#This Row],[costo_antes_iva]]*Tabla1[[#This Row],[OS-Cantidad]]</f>
        <v>1050000</v>
      </c>
      <c r="Y211" s="3">
        <f>Tabla1[[#This Row],[Valor total OS]]-Tabla1[[#This Row],[valor total op]]</f>
        <v>630000</v>
      </c>
    </row>
    <row r="212" spans="1:25" x14ac:dyDescent="0.3">
      <c r="A212">
        <v>6492</v>
      </c>
      <c r="B212">
        <v>19</v>
      </c>
      <c r="C212" t="s">
        <v>544</v>
      </c>
      <c r="D212">
        <v>30</v>
      </c>
      <c r="E212" s="5">
        <v>46020.868750000001</v>
      </c>
      <c r="F212" t="s">
        <v>545</v>
      </c>
      <c r="G212" t="s">
        <v>517</v>
      </c>
      <c r="H212" t="s">
        <v>346</v>
      </c>
      <c r="I212">
        <v>6</v>
      </c>
      <c r="J212">
        <v>77869273</v>
      </c>
      <c r="K212" s="5">
        <v>46020</v>
      </c>
      <c r="L212" s="3">
        <v>12500</v>
      </c>
      <c r="M212" t="s">
        <v>546</v>
      </c>
      <c r="N212" t="s">
        <v>56</v>
      </c>
      <c r="O212" t="s">
        <v>547</v>
      </c>
      <c r="P212" s="3">
        <v>13000</v>
      </c>
      <c r="Q212">
        <v>30</v>
      </c>
      <c r="R212" t="s">
        <v>548</v>
      </c>
      <c r="S212" t="s">
        <v>514</v>
      </c>
      <c r="T212" t="s">
        <v>515</v>
      </c>
      <c r="U212" t="s">
        <v>177</v>
      </c>
      <c r="V212" s="3">
        <f>Tabla1[[#This Row],[OS-Valor Unitario]]-Tabla1[[#This Row],[costo_antes_iva]]</f>
        <v>500</v>
      </c>
      <c r="W212" s="3">
        <f>Tabla1[[#This Row],[OS-Valor Unitario]]*Tabla1[[#This Row],[OS-Cantidad]]</f>
        <v>390000</v>
      </c>
      <c r="X212" s="3">
        <f>Tabla1[[#This Row],[costo_antes_iva]]*Tabla1[[#This Row],[OS-Cantidad]]</f>
        <v>375000</v>
      </c>
      <c r="Y212" s="3">
        <f>Tabla1[[#This Row],[Valor total OS]]-Tabla1[[#This Row],[valor total op]]</f>
        <v>15000</v>
      </c>
    </row>
    <row r="213" spans="1:25" x14ac:dyDescent="0.3">
      <c r="A213">
        <v>6492</v>
      </c>
      <c r="B213">
        <v>19</v>
      </c>
      <c r="C213" t="s">
        <v>544</v>
      </c>
      <c r="D213">
        <v>30</v>
      </c>
      <c r="E213" s="5">
        <v>46020.868750000001</v>
      </c>
      <c r="F213" t="s">
        <v>545</v>
      </c>
      <c r="G213" t="s">
        <v>517</v>
      </c>
      <c r="H213" t="s">
        <v>346</v>
      </c>
      <c r="I213">
        <v>6</v>
      </c>
      <c r="J213">
        <v>77869273</v>
      </c>
      <c r="K213" s="5">
        <v>46020</v>
      </c>
      <c r="L213" s="3">
        <v>12500</v>
      </c>
      <c r="M213" t="s">
        <v>546</v>
      </c>
      <c r="N213" t="s">
        <v>56</v>
      </c>
      <c r="O213" t="s">
        <v>547</v>
      </c>
      <c r="P213" s="3">
        <v>13000</v>
      </c>
      <c r="Q213">
        <v>30</v>
      </c>
      <c r="R213" t="s">
        <v>548</v>
      </c>
      <c r="S213" t="s">
        <v>514</v>
      </c>
      <c r="T213" t="s">
        <v>516</v>
      </c>
      <c r="U213" t="s">
        <v>177</v>
      </c>
      <c r="V213" s="3">
        <f>Tabla1[[#This Row],[OS-Valor Unitario]]-Tabla1[[#This Row],[costo_antes_iva]]</f>
        <v>500</v>
      </c>
      <c r="W213" s="3">
        <f>Tabla1[[#This Row],[OS-Valor Unitario]]*Tabla1[[#This Row],[OS-Cantidad]]</f>
        <v>390000</v>
      </c>
      <c r="X213" s="3">
        <f>Tabla1[[#This Row],[costo_antes_iva]]*Tabla1[[#This Row],[OS-Cantidad]]</f>
        <v>375000</v>
      </c>
      <c r="Y213" s="3">
        <f>Tabla1[[#This Row],[Valor total OS]]-Tabla1[[#This Row],[valor total op]]</f>
        <v>15000</v>
      </c>
    </row>
    <row r="214" spans="1:25" x14ac:dyDescent="0.3">
      <c r="A214">
        <v>6492</v>
      </c>
      <c r="B214">
        <v>19</v>
      </c>
      <c r="C214" t="s">
        <v>544</v>
      </c>
      <c r="D214">
        <v>30</v>
      </c>
      <c r="E214" s="5">
        <v>46020.868750000001</v>
      </c>
      <c r="F214" t="s">
        <v>545</v>
      </c>
      <c r="G214" t="s">
        <v>429</v>
      </c>
      <c r="H214" t="s">
        <v>346</v>
      </c>
      <c r="I214">
        <v>30</v>
      </c>
      <c r="J214">
        <v>77869427</v>
      </c>
      <c r="K214" s="5">
        <v>46020</v>
      </c>
      <c r="L214" s="3">
        <v>1000</v>
      </c>
      <c r="M214" t="s">
        <v>549</v>
      </c>
      <c r="N214" t="s">
        <v>26</v>
      </c>
      <c r="O214" t="s">
        <v>547</v>
      </c>
      <c r="P214" s="3">
        <v>900</v>
      </c>
      <c r="Q214">
        <v>30</v>
      </c>
      <c r="R214" t="s">
        <v>550</v>
      </c>
      <c r="S214" t="s">
        <v>514</v>
      </c>
      <c r="T214" t="s">
        <v>515</v>
      </c>
      <c r="U214" t="s">
        <v>177</v>
      </c>
      <c r="V214" s="3">
        <f>Tabla1[[#This Row],[OS-Valor Unitario]]-Tabla1[[#This Row],[costo_antes_iva]]</f>
        <v>-100</v>
      </c>
      <c r="W214" s="3">
        <f>Tabla1[[#This Row],[OS-Valor Unitario]]*Tabla1[[#This Row],[OS-Cantidad]]</f>
        <v>27000</v>
      </c>
      <c r="X214" s="3">
        <f>Tabla1[[#This Row],[costo_antes_iva]]*Tabla1[[#This Row],[OS-Cantidad]]</f>
        <v>30000</v>
      </c>
      <c r="Y214" s="3">
        <f>Tabla1[[#This Row],[Valor total OS]]-Tabla1[[#This Row],[valor total op]]</f>
        <v>-3000</v>
      </c>
    </row>
    <row r="215" spans="1:25" x14ac:dyDescent="0.3">
      <c r="A215">
        <v>6492</v>
      </c>
      <c r="B215">
        <v>19</v>
      </c>
      <c r="C215" t="s">
        <v>544</v>
      </c>
      <c r="D215">
        <v>30</v>
      </c>
      <c r="E215" s="5">
        <v>46020.868750000001</v>
      </c>
      <c r="F215" t="s">
        <v>545</v>
      </c>
      <c r="G215" t="s">
        <v>429</v>
      </c>
      <c r="H215" t="s">
        <v>346</v>
      </c>
      <c r="I215">
        <v>30</v>
      </c>
      <c r="J215">
        <v>77869427</v>
      </c>
      <c r="K215" s="5">
        <v>46020</v>
      </c>
      <c r="L215" s="3">
        <v>1000</v>
      </c>
      <c r="M215" t="s">
        <v>549</v>
      </c>
      <c r="N215" t="s">
        <v>26</v>
      </c>
      <c r="O215" t="s">
        <v>547</v>
      </c>
      <c r="P215" s="3">
        <v>900</v>
      </c>
      <c r="Q215">
        <v>30</v>
      </c>
      <c r="R215" t="s">
        <v>550</v>
      </c>
      <c r="S215" t="s">
        <v>514</v>
      </c>
      <c r="T215" t="s">
        <v>516</v>
      </c>
      <c r="U215" t="s">
        <v>177</v>
      </c>
      <c r="V215" s="3">
        <f>Tabla1[[#This Row],[OS-Valor Unitario]]-Tabla1[[#This Row],[costo_antes_iva]]</f>
        <v>-100</v>
      </c>
      <c r="W215" s="3">
        <f>Tabla1[[#This Row],[OS-Valor Unitario]]*Tabla1[[#This Row],[OS-Cantidad]]</f>
        <v>27000</v>
      </c>
      <c r="X215" s="3">
        <f>Tabla1[[#This Row],[costo_antes_iva]]*Tabla1[[#This Row],[OS-Cantidad]]</f>
        <v>30000</v>
      </c>
      <c r="Y215" s="3">
        <f>Tabla1[[#This Row],[Valor total OS]]-Tabla1[[#This Row],[valor total op]]</f>
        <v>-3000</v>
      </c>
    </row>
    <row r="216" spans="1:25" x14ac:dyDescent="0.3">
      <c r="A216">
        <v>6492</v>
      </c>
      <c r="B216">
        <v>19</v>
      </c>
      <c r="C216" t="s">
        <v>544</v>
      </c>
      <c r="D216">
        <v>30</v>
      </c>
      <c r="E216" s="5">
        <v>46020.868750000001</v>
      </c>
      <c r="F216" t="s">
        <v>545</v>
      </c>
      <c r="G216" t="s">
        <v>429</v>
      </c>
      <c r="H216" t="s">
        <v>346</v>
      </c>
      <c r="I216">
        <v>30</v>
      </c>
      <c r="J216">
        <v>77869427</v>
      </c>
      <c r="K216" s="5">
        <v>46020</v>
      </c>
      <c r="L216" s="3">
        <v>11500</v>
      </c>
      <c r="M216" t="s">
        <v>549</v>
      </c>
      <c r="N216" t="s">
        <v>56</v>
      </c>
      <c r="O216" t="s">
        <v>547</v>
      </c>
      <c r="P216" s="3">
        <v>13000</v>
      </c>
      <c r="Q216">
        <v>30</v>
      </c>
      <c r="R216" t="s">
        <v>548</v>
      </c>
      <c r="S216" t="s">
        <v>514</v>
      </c>
      <c r="T216" t="s">
        <v>515</v>
      </c>
      <c r="U216" t="s">
        <v>177</v>
      </c>
      <c r="V216" s="3">
        <f>Tabla1[[#This Row],[OS-Valor Unitario]]-Tabla1[[#This Row],[costo_antes_iva]]</f>
        <v>1500</v>
      </c>
      <c r="W216" s="3">
        <f>Tabla1[[#This Row],[OS-Valor Unitario]]*Tabla1[[#This Row],[OS-Cantidad]]</f>
        <v>390000</v>
      </c>
      <c r="X216" s="3">
        <f>Tabla1[[#This Row],[costo_antes_iva]]*Tabla1[[#This Row],[OS-Cantidad]]</f>
        <v>345000</v>
      </c>
      <c r="Y216" s="3">
        <f>Tabla1[[#This Row],[Valor total OS]]-Tabla1[[#This Row],[valor total op]]</f>
        <v>45000</v>
      </c>
    </row>
    <row r="217" spans="1:25" x14ac:dyDescent="0.3">
      <c r="A217">
        <v>6492</v>
      </c>
      <c r="B217">
        <v>19</v>
      </c>
      <c r="C217" t="s">
        <v>544</v>
      </c>
      <c r="D217">
        <v>30</v>
      </c>
      <c r="E217" s="5">
        <v>46020.868750000001</v>
      </c>
      <c r="F217" t="s">
        <v>545</v>
      </c>
      <c r="G217" t="s">
        <v>429</v>
      </c>
      <c r="H217" t="s">
        <v>346</v>
      </c>
      <c r="I217">
        <v>30</v>
      </c>
      <c r="J217">
        <v>77869427</v>
      </c>
      <c r="K217" s="5">
        <v>46020</v>
      </c>
      <c r="L217" s="3">
        <v>11500</v>
      </c>
      <c r="M217" t="s">
        <v>549</v>
      </c>
      <c r="N217" t="s">
        <v>56</v>
      </c>
      <c r="O217" t="s">
        <v>547</v>
      </c>
      <c r="P217" s="3">
        <v>13000</v>
      </c>
      <c r="Q217">
        <v>30</v>
      </c>
      <c r="R217" t="s">
        <v>548</v>
      </c>
      <c r="S217" t="s">
        <v>514</v>
      </c>
      <c r="T217" t="s">
        <v>516</v>
      </c>
      <c r="U217" t="s">
        <v>177</v>
      </c>
      <c r="V217" s="3">
        <f>Tabla1[[#This Row],[OS-Valor Unitario]]-Tabla1[[#This Row],[costo_antes_iva]]</f>
        <v>1500</v>
      </c>
      <c r="W217" s="3">
        <f>Tabla1[[#This Row],[OS-Valor Unitario]]*Tabla1[[#This Row],[OS-Cantidad]]</f>
        <v>390000</v>
      </c>
      <c r="X217" s="3">
        <f>Tabla1[[#This Row],[costo_antes_iva]]*Tabla1[[#This Row],[OS-Cantidad]]</f>
        <v>345000</v>
      </c>
      <c r="Y217" s="3">
        <f>Tabla1[[#This Row],[Valor total OS]]-Tabla1[[#This Row],[valor total op]]</f>
        <v>45000</v>
      </c>
    </row>
    <row r="218" spans="1:25" x14ac:dyDescent="0.3">
      <c r="A218">
        <v>6492</v>
      </c>
      <c r="B218">
        <v>20</v>
      </c>
      <c r="C218" t="s">
        <v>551</v>
      </c>
      <c r="D218">
        <v>6</v>
      </c>
      <c r="E218" s="5">
        <v>46020.868750000001</v>
      </c>
      <c r="F218" t="s">
        <v>545</v>
      </c>
      <c r="G218" t="s">
        <v>517</v>
      </c>
      <c r="H218" t="s">
        <v>346</v>
      </c>
      <c r="I218">
        <v>6</v>
      </c>
      <c r="J218">
        <v>77869273</v>
      </c>
      <c r="K218" s="5">
        <v>46020</v>
      </c>
      <c r="L218" s="3">
        <v>800</v>
      </c>
      <c r="M218" t="s">
        <v>546</v>
      </c>
      <c r="N218" t="s">
        <v>72</v>
      </c>
      <c r="O218" t="s">
        <v>552</v>
      </c>
      <c r="P218" s="3">
        <v>2450</v>
      </c>
      <c r="Q218">
        <v>12</v>
      </c>
      <c r="R218" t="s">
        <v>553</v>
      </c>
      <c r="S218" t="s">
        <v>514</v>
      </c>
      <c r="T218" t="s">
        <v>515</v>
      </c>
      <c r="U218" t="s">
        <v>177</v>
      </c>
      <c r="V218" s="3">
        <f>Tabla1[[#This Row],[OS-Valor Unitario]]-Tabla1[[#This Row],[costo_antes_iva]]</f>
        <v>1650</v>
      </c>
      <c r="W218" s="3">
        <f>Tabla1[[#This Row],[OS-Valor Unitario]]*Tabla1[[#This Row],[OS-Cantidad]]</f>
        <v>29400</v>
      </c>
      <c r="X218" s="3">
        <f>Tabla1[[#This Row],[costo_antes_iva]]*Tabla1[[#This Row],[OS-Cantidad]]</f>
        <v>9600</v>
      </c>
      <c r="Y218" s="3">
        <f>Tabla1[[#This Row],[Valor total OS]]-Tabla1[[#This Row],[valor total op]]</f>
        <v>19800</v>
      </c>
    </row>
    <row r="219" spans="1:25" x14ac:dyDescent="0.3">
      <c r="A219">
        <v>6492</v>
      </c>
      <c r="B219">
        <v>20</v>
      </c>
      <c r="C219" t="s">
        <v>551</v>
      </c>
      <c r="D219">
        <v>6</v>
      </c>
      <c r="E219" s="5">
        <v>46020.868750000001</v>
      </c>
      <c r="F219" t="s">
        <v>545</v>
      </c>
      <c r="G219" t="s">
        <v>517</v>
      </c>
      <c r="H219" t="s">
        <v>346</v>
      </c>
      <c r="I219">
        <v>6</v>
      </c>
      <c r="J219">
        <v>77869273</v>
      </c>
      <c r="K219" s="5">
        <v>46020</v>
      </c>
      <c r="L219" s="3">
        <v>800</v>
      </c>
      <c r="M219" t="s">
        <v>546</v>
      </c>
      <c r="N219" t="s">
        <v>72</v>
      </c>
      <c r="O219" t="s">
        <v>552</v>
      </c>
      <c r="P219" s="3">
        <v>2450</v>
      </c>
      <c r="Q219">
        <v>12</v>
      </c>
      <c r="R219" t="s">
        <v>553</v>
      </c>
      <c r="S219" t="s">
        <v>514</v>
      </c>
      <c r="T219" t="s">
        <v>516</v>
      </c>
      <c r="U219" t="s">
        <v>177</v>
      </c>
      <c r="V219" s="3">
        <f>Tabla1[[#This Row],[OS-Valor Unitario]]-Tabla1[[#This Row],[costo_antes_iva]]</f>
        <v>1650</v>
      </c>
      <c r="W219" s="3">
        <f>Tabla1[[#This Row],[OS-Valor Unitario]]*Tabla1[[#This Row],[OS-Cantidad]]</f>
        <v>29400</v>
      </c>
      <c r="X219" s="3">
        <f>Tabla1[[#This Row],[costo_antes_iva]]*Tabla1[[#This Row],[OS-Cantidad]]</f>
        <v>9600</v>
      </c>
      <c r="Y219" s="3">
        <f>Tabla1[[#This Row],[Valor total OS]]-Tabla1[[#This Row],[valor total op]]</f>
        <v>19800</v>
      </c>
    </row>
    <row r="220" spans="1:25" x14ac:dyDescent="0.3">
      <c r="A220">
        <v>6492</v>
      </c>
      <c r="B220">
        <v>20</v>
      </c>
      <c r="C220" t="s">
        <v>551</v>
      </c>
      <c r="D220">
        <v>6</v>
      </c>
      <c r="E220" s="5">
        <v>46020.868750000001</v>
      </c>
      <c r="F220" t="s">
        <v>545</v>
      </c>
      <c r="G220" t="s">
        <v>517</v>
      </c>
      <c r="H220" t="s">
        <v>346</v>
      </c>
      <c r="I220">
        <v>6</v>
      </c>
      <c r="J220">
        <v>77869273</v>
      </c>
      <c r="K220" s="5">
        <v>46020</v>
      </c>
      <c r="L220" s="3">
        <v>12500</v>
      </c>
      <c r="M220" t="s">
        <v>546</v>
      </c>
      <c r="N220" t="s">
        <v>56</v>
      </c>
      <c r="O220" t="s">
        <v>552</v>
      </c>
      <c r="P220" s="3">
        <v>12000</v>
      </c>
      <c r="Q220">
        <v>6</v>
      </c>
      <c r="R220" t="s">
        <v>554</v>
      </c>
      <c r="S220" t="s">
        <v>514</v>
      </c>
      <c r="T220" t="s">
        <v>515</v>
      </c>
      <c r="U220" t="s">
        <v>177</v>
      </c>
      <c r="V220" s="3">
        <f>Tabla1[[#This Row],[OS-Valor Unitario]]-Tabla1[[#This Row],[costo_antes_iva]]</f>
        <v>-500</v>
      </c>
      <c r="W220" s="3">
        <f>Tabla1[[#This Row],[OS-Valor Unitario]]*Tabla1[[#This Row],[OS-Cantidad]]</f>
        <v>72000</v>
      </c>
      <c r="X220" s="3">
        <f>Tabla1[[#This Row],[costo_antes_iva]]*Tabla1[[#This Row],[OS-Cantidad]]</f>
        <v>75000</v>
      </c>
      <c r="Y220" s="3">
        <f>Tabla1[[#This Row],[Valor total OS]]-Tabla1[[#This Row],[valor total op]]</f>
        <v>-3000</v>
      </c>
    </row>
    <row r="221" spans="1:25" x14ac:dyDescent="0.3">
      <c r="A221">
        <v>6492</v>
      </c>
      <c r="B221">
        <v>20</v>
      </c>
      <c r="C221" t="s">
        <v>551</v>
      </c>
      <c r="D221">
        <v>6</v>
      </c>
      <c r="E221" s="5">
        <v>46020.868750000001</v>
      </c>
      <c r="F221" t="s">
        <v>545</v>
      </c>
      <c r="G221" t="s">
        <v>517</v>
      </c>
      <c r="H221" t="s">
        <v>346</v>
      </c>
      <c r="I221">
        <v>6</v>
      </c>
      <c r="J221">
        <v>77869273</v>
      </c>
      <c r="K221" s="5">
        <v>46020</v>
      </c>
      <c r="L221" s="3">
        <v>12500</v>
      </c>
      <c r="M221" t="s">
        <v>546</v>
      </c>
      <c r="N221" t="s">
        <v>56</v>
      </c>
      <c r="O221" t="s">
        <v>552</v>
      </c>
      <c r="P221" s="3">
        <v>12000</v>
      </c>
      <c r="Q221">
        <v>6</v>
      </c>
      <c r="R221" t="s">
        <v>554</v>
      </c>
      <c r="S221" t="s">
        <v>514</v>
      </c>
      <c r="T221" t="s">
        <v>516</v>
      </c>
      <c r="U221" t="s">
        <v>177</v>
      </c>
      <c r="V221" s="3">
        <f>Tabla1[[#This Row],[OS-Valor Unitario]]-Tabla1[[#This Row],[costo_antes_iva]]</f>
        <v>-500</v>
      </c>
      <c r="W221" s="3">
        <f>Tabla1[[#This Row],[OS-Valor Unitario]]*Tabla1[[#This Row],[OS-Cantidad]]</f>
        <v>72000</v>
      </c>
      <c r="X221" s="3">
        <f>Tabla1[[#This Row],[costo_antes_iva]]*Tabla1[[#This Row],[OS-Cantidad]]</f>
        <v>75000</v>
      </c>
      <c r="Y221" s="3">
        <f>Tabla1[[#This Row],[Valor total OS]]-Tabla1[[#This Row],[valor total op]]</f>
        <v>-3000</v>
      </c>
    </row>
    <row r="222" spans="1:25" x14ac:dyDescent="0.3">
      <c r="A222">
        <v>6492</v>
      </c>
      <c r="B222">
        <v>20</v>
      </c>
      <c r="C222" t="s">
        <v>551</v>
      </c>
      <c r="D222">
        <v>6</v>
      </c>
      <c r="E222" s="5">
        <v>46020.868750000001</v>
      </c>
      <c r="F222" t="s">
        <v>545</v>
      </c>
      <c r="G222" t="s">
        <v>429</v>
      </c>
      <c r="H222" t="s">
        <v>346</v>
      </c>
      <c r="I222">
        <v>30</v>
      </c>
      <c r="J222">
        <v>77869427</v>
      </c>
      <c r="K222" s="5">
        <v>46020</v>
      </c>
      <c r="L222" s="3">
        <v>11500</v>
      </c>
      <c r="M222" t="s">
        <v>549</v>
      </c>
      <c r="N222" t="s">
        <v>56</v>
      </c>
      <c r="O222" t="s">
        <v>552</v>
      </c>
      <c r="P222" s="3">
        <v>12000</v>
      </c>
      <c r="Q222">
        <v>6</v>
      </c>
      <c r="R222" t="s">
        <v>554</v>
      </c>
      <c r="S222" t="s">
        <v>514</v>
      </c>
      <c r="T222" t="s">
        <v>515</v>
      </c>
      <c r="U222" t="s">
        <v>177</v>
      </c>
      <c r="V222" s="3">
        <f>Tabla1[[#This Row],[OS-Valor Unitario]]-Tabla1[[#This Row],[costo_antes_iva]]</f>
        <v>500</v>
      </c>
      <c r="W222" s="3">
        <f>Tabla1[[#This Row],[OS-Valor Unitario]]*Tabla1[[#This Row],[OS-Cantidad]]</f>
        <v>72000</v>
      </c>
      <c r="X222" s="3">
        <f>Tabla1[[#This Row],[costo_antes_iva]]*Tabla1[[#This Row],[OS-Cantidad]]</f>
        <v>69000</v>
      </c>
      <c r="Y222" s="3">
        <f>Tabla1[[#This Row],[Valor total OS]]-Tabla1[[#This Row],[valor total op]]</f>
        <v>3000</v>
      </c>
    </row>
    <row r="223" spans="1:25" x14ac:dyDescent="0.3">
      <c r="A223">
        <v>6492</v>
      </c>
      <c r="B223">
        <v>20</v>
      </c>
      <c r="C223" t="s">
        <v>551</v>
      </c>
      <c r="D223">
        <v>6</v>
      </c>
      <c r="E223" s="5">
        <v>46020.868750000001</v>
      </c>
      <c r="F223" t="s">
        <v>545</v>
      </c>
      <c r="G223" t="s">
        <v>429</v>
      </c>
      <c r="H223" t="s">
        <v>346</v>
      </c>
      <c r="I223">
        <v>30</v>
      </c>
      <c r="J223">
        <v>77869427</v>
      </c>
      <c r="K223" s="5">
        <v>46020</v>
      </c>
      <c r="L223" s="3">
        <v>11500</v>
      </c>
      <c r="M223" t="s">
        <v>549</v>
      </c>
      <c r="N223" t="s">
        <v>56</v>
      </c>
      <c r="O223" t="s">
        <v>552</v>
      </c>
      <c r="P223" s="3">
        <v>12000</v>
      </c>
      <c r="Q223">
        <v>6</v>
      </c>
      <c r="R223" t="s">
        <v>554</v>
      </c>
      <c r="S223" t="s">
        <v>514</v>
      </c>
      <c r="T223" t="s">
        <v>516</v>
      </c>
      <c r="U223" t="s">
        <v>177</v>
      </c>
      <c r="V223" s="3">
        <f>Tabla1[[#This Row],[OS-Valor Unitario]]-Tabla1[[#This Row],[costo_antes_iva]]</f>
        <v>500</v>
      </c>
      <c r="W223" s="3">
        <f>Tabla1[[#This Row],[OS-Valor Unitario]]*Tabla1[[#This Row],[OS-Cantidad]]</f>
        <v>72000</v>
      </c>
      <c r="X223" s="3">
        <f>Tabla1[[#This Row],[costo_antes_iva]]*Tabla1[[#This Row],[OS-Cantidad]]</f>
        <v>69000</v>
      </c>
      <c r="Y223" s="3">
        <f>Tabla1[[#This Row],[Valor total OS]]-Tabla1[[#This Row],[valor total op]]</f>
        <v>3000</v>
      </c>
    </row>
    <row r="224" spans="1:25" x14ac:dyDescent="0.3">
      <c r="A224">
        <v>6492</v>
      </c>
      <c r="B224">
        <v>21</v>
      </c>
      <c r="C224" t="s">
        <v>555</v>
      </c>
      <c r="D224">
        <v>50</v>
      </c>
      <c r="E224" s="5">
        <v>46020.868750000001</v>
      </c>
      <c r="F224" t="s">
        <v>428</v>
      </c>
      <c r="G224" t="s">
        <v>429</v>
      </c>
      <c r="H224" t="s">
        <v>346</v>
      </c>
      <c r="I224">
        <v>50</v>
      </c>
      <c r="J224">
        <v>77869395</v>
      </c>
      <c r="K224" s="5">
        <v>46020</v>
      </c>
      <c r="L224" s="3">
        <v>11500</v>
      </c>
      <c r="M224" t="s">
        <v>430</v>
      </c>
      <c r="N224" t="s">
        <v>56</v>
      </c>
      <c r="O224" t="s">
        <v>556</v>
      </c>
      <c r="P224" s="3">
        <v>13000</v>
      </c>
      <c r="Q224">
        <v>50</v>
      </c>
      <c r="R224" t="s">
        <v>557</v>
      </c>
      <c r="S224" t="s">
        <v>433</v>
      </c>
      <c r="T224" t="s">
        <v>434</v>
      </c>
      <c r="U224" t="s">
        <v>177</v>
      </c>
      <c r="V224" s="3">
        <f>Tabla1[[#This Row],[OS-Valor Unitario]]-Tabla1[[#This Row],[costo_antes_iva]]</f>
        <v>1500</v>
      </c>
      <c r="W224" s="3">
        <f>Tabla1[[#This Row],[OS-Valor Unitario]]*Tabla1[[#This Row],[OS-Cantidad]]</f>
        <v>650000</v>
      </c>
      <c r="X224" s="3">
        <f>Tabla1[[#This Row],[costo_antes_iva]]*Tabla1[[#This Row],[OS-Cantidad]]</f>
        <v>575000</v>
      </c>
      <c r="Y224" s="3">
        <f>Tabla1[[#This Row],[Valor total OS]]-Tabla1[[#This Row],[valor total op]]</f>
        <v>75000</v>
      </c>
    </row>
    <row r="225" spans="1:25" x14ac:dyDescent="0.3">
      <c r="A225">
        <v>6492</v>
      </c>
      <c r="B225">
        <v>21</v>
      </c>
      <c r="C225" t="s">
        <v>555</v>
      </c>
      <c r="D225">
        <v>50</v>
      </c>
      <c r="E225" s="5">
        <v>46020.868750000001</v>
      </c>
      <c r="F225" t="s">
        <v>428</v>
      </c>
      <c r="G225" t="s">
        <v>435</v>
      </c>
      <c r="H225" t="s">
        <v>346</v>
      </c>
      <c r="I225">
        <v>200</v>
      </c>
      <c r="J225">
        <v>77935140</v>
      </c>
      <c r="K225" s="5">
        <v>46022</v>
      </c>
      <c r="L225" s="3">
        <v>4500</v>
      </c>
      <c r="M225" t="s">
        <v>436</v>
      </c>
      <c r="N225" t="s">
        <v>56</v>
      </c>
      <c r="O225" t="s">
        <v>556</v>
      </c>
      <c r="P225" s="3">
        <v>13000</v>
      </c>
      <c r="Q225">
        <v>50</v>
      </c>
      <c r="R225" t="s">
        <v>557</v>
      </c>
      <c r="S225" t="s">
        <v>433</v>
      </c>
      <c r="T225" t="s">
        <v>434</v>
      </c>
      <c r="U225" t="s">
        <v>177</v>
      </c>
      <c r="V225" s="3">
        <f>Tabla1[[#This Row],[OS-Valor Unitario]]-Tabla1[[#This Row],[costo_antes_iva]]</f>
        <v>8500</v>
      </c>
      <c r="W225" s="3">
        <f>Tabla1[[#This Row],[OS-Valor Unitario]]*Tabla1[[#This Row],[OS-Cantidad]]</f>
        <v>650000</v>
      </c>
      <c r="X225" s="3">
        <f>Tabla1[[#This Row],[costo_antes_iva]]*Tabla1[[#This Row],[OS-Cantidad]]</f>
        <v>225000</v>
      </c>
      <c r="Y225" s="3">
        <f>Tabla1[[#This Row],[Valor total OS]]-Tabla1[[#This Row],[valor total op]]</f>
        <v>425000</v>
      </c>
    </row>
    <row r="226" spans="1:25" x14ac:dyDescent="0.3">
      <c r="A226">
        <v>6492</v>
      </c>
      <c r="B226">
        <v>21</v>
      </c>
      <c r="C226" t="s">
        <v>555</v>
      </c>
      <c r="D226">
        <v>50</v>
      </c>
      <c r="E226" s="5">
        <v>46020.868750000001</v>
      </c>
      <c r="F226" t="s">
        <v>428</v>
      </c>
      <c r="G226" t="s">
        <v>435</v>
      </c>
      <c r="H226" t="s">
        <v>346</v>
      </c>
      <c r="I226">
        <v>1150</v>
      </c>
      <c r="J226">
        <v>76177272</v>
      </c>
      <c r="K226" s="5">
        <v>45987</v>
      </c>
      <c r="L226" s="3">
        <v>4500</v>
      </c>
      <c r="M226" t="s">
        <v>439</v>
      </c>
      <c r="N226" t="s">
        <v>56</v>
      </c>
      <c r="O226" t="s">
        <v>556</v>
      </c>
      <c r="P226" s="3">
        <v>13000</v>
      </c>
      <c r="Q226">
        <v>50</v>
      </c>
      <c r="R226" t="s">
        <v>557</v>
      </c>
      <c r="S226" t="s">
        <v>433</v>
      </c>
      <c r="T226" t="s">
        <v>434</v>
      </c>
      <c r="U226" t="s">
        <v>177</v>
      </c>
      <c r="V226" s="3">
        <f>Tabla1[[#This Row],[OS-Valor Unitario]]-Tabla1[[#This Row],[costo_antes_iva]]</f>
        <v>8500</v>
      </c>
      <c r="W226" s="3">
        <f>Tabla1[[#This Row],[OS-Valor Unitario]]*Tabla1[[#This Row],[OS-Cantidad]]</f>
        <v>650000</v>
      </c>
      <c r="X226" s="3">
        <f>Tabla1[[#This Row],[costo_antes_iva]]*Tabla1[[#This Row],[OS-Cantidad]]</f>
        <v>225000</v>
      </c>
      <c r="Y226" s="3">
        <f>Tabla1[[#This Row],[Valor total OS]]-Tabla1[[#This Row],[valor total op]]</f>
        <v>425000</v>
      </c>
    </row>
    <row r="227" spans="1:25" x14ac:dyDescent="0.3">
      <c r="A227">
        <v>6492</v>
      </c>
      <c r="B227">
        <v>21</v>
      </c>
      <c r="C227" t="s">
        <v>555</v>
      </c>
      <c r="D227">
        <v>50</v>
      </c>
      <c r="E227" s="5">
        <v>46020.868750000001</v>
      </c>
      <c r="F227" t="s">
        <v>428</v>
      </c>
      <c r="G227" t="s">
        <v>435</v>
      </c>
      <c r="H227" t="s">
        <v>346</v>
      </c>
      <c r="I227">
        <v>5</v>
      </c>
      <c r="J227">
        <v>75885191</v>
      </c>
      <c r="K227" s="5">
        <v>45986</v>
      </c>
      <c r="L227" s="3">
        <v>4500</v>
      </c>
      <c r="M227" t="s">
        <v>440</v>
      </c>
      <c r="N227" t="s">
        <v>56</v>
      </c>
      <c r="O227" t="s">
        <v>556</v>
      </c>
      <c r="P227" s="3">
        <v>13000</v>
      </c>
      <c r="Q227">
        <v>50</v>
      </c>
      <c r="R227" t="s">
        <v>557</v>
      </c>
      <c r="S227" t="s">
        <v>433</v>
      </c>
      <c r="T227" t="s">
        <v>434</v>
      </c>
      <c r="U227" t="s">
        <v>177</v>
      </c>
      <c r="V227" s="3">
        <f>Tabla1[[#This Row],[OS-Valor Unitario]]-Tabla1[[#This Row],[costo_antes_iva]]</f>
        <v>8500</v>
      </c>
      <c r="W227" s="3">
        <f>Tabla1[[#This Row],[OS-Valor Unitario]]*Tabla1[[#This Row],[OS-Cantidad]]</f>
        <v>650000</v>
      </c>
      <c r="X227" s="3">
        <f>Tabla1[[#This Row],[costo_antes_iva]]*Tabla1[[#This Row],[OS-Cantidad]]</f>
        <v>225000</v>
      </c>
      <c r="Y227" s="3">
        <f>Tabla1[[#This Row],[Valor total OS]]-Tabla1[[#This Row],[valor total op]]</f>
        <v>425000</v>
      </c>
    </row>
    <row r="228" spans="1:25" x14ac:dyDescent="0.3">
      <c r="A228">
        <v>6492</v>
      </c>
      <c r="B228">
        <v>22</v>
      </c>
      <c r="C228" t="s">
        <v>558</v>
      </c>
      <c r="D228">
        <v>12</v>
      </c>
      <c r="E228" s="5">
        <v>46020.868750000001</v>
      </c>
      <c r="F228" t="s">
        <v>559</v>
      </c>
      <c r="G228" t="s">
        <v>487</v>
      </c>
      <c r="H228" t="s">
        <v>346</v>
      </c>
      <c r="I228">
        <v>12</v>
      </c>
      <c r="J228">
        <v>77864131</v>
      </c>
      <c r="K228" s="5">
        <v>46020</v>
      </c>
      <c r="L228" s="3">
        <v>1000</v>
      </c>
      <c r="M228" t="s">
        <v>560</v>
      </c>
      <c r="N228" t="s">
        <v>26</v>
      </c>
      <c r="O228" t="s">
        <v>561</v>
      </c>
      <c r="P228" s="3">
        <v>900</v>
      </c>
      <c r="Q228">
        <v>12</v>
      </c>
      <c r="R228" t="s">
        <v>562</v>
      </c>
      <c r="S228" t="s">
        <v>563</v>
      </c>
      <c r="T228" t="s">
        <v>564</v>
      </c>
      <c r="U228" t="s">
        <v>177</v>
      </c>
      <c r="V228" s="3">
        <f>Tabla1[[#This Row],[OS-Valor Unitario]]-Tabla1[[#This Row],[costo_antes_iva]]</f>
        <v>-100</v>
      </c>
      <c r="W228" s="3">
        <f>Tabla1[[#This Row],[OS-Valor Unitario]]*Tabla1[[#This Row],[OS-Cantidad]]</f>
        <v>10800</v>
      </c>
      <c r="X228" s="3">
        <f>Tabla1[[#This Row],[costo_antes_iva]]*Tabla1[[#This Row],[OS-Cantidad]]</f>
        <v>12000</v>
      </c>
      <c r="Y228" s="3">
        <f>Tabla1[[#This Row],[Valor total OS]]-Tabla1[[#This Row],[valor total op]]</f>
        <v>-1200</v>
      </c>
    </row>
    <row r="229" spans="1:25" x14ac:dyDescent="0.3">
      <c r="A229">
        <v>6492</v>
      </c>
      <c r="B229">
        <v>22</v>
      </c>
      <c r="C229" t="s">
        <v>558</v>
      </c>
      <c r="D229">
        <v>12</v>
      </c>
      <c r="E229" s="5">
        <v>46020.868750000001</v>
      </c>
      <c r="F229" t="s">
        <v>559</v>
      </c>
      <c r="G229" t="s">
        <v>487</v>
      </c>
      <c r="H229" t="s">
        <v>346</v>
      </c>
      <c r="I229">
        <v>12</v>
      </c>
      <c r="J229">
        <v>77864131</v>
      </c>
      <c r="K229" s="5">
        <v>46020</v>
      </c>
      <c r="L229" s="3">
        <v>11500</v>
      </c>
      <c r="M229" t="s">
        <v>560</v>
      </c>
      <c r="N229" t="s">
        <v>56</v>
      </c>
      <c r="O229" t="s">
        <v>561</v>
      </c>
      <c r="P229" s="3">
        <v>11500</v>
      </c>
      <c r="Q229">
        <v>12</v>
      </c>
      <c r="R229" t="s">
        <v>565</v>
      </c>
      <c r="S229" t="s">
        <v>563</v>
      </c>
      <c r="T229" t="s">
        <v>564</v>
      </c>
      <c r="U229" t="s">
        <v>177</v>
      </c>
      <c r="V229" s="3">
        <f>Tabla1[[#This Row],[OS-Valor Unitario]]-Tabla1[[#This Row],[costo_antes_iva]]</f>
        <v>0</v>
      </c>
      <c r="W229" s="3">
        <f>Tabla1[[#This Row],[OS-Valor Unitario]]*Tabla1[[#This Row],[OS-Cantidad]]</f>
        <v>138000</v>
      </c>
      <c r="X229" s="3">
        <f>Tabla1[[#This Row],[costo_antes_iva]]*Tabla1[[#This Row],[OS-Cantidad]]</f>
        <v>138000</v>
      </c>
      <c r="Y229" s="3">
        <f>Tabla1[[#This Row],[Valor total OS]]-Tabla1[[#This Row],[valor total op]]</f>
        <v>0</v>
      </c>
    </row>
    <row r="230" spans="1:25" x14ac:dyDescent="0.3">
      <c r="A230">
        <v>6492</v>
      </c>
      <c r="B230">
        <v>23</v>
      </c>
      <c r="C230" t="s">
        <v>566</v>
      </c>
      <c r="D230">
        <v>7</v>
      </c>
      <c r="E230" s="5">
        <v>46020.868750000001</v>
      </c>
      <c r="F230" t="s">
        <v>567</v>
      </c>
      <c r="G230" t="s">
        <v>568</v>
      </c>
      <c r="H230" t="s">
        <v>346</v>
      </c>
      <c r="I230">
        <v>7</v>
      </c>
      <c r="J230">
        <v>77864470</v>
      </c>
      <c r="K230" s="5">
        <v>46020</v>
      </c>
      <c r="L230" s="3">
        <v>900</v>
      </c>
      <c r="M230" t="s">
        <v>569</v>
      </c>
      <c r="N230" t="s">
        <v>26</v>
      </c>
      <c r="O230" t="s">
        <v>570</v>
      </c>
      <c r="P230" s="3">
        <v>900</v>
      </c>
      <c r="Q230">
        <v>7</v>
      </c>
      <c r="R230" t="s">
        <v>571</v>
      </c>
      <c r="S230" t="s">
        <v>563</v>
      </c>
      <c r="T230" t="s">
        <v>564</v>
      </c>
      <c r="U230" t="s">
        <v>177</v>
      </c>
      <c r="V230" s="3">
        <f>Tabla1[[#This Row],[OS-Valor Unitario]]-Tabla1[[#This Row],[costo_antes_iva]]</f>
        <v>0</v>
      </c>
      <c r="W230" s="3">
        <f>Tabla1[[#This Row],[OS-Valor Unitario]]*Tabla1[[#This Row],[OS-Cantidad]]</f>
        <v>6300</v>
      </c>
      <c r="X230" s="3">
        <f>Tabla1[[#This Row],[costo_antes_iva]]*Tabla1[[#This Row],[OS-Cantidad]]</f>
        <v>6300</v>
      </c>
      <c r="Y230" s="3">
        <f>Tabla1[[#This Row],[Valor total OS]]-Tabla1[[#This Row],[valor total op]]</f>
        <v>0</v>
      </c>
    </row>
    <row r="231" spans="1:25" x14ac:dyDescent="0.3">
      <c r="A231">
        <v>6492</v>
      </c>
      <c r="B231">
        <v>23</v>
      </c>
      <c r="C231" t="s">
        <v>566</v>
      </c>
      <c r="D231">
        <v>7</v>
      </c>
      <c r="E231" s="5">
        <v>46020.868750000001</v>
      </c>
      <c r="F231" t="s">
        <v>567</v>
      </c>
      <c r="G231" t="s">
        <v>568</v>
      </c>
      <c r="H231" t="s">
        <v>346</v>
      </c>
      <c r="I231">
        <v>7</v>
      </c>
      <c r="J231">
        <v>77864470</v>
      </c>
      <c r="K231" s="5">
        <v>46020</v>
      </c>
      <c r="L231" s="3">
        <v>13000</v>
      </c>
      <c r="M231" t="s">
        <v>569</v>
      </c>
      <c r="N231" t="s">
        <v>56</v>
      </c>
      <c r="O231" t="s">
        <v>570</v>
      </c>
      <c r="P231" s="3">
        <v>12000</v>
      </c>
      <c r="Q231">
        <v>7</v>
      </c>
      <c r="R231" t="s">
        <v>572</v>
      </c>
      <c r="S231" t="s">
        <v>563</v>
      </c>
      <c r="T231" t="s">
        <v>564</v>
      </c>
      <c r="U231" t="s">
        <v>177</v>
      </c>
      <c r="V231" s="3">
        <f>Tabla1[[#This Row],[OS-Valor Unitario]]-Tabla1[[#This Row],[costo_antes_iva]]</f>
        <v>-1000</v>
      </c>
      <c r="W231" s="3">
        <f>Tabla1[[#This Row],[OS-Valor Unitario]]*Tabla1[[#This Row],[OS-Cantidad]]</f>
        <v>84000</v>
      </c>
      <c r="X231" s="3">
        <f>Tabla1[[#This Row],[costo_antes_iva]]*Tabla1[[#This Row],[OS-Cantidad]]</f>
        <v>91000</v>
      </c>
      <c r="Y231" s="3">
        <f>Tabla1[[#This Row],[Valor total OS]]-Tabla1[[#This Row],[valor total op]]</f>
        <v>-7000</v>
      </c>
    </row>
    <row r="232" spans="1:25" x14ac:dyDescent="0.3">
      <c r="A232">
        <v>6492</v>
      </c>
      <c r="B232">
        <v>23</v>
      </c>
      <c r="C232" t="s">
        <v>566</v>
      </c>
      <c r="D232">
        <v>7</v>
      </c>
      <c r="E232" s="5">
        <v>46020.868750000001</v>
      </c>
      <c r="F232" t="s">
        <v>567</v>
      </c>
      <c r="G232" t="s">
        <v>87</v>
      </c>
      <c r="H232" t="s">
        <v>346</v>
      </c>
      <c r="I232">
        <v>14</v>
      </c>
      <c r="J232">
        <v>77864464</v>
      </c>
      <c r="K232" s="5">
        <v>46020</v>
      </c>
      <c r="L232" s="3">
        <v>3200</v>
      </c>
      <c r="M232" t="s">
        <v>573</v>
      </c>
      <c r="N232" t="s">
        <v>56</v>
      </c>
      <c r="O232" t="s">
        <v>570</v>
      </c>
      <c r="P232" s="3">
        <v>12000</v>
      </c>
      <c r="Q232">
        <v>7</v>
      </c>
      <c r="R232" t="s">
        <v>572</v>
      </c>
      <c r="S232" t="s">
        <v>563</v>
      </c>
      <c r="T232" t="s">
        <v>564</v>
      </c>
      <c r="U232" t="s">
        <v>177</v>
      </c>
      <c r="V232" s="3">
        <f>Tabla1[[#This Row],[OS-Valor Unitario]]-Tabla1[[#This Row],[costo_antes_iva]]</f>
        <v>8800</v>
      </c>
      <c r="W232" s="3">
        <f>Tabla1[[#This Row],[OS-Valor Unitario]]*Tabla1[[#This Row],[OS-Cantidad]]</f>
        <v>84000</v>
      </c>
      <c r="X232" s="3">
        <f>Tabla1[[#This Row],[costo_antes_iva]]*Tabla1[[#This Row],[OS-Cantidad]]</f>
        <v>22400</v>
      </c>
      <c r="Y232" s="3">
        <f>Tabla1[[#This Row],[Valor total OS]]-Tabla1[[#This Row],[valor total op]]</f>
        <v>61600</v>
      </c>
    </row>
    <row r="233" spans="1:25" x14ac:dyDescent="0.3">
      <c r="A233">
        <v>6492</v>
      </c>
      <c r="B233">
        <v>23</v>
      </c>
      <c r="C233" t="s">
        <v>566</v>
      </c>
      <c r="D233">
        <v>7</v>
      </c>
      <c r="E233" s="5">
        <v>46020.868750000001</v>
      </c>
      <c r="F233" t="s">
        <v>567</v>
      </c>
      <c r="G233" t="s">
        <v>87</v>
      </c>
      <c r="H233" t="s">
        <v>346</v>
      </c>
      <c r="I233">
        <v>14</v>
      </c>
      <c r="J233">
        <v>77864464</v>
      </c>
      <c r="K233" s="5">
        <v>46020</v>
      </c>
      <c r="L233" s="3">
        <v>900</v>
      </c>
      <c r="M233" t="s">
        <v>573</v>
      </c>
      <c r="N233" t="s">
        <v>26</v>
      </c>
      <c r="O233" t="s">
        <v>570</v>
      </c>
      <c r="P233" s="3">
        <v>900</v>
      </c>
      <c r="Q233">
        <v>7</v>
      </c>
      <c r="R233" t="s">
        <v>571</v>
      </c>
      <c r="S233" t="s">
        <v>563</v>
      </c>
      <c r="T233" t="s">
        <v>564</v>
      </c>
      <c r="U233" t="s">
        <v>177</v>
      </c>
      <c r="V233" s="3">
        <f>Tabla1[[#This Row],[OS-Valor Unitario]]-Tabla1[[#This Row],[costo_antes_iva]]</f>
        <v>0</v>
      </c>
      <c r="W233" s="3">
        <f>Tabla1[[#This Row],[OS-Valor Unitario]]*Tabla1[[#This Row],[OS-Cantidad]]</f>
        <v>6300</v>
      </c>
      <c r="X233" s="3">
        <f>Tabla1[[#This Row],[costo_antes_iva]]*Tabla1[[#This Row],[OS-Cantidad]]</f>
        <v>6300</v>
      </c>
      <c r="Y233" s="3">
        <f>Tabla1[[#This Row],[Valor total OS]]-Tabla1[[#This Row],[valor total op]]</f>
        <v>0</v>
      </c>
    </row>
    <row r="234" spans="1:25" x14ac:dyDescent="0.3">
      <c r="A234">
        <v>6491</v>
      </c>
      <c r="B234">
        <v>1</v>
      </c>
      <c r="C234" t="s">
        <v>574</v>
      </c>
      <c r="D234">
        <v>50</v>
      </c>
      <c r="E234" s="5">
        <v>46020.799305555556</v>
      </c>
      <c r="F234" t="s">
        <v>575</v>
      </c>
      <c r="G234" t="s">
        <v>230</v>
      </c>
      <c r="H234" t="s">
        <v>576</v>
      </c>
      <c r="I234">
        <v>50</v>
      </c>
      <c r="J234">
        <v>77868928</v>
      </c>
      <c r="K234" s="5">
        <v>46020</v>
      </c>
      <c r="L234" s="3">
        <v>7500</v>
      </c>
      <c r="M234" t="s">
        <v>577</v>
      </c>
      <c r="N234" t="s">
        <v>56</v>
      </c>
      <c r="O234" t="s">
        <v>578</v>
      </c>
      <c r="P234" s="3">
        <v>4500</v>
      </c>
      <c r="Q234">
        <v>100</v>
      </c>
      <c r="R234" t="s">
        <v>579</v>
      </c>
      <c r="S234" t="s">
        <v>580</v>
      </c>
      <c r="T234" t="s">
        <v>581</v>
      </c>
      <c r="U234" t="s">
        <v>208</v>
      </c>
      <c r="V234" s="3">
        <f>Tabla1[[#This Row],[OS-Valor Unitario]]-Tabla1[[#This Row],[costo_antes_iva]]</f>
        <v>-3000</v>
      </c>
      <c r="W234" s="3">
        <f>Tabla1[[#This Row],[OS-Valor Unitario]]*Tabla1[[#This Row],[OS-Cantidad]]</f>
        <v>450000</v>
      </c>
      <c r="X234" s="3">
        <f>Tabla1[[#This Row],[costo_antes_iva]]*Tabla1[[#This Row],[OS-Cantidad]]</f>
        <v>750000</v>
      </c>
      <c r="Y234" s="3">
        <f>Tabla1[[#This Row],[Valor total OS]]-Tabla1[[#This Row],[valor total op]]</f>
        <v>-300000</v>
      </c>
    </row>
    <row r="235" spans="1:25" x14ac:dyDescent="0.3">
      <c r="A235">
        <v>6491</v>
      </c>
      <c r="B235">
        <v>3</v>
      </c>
      <c r="C235" t="s">
        <v>582</v>
      </c>
      <c r="D235">
        <v>50</v>
      </c>
      <c r="E235" s="5">
        <v>46020.799305555556</v>
      </c>
      <c r="F235" t="s">
        <v>583</v>
      </c>
      <c r="G235" t="s">
        <v>405</v>
      </c>
      <c r="H235" t="s">
        <v>576</v>
      </c>
      <c r="I235">
        <v>50</v>
      </c>
      <c r="J235">
        <v>77869118</v>
      </c>
      <c r="K235" s="5">
        <v>46020</v>
      </c>
      <c r="L235" s="3">
        <v>4600</v>
      </c>
      <c r="M235" t="s">
        <v>577</v>
      </c>
      <c r="N235" t="s">
        <v>584</v>
      </c>
      <c r="O235" t="s">
        <v>585</v>
      </c>
      <c r="P235" s="3">
        <v>6700</v>
      </c>
      <c r="Q235">
        <v>50</v>
      </c>
      <c r="R235" t="s">
        <v>586</v>
      </c>
      <c r="S235" t="s">
        <v>580</v>
      </c>
      <c r="T235" t="s">
        <v>581</v>
      </c>
      <c r="U235" t="s">
        <v>208</v>
      </c>
      <c r="V235" s="3">
        <f>Tabla1[[#This Row],[OS-Valor Unitario]]-Tabla1[[#This Row],[costo_antes_iva]]</f>
        <v>2100</v>
      </c>
      <c r="W235" s="3">
        <f>Tabla1[[#This Row],[OS-Valor Unitario]]*Tabla1[[#This Row],[OS-Cantidad]]</f>
        <v>335000</v>
      </c>
      <c r="X235" s="3">
        <f>Tabla1[[#This Row],[costo_antes_iva]]*Tabla1[[#This Row],[OS-Cantidad]]</f>
        <v>230000</v>
      </c>
      <c r="Y235" s="3">
        <f>Tabla1[[#This Row],[Valor total OS]]-Tabla1[[#This Row],[valor total op]]</f>
        <v>105000</v>
      </c>
    </row>
    <row r="236" spans="1:25" x14ac:dyDescent="0.3">
      <c r="A236">
        <v>6489</v>
      </c>
      <c r="B236">
        <v>1</v>
      </c>
      <c r="C236" t="s">
        <v>587</v>
      </c>
      <c r="D236">
        <v>344</v>
      </c>
      <c r="E236" s="5">
        <v>46019.665277777778</v>
      </c>
      <c r="F236" t="s">
        <v>588</v>
      </c>
      <c r="G236" t="s">
        <v>589</v>
      </c>
      <c r="H236" t="s">
        <v>590</v>
      </c>
      <c r="I236">
        <v>344</v>
      </c>
      <c r="J236">
        <v>77820904</v>
      </c>
      <c r="K236" s="5">
        <v>46019</v>
      </c>
      <c r="L236" s="3">
        <v>5000</v>
      </c>
      <c r="M236" t="s">
        <v>591</v>
      </c>
      <c r="N236" t="s">
        <v>26</v>
      </c>
      <c r="O236" t="s">
        <v>592</v>
      </c>
      <c r="P236" s="3">
        <v>5000</v>
      </c>
      <c r="Q236">
        <v>344</v>
      </c>
      <c r="R236" t="s">
        <v>593</v>
      </c>
      <c r="S236" t="s">
        <v>594</v>
      </c>
      <c r="T236" t="s">
        <v>595</v>
      </c>
      <c r="U236" t="s">
        <v>596</v>
      </c>
      <c r="V236" s="3">
        <f>Tabla1[[#This Row],[OS-Valor Unitario]]-Tabla1[[#This Row],[costo_antes_iva]]</f>
        <v>0</v>
      </c>
      <c r="W236" s="3">
        <f>Tabla1[[#This Row],[OS-Valor Unitario]]*Tabla1[[#This Row],[OS-Cantidad]]</f>
        <v>1720000</v>
      </c>
      <c r="X236" s="3">
        <f>Tabla1[[#This Row],[costo_antes_iva]]*Tabla1[[#This Row],[OS-Cantidad]]</f>
        <v>1720000</v>
      </c>
      <c r="Y236" s="3">
        <f>Tabla1[[#This Row],[Valor total OS]]-Tabla1[[#This Row],[valor total op]]</f>
        <v>0</v>
      </c>
    </row>
    <row r="237" spans="1:25" x14ac:dyDescent="0.3">
      <c r="A237">
        <v>6489</v>
      </c>
      <c r="B237">
        <v>1</v>
      </c>
      <c r="C237" t="s">
        <v>587</v>
      </c>
      <c r="D237">
        <v>344</v>
      </c>
      <c r="E237" s="5">
        <v>46019.665277777778</v>
      </c>
      <c r="F237" t="s">
        <v>588</v>
      </c>
      <c r="G237" t="s">
        <v>589</v>
      </c>
      <c r="H237" t="s">
        <v>590</v>
      </c>
      <c r="I237">
        <v>344</v>
      </c>
      <c r="J237">
        <v>77820904</v>
      </c>
      <c r="K237" s="5">
        <v>46019</v>
      </c>
      <c r="L237" s="3">
        <v>20000</v>
      </c>
      <c r="M237" t="s">
        <v>591</v>
      </c>
      <c r="N237" t="s">
        <v>56</v>
      </c>
      <c r="O237" t="s">
        <v>592</v>
      </c>
      <c r="P237" s="3">
        <v>20000</v>
      </c>
      <c r="Q237">
        <v>344</v>
      </c>
      <c r="R237" t="s">
        <v>597</v>
      </c>
      <c r="S237" t="s">
        <v>594</v>
      </c>
      <c r="T237" t="s">
        <v>595</v>
      </c>
      <c r="U237" t="s">
        <v>596</v>
      </c>
      <c r="V237" s="3">
        <f>Tabla1[[#This Row],[OS-Valor Unitario]]-Tabla1[[#This Row],[costo_antes_iva]]</f>
        <v>0</v>
      </c>
      <c r="W237" s="3">
        <f>Tabla1[[#This Row],[OS-Valor Unitario]]*Tabla1[[#This Row],[OS-Cantidad]]</f>
        <v>6880000</v>
      </c>
      <c r="X237" s="3">
        <f>Tabla1[[#This Row],[costo_antes_iva]]*Tabla1[[#This Row],[OS-Cantidad]]</f>
        <v>6880000</v>
      </c>
      <c r="Y237" s="3">
        <f>Tabla1[[#This Row],[Valor total OS]]-Tabla1[[#This Row],[valor total op]]</f>
        <v>0</v>
      </c>
    </row>
    <row r="238" spans="1:25" x14ac:dyDescent="0.3">
      <c r="A238">
        <v>6488</v>
      </c>
      <c r="B238">
        <v>1</v>
      </c>
      <c r="C238" t="s">
        <v>598</v>
      </c>
      <c r="D238">
        <v>8</v>
      </c>
      <c r="E238" s="5">
        <v>46015.411111111112</v>
      </c>
      <c r="F238" t="s">
        <v>599</v>
      </c>
      <c r="G238" t="s">
        <v>600</v>
      </c>
      <c r="H238" t="s">
        <v>601</v>
      </c>
      <c r="I238">
        <v>8</v>
      </c>
      <c r="J238">
        <v>77702997</v>
      </c>
      <c r="K238" s="5">
        <v>46015</v>
      </c>
      <c r="L238" s="3">
        <v>23500</v>
      </c>
      <c r="M238" t="s">
        <v>602</v>
      </c>
      <c r="N238" t="s">
        <v>56</v>
      </c>
      <c r="O238" t="s">
        <v>603</v>
      </c>
      <c r="P238" s="3">
        <v>23500</v>
      </c>
      <c r="Q238">
        <v>8</v>
      </c>
      <c r="R238" t="s">
        <v>604</v>
      </c>
      <c r="S238" t="s">
        <v>605</v>
      </c>
      <c r="T238" t="s">
        <v>606</v>
      </c>
      <c r="U238" t="s">
        <v>325</v>
      </c>
      <c r="V238" s="3">
        <f>Tabla1[[#This Row],[OS-Valor Unitario]]-Tabla1[[#This Row],[costo_antes_iva]]</f>
        <v>0</v>
      </c>
      <c r="W238" s="3">
        <f>Tabla1[[#This Row],[OS-Valor Unitario]]*Tabla1[[#This Row],[OS-Cantidad]]</f>
        <v>188000</v>
      </c>
      <c r="X238" s="3">
        <f>Tabla1[[#This Row],[costo_antes_iva]]*Tabla1[[#This Row],[OS-Cantidad]]</f>
        <v>188000</v>
      </c>
      <c r="Y238" s="3">
        <f>Tabla1[[#This Row],[Valor total OS]]-Tabla1[[#This Row],[valor total op]]</f>
        <v>0</v>
      </c>
    </row>
    <row r="239" spans="1:25" x14ac:dyDescent="0.3">
      <c r="A239">
        <v>6487</v>
      </c>
      <c r="B239">
        <v>1</v>
      </c>
      <c r="C239" t="s">
        <v>607</v>
      </c>
      <c r="D239">
        <v>50</v>
      </c>
      <c r="E239" s="5">
        <v>46014.888888888891</v>
      </c>
      <c r="F239" t="s">
        <v>608</v>
      </c>
      <c r="G239" t="s">
        <v>87</v>
      </c>
      <c r="H239" t="s">
        <v>182</v>
      </c>
      <c r="I239">
        <v>1</v>
      </c>
      <c r="J239">
        <v>77670324</v>
      </c>
      <c r="K239" s="5">
        <v>46014</v>
      </c>
      <c r="L239" s="3">
        <v>4500</v>
      </c>
      <c r="M239" t="s">
        <v>609</v>
      </c>
      <c r="N239" t="s">
        <v>56</v>
      </c>
      <c r="O239" t="s">
        <v>610</v>
      </c>
      <c r="P239" s="3">
        <v>5000</v>
      </c>
      <c r="Q239">
        <v>50</v>
      </c>
      <c r="R239" t="s">
        <v>611</v>
      </c>
      <c r="S239" t="s">
        <v>612</v>
      </c>
      <c r="T239" t="s">
        <v>613</v>
      </c>
      <c r="U239" t="s">
        <v>188</v>
      </c>
      <c r="V239" s="3">
        <f>Tabla1[[#This Row],[OS-Valor Unitario]]-Tabla1[[#This Row],[costo_antes_iva]]</f>
        <v>500</v>
      </c>
      <c r="W239" s="3">
        <f>Tabla1[[#This Row],[OS-Valor Unitario]]*Tabla1[[#This Row],[OS-Cantidad]]</f>
        <v>250000</v>
      </c>
      <c r="X239" s="3">
        <f>Tabla1[[#This Row],[costo_antes_iva]]*Tabla1[[#This Row],[OS-Cantidad]]</f>
        <v>225000</v>
      </c>
      <c r="Y239" s="3">
        <f>Tabla1[[#This Row],[Valor total OS]]-Tabla1[[#This Row],[valor total op]]</f>
        <v>25000</v>
      </c>
    </row>
    <row r="240" spans="1:25" x14ac:dyDescent="0.3">
      <c r="A240">
        <v>6487</v>
      </c>
      <c r="B240">
        <v>2</v>
      </c>
      <c r="C240" t="s">
        <v>614</v>
      </c>
      <c r="D240">
        <v>40</v>
      </c>
      <c r="E240" s="5">
        <v>46014.888888888891</v>
      </c>
      <c r="F240" t="s">
        <v>615</v>
      </c>
      <c r="G240" t="s">
        <v>87</v>
      </c>
      <c r="H240" t="s">
        <v>182</v>
      </c>
      <c r="I240">
        <v>1</v>
      </c>
      <c r="J240">
        <v>77670332</v>
      </c>
      <c r="K240" s="5">
        <v>46014</v>
      </c>
      <c r="L240" s="3">
        <v>4500</v>
      </c>
      <c r="M240" t="s">
        <v>609</v>
      </c>
      <c r="N240" t="s">
        <v>56</v>
      </c>
      <c r="O240" t="s">
        <v>616</v>
      </c>
      <c r="P240" s="3">
        <v>5000</v>
      </c>
      <c r="Q240">
        <v>40</v>
      </c>
      <c r="R240" t="s">
        <v>617</v>
      </c>
      <c r="S240" t="s">
        <v>612</v>
      </c>
      <c r="T240" t="s">
        <v>613</v>
      </c>
      <c r="U240" t="s">
        <v>188</v>
      </c>
      <c r="V240" s="3">
        <f>Tabla1[[#This Row],[OS-Valor Unitario]]-Tabla1[[#This Row],[costo_antes_iva]]</f>
        <v>500</v>
      </c>
      <c r="W240" s="3">
        <f>Tabla1[[#This Row],[OS-Valor Unitario]]*Tabla1[[#This Row],[OS-Cantidad]]</f>
        <v>200000</v>
      </c>
      <c r="X240" s="3">
        <f>Tabla1[[#This Row],[costo_antes_iva]]*Tabla1[[#This Row],[OS-Cantidad]]</f>
        <v>180000</v>
      </c>
      <c r="Y240" s="3">
        <f>Tabla1[[#This Row],[Valor total OS]]-Tabla1[[#This Row],[valor total op]]</f>
        <v>20000</v>
      </c>
    </row>
    <row r="241" spans="1:25" x14ac:dyDescent="0.3">
      <c r="A241">
        <v>6487</v>
      </c>
      <c r="B241">
        <v>3</v>
      </c>
      <c r="C241" t="s">
        <v>618</v>
      </c>
      <c r="D241">
        <v>125</v>
      </c>
      <c r="E241" s="5">
        <v>46014.888888888891</v>
      </c>
      <c r="F241" t="s">
        <v>619</v>
      </c>
      <c r="G241" t="s">
        <v>87</v>
      </c>
      <c r="H241" t="s">
        <v>182</v>
      </c>
      <c r="I241">
        <v>1</v>
      </c>
      <c r="J241">
        <v>77670340</v>
      </c>
      <c r="K241" s="5">
        <v>46014</v>
      </c>
      <c r="L241" s="3">
        <v>4500</v>
      </c>
      <c r="M241" t="s">
        <v>609</v>
      </c>
      <c r="N241" t="s">
        <v>56</v>
      </c>
      <c r="O241" t="s">
        <v>620</v>
      </c>
      <c r="P241" s="3">
        <v>5000</v>
      </c>
      <c r="Q241">
        <v>125</v>
      </c>
      <c r="R241" t="s">
        <v>621</v>
      </c>
      <c r="S241" t="s">
        <v>612</v>
      </c>
      <c r="T241" t="s">
        <v>613</v>
      </c>
      <c r="U241" t="s">
        <v>188</v>
      </c>
      <c r="V241" s="3">
        <f>Tabla1[[#This Row],[OS-Valor Unitario]]-Tabla1[[#This Row],[costo_antes_iva]]</f>
        <v>500</v>
      </c>
      <c r="W241" s="3">
        <f>Tabla1[[#This Row],[OS-Valor Unitario]]*Tabla1[[#This Row],[OS-Cantidad]]</f>
        <v>625000</v>
      </c>
      <c r="X241" s="3">
        <f>Tabla1[[#This Row],[costo_antes_iva]]*Tabla1[[#This Row],[OS-Cantidad]]</f>
        <v>562500</v>
      </c>
      <c r="Y241" s="3">
        <f>Tabla1[[#This Row],[Valor total OS]]-Tabla1[[#This Row],[valor total op]]</f>
        <v>62500</v>
      </c>
    </row>
    <row r="242" spans="1:25" x14ac:dyDescent="0.3">
      <c r="A242">
        <v>6487</v>
      </c>
      <c r="B242">
        <v>3</v>
      </c>
      <c r="C242" t="s">
        <v>618</v>
      </c>
      <c r="D242">
        <v>125</v>
      </c>
      <c r="E242" s="5">
        <v>46014.888888888891</v>
      </c>
      <c r="F242" t="s">
        <v>619</v>
      </c>
      <c r="G242" t="s">
        <v>87</v>
      </c>
      <c r="H242" t="s">
        <v>182</v>
      </c>
      <c r="I242">
        <v>1</v>
      </c>
      <c r="J242">
        <v>77670340</v>
      </c>
      <c r="K242" s="5">
        <v>46014</v>
      </c>
      <c r="L242" s="3">
        <v>1500</v>
      </c>
      <c r="M242" t="s">
        <v>609</v>
      </c>
      <c r="N242" t="s">
        <v>26</v>
      </c>
      <c r="O242" t="s">
        <v>620</v>
      </c>
      <c r="P242" s="3">
        <v>1500</v>
      </c>
      <c r="Q242">
        <v>125</v>
      </c>
      <c r="R242" t="s">
        <v>622</v>
      </c>
      <c r="S242" t="s">
        <v>612</v>
      </c>
      <c r="T242" t="s">
        <v>613</v>
      </c>
      <c r="U242" t="s">
        <v>188</v>
      </c>
      <c r="V242" s="3">
        <f>Tabla1[[#This Row],[OS-Valor Unitario]]-Tabla1[[#This Row],[costo_antes_iva]]</f>
        <v>0</v>
      </c>
      <c r="W242" s="3">
        <f>Tabla1[[#This Row],[OS-Valor Unitario]]*Tabla1[[#This Row],[OS-Cantidad]]</f>
        <v>187500</v>
      </c>
      <c r="X242" s="3">
        <f>Tabla1[[#This Row],[costo_antes_iva]]*Tabla1[[#This Row],[OS-Cantidad]]</f>
        <v>187500</v>
      </c>
      <c r="Y242" s="3">
        <f>Tabla1[[#This Row],[Valor total OS]]-Tabla1[[#This Row],[valor total op]]</f>
        <v>0</v>
      </c>
    </row>
    <row r="243" spans="1:25" x14ac:dyDescent="0.3">
      <c r="A243">
        <v>6487</v>
      </c>
      <c r="B243">
        <v>4</v>
      </c>
      <c r="C243" t="s">
        <v>623</v>
      </c>
      <c r="D243">
        <v>105</v>
      </c>
      <c r="E243" s="5">
        <v>46014.888888888891</v>
      </c>
      <c r="F243" t="s">
        <v>624</v>
      </c>
      <c r="G243" t="s">
        <v>87</v>
      </c>
      <c r="H243" t="s">
        <v>182</v>
      </c>
      <c r="I243">
        <v>1</v>
      </c>
      <c r="J243">
        <v>77670348</v>
      </c>
      <c r="K243" s="5">
        <v>46014</v>
      </c>
      <c r="L243" s="3">
        <v>4500</v>
      </c>
      <c r="M243" t="s">
        <v>609</v>
      </c>
      <c r="N243" t="s">
        <v>56</v>
      </c>
      <c r="O243" t="s">
        <v>625</v>
      </c>
      <c r="P243" s="3">
        <v>5000</v>
      </c>
      <c r="Q243">
        <v>105</v>
      </c>
      <c r="R243" t="s">
        <v>626</v>
      </c>
      <c r="S243" t="s">
        <v>612</v>
      </c>
      <c r="T243" t="s">
        <v>613</v>
      </c>
      <c r="U243" t="s">
        <v>188</v>
      </c>
      <c r="V243" s="3">
        <f>Tabla1[[#This Row],[OS-Valor Unitario]]-Tabla1[[#This Row],[costo_antes_iva]]</f>
        <v>500</v>
      </c>
      <c r="W243" s="3">
        <f>Tabla1[[#This Row],[OS-Valor Unitario]]*Tabla1[[#This Row],[OS-Cantidad]]</f>
        <v>525000</v>
      </c>
      <c r="X243" s="3">
        <f>Tabla1[[#This Row],[costo_antes_iva]]*Tabla1[[#This Row],[OS-Cantidad]]</f>
        <v>472500</v>
      </c>
      <c r="Y243" s="3">
        <f>Tabla1[[#This Row],[Valor total OS]]-Tabla1[[#This Row],[valor total op]]</f>
        <v>52500</v>
      </c>
    </row>
    <row r="244" spans="1:25" x14ac:dyDescent="0.3">
      <c r="A244">
        <v>6487</v>
      </c>
      <c r="B244">
        <v>4</v>
      </c>
      <c r="C244" t="s">
        <v>623</v>
      </c>
      <c r="D244">
        <v>105</v>
      </c>
      <c r="E244" s="5">
        <v>46014.888888888891</v>
      </c>
      <c r="F244" t="s">
        <v>624</v>
      </c>
      <c r="G244" t="s">
        <v>87</v>
      </c>
      <c r="H244" t="s">
        <v>182</v>
      </c>
      <c r="I244">
        <v>1</v>
      </c>
      <c r="J244">
        <v>77670348</v>
      </c>
      <c r="K244" s="5">
        <v>46014</v>
      </c>
      <c r="L244" s="3">
        <v>1500</v>
      </c>
      <c r="M244" t="s">
        <v>609</v>
      </c>
      <c r="N244" t="s">
        <v>26</v>
      </c>
      <c r="O244" t="s">
        <v>625</v>
      </c>
      <c r="P244" s="3">
        <v>1500</v>
      </c>
      <c r="Q244">
        <v>105</v>
      </c>
      <c r="R244" t="s">
        <v>627</v>
      </c>
      <c r="S244" t="s">
        <v>612</v>
      </c>
      <c r="T244" t="s">
        <v>613</v>
      </c>
      <c r="U244" t="s">
        <v>188</v>
      </c>
      <c r="V244" s="3">
        <f>Tabla1[[#This Row],[OS-Valor Unitario]]-Tabla1[[#This Row],[costo_antes_iva]]</f>
        <v>0</v>
      </c>
      <c r="W244" s="3">
        <f>Tabla1[[#This Row],[OS-Valor Unitario]]*Tabla1[[#This Row],[OS-Cantidad]]</f>
        <v>157500</v>
      </c>
      <c r="X244" s="3">
        <f>Tabla1[[#This Row],[costo_antes_iva]]*Tabla1[[#This Row],[OS-Cantidad]]</f>
        <v>157500</v>
      </c>
      <c r="Y244" s="3">
        <f>Tabla1[[#This Row],[Valor total OS]]-Tabla1[[#This Row],[valor total op]]</f>
        <v>0</v>
      </c>
    </row>
    <row r="245" spans="1:25" x14ac:dyDescent="0.3">
      <c r="A245">
        <v>6487</v>
      </c>
      <c r="B245">
        <v>5</v>
      </c>
      <c r="C245" t="s">
        <v>628</v>
      </c>
      <c r="D245">
        <v>12</v>
      </c>
      <c r="E245" s="5">
        <v>46014.888888888891</v>
      </c>
      <c r="F245" t="s">
        <v>629</v>
      </c>
      <c r="G245" t="s">
        <v>87</v>
      </c>
      <c r="H245" t="s">
        <v>182</v>
      </c>
      <c r="I245">
        <v>1</v>
      </c>
      <c r="J245">
        <v>77670356</v>
      </c>
      <c r="K245" s="5">
        <v>46014</v>
      </c>
      <c r="L245" s="3">
        <v>4500</v>
      </c>
      <c r="M245" t="s">
        <v>609</v>
      </c>
      <c r="N245" t="s">
        <v>56</v>
      </c>
      <c r="O245" t="s">
        <v>630</v>
      </c>
      <c r="P245" s="3">
        <v>6000</v>
      </c>
      <c r="Q245">
        <v>12</v>
      </c>
      <c r="R245" t="s">
        <v>631</v>
      </c>
      <c r="S245" t="s">
        <v>612</v>
      </c>
      <c r="T245" t="s">
        <v>613</v>
      </c>
      <c r="U245" t="s">
        <v>188</v>
      </c>
      <c r="V245" s="3">
        <f>Tabla1[[#This Row],[OS-Valor Unitario]]-Tabla1[[#This Row],[costo_antes_iva]]</f>
        <v>1500</v>
      </c>
      <c r="W245" s="3">
        <f>Tabla1[[#This Row],[OS-Valor Unitario]]*Tabla1[[#This Row],[OS-Cantidad]]</f>
        <v>72000</v>
      </c>
      <c r="X245" s="3">
        <f>Tabla1[[#This Row],[costo_antes_iva]]*Tabla1[[#This Row],[OS-Cantidad]]</f>
        <v>54000</v>
      </c>
      <c r="Y245" s="3">
        <f>Tabla1[[#This Row],[Valor total OS]]-Tabla1[[#This Row],[valor total op]]</f>
        <v>18000</v>
      </c>
    </row>
    <row r="246" spans="1:25" x14ac:dyDescent="0.3">
      <c r="A246">
        <v>6487</v>
      </c>
      <c r="B246">
        <v>5</v>
      </c>
      <c r="C246" t="s">
        <v>628</v>
      </c>
      <c r="D246">
        <v>12</v>
      </c>
      <c r="E246" s="5">
        <v>46014.888888888891</v>
      </c>
      <c r="F246" t="s">
        <v>629</v>
      </c>
      <c r="G246" t="s">
        <v>87</v>
      </c>
      <c r="H246" t="s">
        <v>182</v>
      </c>
      <c r="I246">
        <v>1</v>
      </c>
      <c r="J246">
        <v>77670356</v>
      </c>
      <c r="K246" s="5">
        <v>46014</v>
      </c>
      <c r="L246" s="3">
        <v>1500</v>
      </c>
      <c r="M246" t="s">
        <v>609</v>
      </c>
      <c r="N246" t="s">
        <v>26</v>
      </c>
      <c r="O246" t="s">
        <v>630</v>
      </c>
      <c r="P246" s="3">
        <v>1500</v>
      </c>
      <c r="Q246">
        <v>12</v>
      </c>
      <c r="R246" t="s">
        <v>632</v>
      </c>
      <c r="S246" t="s">
        <v>612</v>
      </c>
      <c r="T246" t="s">
        <v>613</v>
      </c>
      <c r="U246" t="s">
        <v>188</v>
      </c>
      <c r="V246" s="3">
        <f>Tabla1[[#This Row],[OS-Valor Unitario]]-Tabla1[[#This Row],[costo_antes_iva]]</f>
        <v>0</v>
      </c>
      <c r="W246" s="3">
        <f>Tabla1[[#This Row],[OS-Valor Unitario]]*Tabla1[[#This Row],[OS-Cantidad]]</f>
        <v>18000</v>
      </c>
      <c r="X246" s="3">
        <f>Tabla1[[#This Row],[costo_antes_iva]]*Tabla1[[#This Row],[OS-Cantidad]]</f>
        <v>18000</v>
      </c>
      <c r="Y246" s="3">
        <f>Tabla1[[#This Row],[Valor total OS]]-Tabla1[[#This Row],[valor total op]]</f>
        <v>0</v>
      </c>
    </row>
    <row r="247" spans="1:25" x14ac:dyDescent="0.3">
      <c r="A247">
        <v>6487</v>
      </c>
      <c r="B247">
        <v>6</v>
      </c>
      <c r="C247" t="s">
        <v>633</v>
      </c>
      <c r="D247">
        <v>230</v>
      </c>
      <c r="E247" s="5">
        <v>46014.888888888891</v>
      </c>
      <c r="F247" t="s">
        <v>634</v>
      </c>
      <c r="G247" t="s">
        <v>635</v>
      </c>
      <c r="H247" t="s">
        <v>182</v>
      </c>
      <c r="I247">
        <v>1</v>
      </c>
      <c r="J247">
        <v>77670375</v>
      </c>
      <c r="K247" s="5">
        <v>46014</v>
      </c>
      <c r="L247" s="3">
        <v>3000</v>
      </c>
      <c r="M247" t="s">
        <v>609</v>
      </c>
      <c r="N247" t="s">
        <v>56</v>
      </c>
      <c r="O247" t="s">
        <v>636</v>
      </c>
      <c r="P247" s="3">
        <v>4000</v>
      </c>
      <c r="Q247">
        <v>232</v>
      </c>
      <c r="R247" t="s">
        <v>637</v>
      </c>
      <c r="S247" t="s">
        <v>612</v>
      </c>
      <c r="T247" t="s">
        <v>613</v>
      </c>
      <c r="U247" t="s">
        <v>188</v>
      </c>
      <c r="V247" s="3">
        <f>Tabla1[[#This Row],[OS-Valor Unitario]]-Tabla1[[#This Row],[costo_antes_iva]]</f>
        <v>1000</v>
      </c>
      <c r="W247" s="3">
        <f>Tabla1[[#This Row],[OS-Valor Unitario]]*Tabla1[[#This Row],[OS-Cantidad]]</f>
        <v>928000</v>
      </c>
      <c r="X247" s="3">
        <f>Tabla1[[#This Row],[costo_antes_iva]]*Tabla1[[#This Row],[OS-Cantidad]]</f>
        <v>696000</v>
      </c>
      <c r="Y247" s="3">
        <f>Tabla1[[#This Row],[Valor total OS]]-Tabla1[[#This Row],[valor total op]]</f>
        <v>232000</v>
      </c>
    </row>
    <row r="248" spans="1:25" x14ac:dyDescent="0.3">
      <c r="A248">
        <v>6487</v>
      </c>
      <c r="B248">
        <v>6</v>
      </c>
      <c r="C248" t="s">
        <v>633</v>
      </c>
      <c r="D248">
        <v>230</v>
      </c>
      <c r="E248" s="5">
        <v>46014.888888888891</v>
      </c>
      <c r="F248" t="s">
        <v>634</v>
      </c>
      <c r="G248" t="s">
        <v>635</v>
      </c>
      <c r="H248" t="s">
        <v>182</v>
      </c>
      <c r="I248">
        <v>1</v>
      </c>
      <c r="J248">
        <v>77670375</v>
      </c>
      <c r="K248" s="5">
        <v>46014</v>
      </c>
      <c r="L248" s="3">
        <v>1800</v>
      </c>
      <c r="M248" t="s">
        <v>609</v>
      </c>
      <c r="N248" t="s">
        <v>26</v>
      </c>
      <c r="O248" t="s">
        <v>636</v>
      </c>
      <c r="P248" s="3">
        <v>2500</v>
      </c>
      <c r="Q248">
        <v>232</v>
      </c>
      <c r="R248" t="s">
        <v>638</v>
      </c>
      <c r="S248" t="s">
        <v>612</v>
      </c>
      <c r="T248" t="s">
        <v>613</v>
      </c>
      <c r="U248" t="s">
        <v>188</v>
      </c>
      <c r="V248" s="3">
        <f>Tabla1[[#This Row],[OS-Valor Unitario]]-Tabla1[[#This Row],[costo_antes_iva]]</f>
        <v>700</v>
      </c>
      <c r="W248" s="3">
        <f>Tabla1[[#This Row],[OS-Valor Unitario]]*Tabla1[[#This Row],[OS-Cantidad]]</f>
        <v>580000</v>
      </c>
      <c r="X248" s="3">
        <f>Tabla1[[#This Row],[costo_antes_iva]]*Tabla1[[#This Row],[OS-Cantidad]]</f>
        <v>417600</v>
      </c>
      <c r="Y248" s="3">
        <f>Tabla1[[#This Row],[Valor total OS]]-Tabla1[[#This Row],[valor total op]]</f>
        <v>162400</v>
      </c>
    </row>
    <row r="249" spans="1:25" x14ac:dyDescent="0.3">
      <c r="A249">
        <v>6487</v>
      </c>
      <c r="B249">
        <v>6</v>
      </c>
      <c r="C249" t="s">
        <v>633</v>
      </c>
      <c r="D249">
        <v>230</v>
      </c>
      <c r="E249" s="5">
        <v>46014.888888888891</v>
      </c>
      <c r="F249" t="s">
        <v>634</v>
      </c>
      <c r="G249" t="s">
        <v>635</v>
      </c>
      <c r="H249" t="s">
        <v>182</v>
      </c>
      <c r="I249">
        <v>1</v>
      </c>
      <c r="J249">
        <v>77670375</v>
      </c>
      <c r="K249" s="5">
        <v>46014</v>
      </c>
      <c r="L249" s="3">
        <v>10000</v>
      </c>
      <c r="M249" t="s">
        <v>609</v>
      </c>
      <c r="N249" t="s">
        <v>437</v>
      </c>
      <c r="O249" t="s">
        <v>636</v>
      </c>
      <c r="P249" s="3">
        <v>3800</v>
      </c>
      <c r="Q249">
        <v>232</v>
      </c>
      <c r="R249" t="s">
        <v>639</v>
      </c>
      <c r="S249" t="s">
        <v>612</v>
      </c>
      <c r="T249" t="s">
        <v>613</v>
      </c>
      <c r="U249" t="s">
        <v>188</v>
      </c>
      <c r="V249" s="3">
        <f>Tabla1[[#This Row],[OS-Valor Unitario]]-Tabla1[[#This Row],[costo_antes_iva]]</f>
        <v>-6200</v>
      </c>
      <c r="W249" s="3">
        <f>Tabla1[[#This Row],[OS-Valor Unitario]]*Tabla1[[#This Row],[OS-Cantidad]]</f>
        <v>881600</v>
      </c>
      <c r="X249" s="3">
        <f>Tabla1[[#This Row],[costo_antes_iva]]*Tabla1[[#This Row],[OS-Cantidad]]</f>
        <v>2320000</v>
      </c>
      <c r="Y249" s="3">
        <f>Tabla1[[#This Row],[Valor total OS]]-Tabla1[[#This Row],[valor total op]]</f>
        <v>-1438400</v>
      </c>
    </row>
    <row r="250" spans="1:25" x14ac:dyDescent="0.3">
      <c r="A250">
        <v>6487</v>
      </c>
      <c r="B250">
        <v>7</v>
      </c>
      <c r="C250" t="s">
        <v>640</v>
      </c>
      <c r="D250">
        <v>35</v>
      </c>
      <c r="E250" s="5">
        <v>46014.888888888891</v>
      </c>
      <c r="F250" t="s">
        <v>641</v>
      </c>
      <c r="G250" t="s">
        <v>642</v>
      </c>
      <c r="H250" t="s">
        <v>182</v>
      </c>
      <c r="I250">
        <v>1</v>
      </c>
      <c r="J250">
        <v>77670425</v>
      </c>
      <c r="K250" s="5">
        <v>46014</v>
      </c>
      <c r="L250" s="3">
        <v>19500</v>
      </c>
      <c r="M250" t="s">
        <v>609</v>
      </c>
      <c r="N250" t="s">
        <v>56</v>
      </c>
      <c r="O250" t="s">
        <v>643</v>
      </c>
      <c r="P250" s="3">
        <v>20000</v>
      </c>
      <c r="Q250">
        <v>35</v>
      </c>
      <c r="R250" t="s">
        <v>644</v>
      </c>
      <c r="S250" t="s">
        <v>612</v>
      </c>
      <c r="T250" t="s">
        <v>613</v>
      </c>
      <c r="U250" t="s">
        <v>188</v>
      </c>
      <c r="V250" s="3">
        <f>Tabla1[[#This Row],[OS-Valor Unitario]]-Tabla1[[#This Row],[costo_antes_iva]]</f>
        <v>500</v>
      </c>
      <c r="W250" s="3">
        <f>Tabla1[[#This Row],[OS-Valor Unitario]]*Tabla1[[#This Row],[OS-Cantidad]]</f>
        <v>700000</v>
      </c>
      <c r="X250" s="3">
        <f>Tabla1[[#This Row],[costo_antes_iva]]*Tabla1[[#This Row],[OS-Cantidad]]</f>
        <v>682500</v>
      </c>
      <c r="Y250" s="3">
        <f>Tabla1[[#This Row],[Valor total OS]]-Tabla1[[#This Row],[valor total op]]</f>
        <v>17500</v>
      </c>
    </row>
    <row r="251" spans="1:25" x14ac:dyDescent="0.3">
      <c r="A251">
        <v>6487</v>
      </c>
      <c r="B251">
        <v>7</v>
      </c>
      <c r="C251" t="s">
        <v>640</v>
      </c>
      <c r="D251">
        <v>35</v>
      </c>
      <c r="E251" s="5">
        <v>46014.888888888891</v>
      </c>
      <c r="F251" t="s">
        <v>641</v>
      </c>
      <c r="G251" t="s">
        <v>642</v>
      </c>
      <c r="H251" t="s">
        <v>182</v>
      </c>
      <c r="I251">
        <v>1</v>
      </c>
      <c r="J251">
        <v>77670425</v>
      </c>
      <c r="K251" s="5">
        <v>46014</v>
      </c>
      <c r="L251" s="3">
        <v>7300</v>
      </c>
      <c r="M251" t="s">
        <v>609</v>
      </c>
      <c r="N251" t="s">
        <v>26</v>
      </c>
      <c r="O251" t="s">
        <v>643</v>
      </c>
      <c r="P251" s="3">
        <v>7300</v>
      </c>
      <c r="Q251">
        <v>35</v>
      </c>
      <c r="R251" t="s">
        <v>645</v>
      </c>
      <c r="S251" t="s">
        <v>612</v>
      </c>
      <c r="T251" t="s">
        <v>613</v>
      </c>
      <c r="U251" t="s">
        <v>188</v>
      </c>
      <c r="V251" s="3">
        <f>Tabla1[[#This Row],[OS-Valor Unitario]]-Tabla1[[#This Row],[costo_antes_iva]]</f>
        <v>0</v>
      </c>
      <c r="W251" s="3">
        <f>Tabla1[[#This Row],[OS-Valor Unitario]]*Tabla1[[#This Row],[OS-Cantidad]]</f>
        <v>255500</v>
      </c>
      <c r="X251" s="3">
        <f>Tabla1[[#This Row],[costo_antes_iva]]*Tabla1[[#This Row],[OS-Cantidad]]</f>
        <v>255500</v>
      </c>
      <c r="Y251" s="3">
        <f>Tabla1[[#This Row],[Valor total OS]]-Tabla1[[#This Row],[valor total op]]</f>
        <v>0</v>
      </c>
    </row>
    <row r="252" spans="1:25" x14ac:dyDescent="0.3">
      <c r="A252">
        <v>6487</v>
      </c>
      <c r="B252">
        <v>8</v>
      </c>
      <c r="C252" t="s">
        <v>646</v>
      </c>
      <c r="D252">
        <v>18</v>
      </c>
      <c r="E252" s="5">
        <v>46014.888888888891</v>
      </c>
      <c r="F252" t="s">
        <v>647</v>
      </c>
      <c r="G252" t="s">
        <v>648</v>
      </c>
      <c r="H252" t="s">
        <v>182</v>
      </c>
      <c r="I252">
        <v>1</v>
      </c>
      <c r="J252">
        <v>77670440</v>
      </c>
      <c r="K252" s="5">
        <v>46014</v>
      </c>
      <c r="L252" s="3">
        <v>15000</v>
      </c>
      <c r="M252" t="s">
        <v>609</v>
      </c>
      <c r="N252" t="s">
        <v>56</v>
      </c>
      <c r="O252" t="s">
        <v>649</v>
      </c>
      <c r="P252" s="3">
        <v>15000</v>
      </c>
      <c r="Q252">
        <v>18</v>
      </c>
      <c r="R252" t="s">
        <v>650</v>
      </c>
      <c r="S252" t="s">
        <v>612</v>
      </c>
      <c r="T252" t="s">
        <v>613</v>
      </c>
      <c r="U252" t="s">
        <v>188</v>
      </c>
      <c r="V252" s="3">
        <f>Tabla1[[#This Row],[OS-Valor Unitario]]-Tabla1[[#This Row],[costo_antes_iva]]</f>
        <v>0</v>
      </c>
      <c r="W252" s="3">
        <f>Tabla1[[#This Row],[OS-Valor Unitario]]*Tabla1[[#This Row],[OS-Cantidad]]</f>
        <v>270000</v>
      </c>
      <c r="X252" s="3">
        <f>Tabla1[[#This Row],[costo_antes_iva]]*Tabla1[[#This Row],[OS-Cantidad]]</f>
        <v>270000</v>
      </c>
      <c r="Y252" s="3">
        <f>Tabla1[[#This Row],[Valor total OS]]-Tabla1[[#This Row],[valor total op]]</f>
        <v>0</v>
      </c>
    </row>
    <row r="253" spans="1:25" x14ac:dyDescent="0.3">
      <c r="A253">
        <v>6486</v>
      </c>
      <c r="B253">
        <v>1</v>
      </c>
      <c r="C253" t="s">
        <v>651</v>
      </c>
      <c r="D253">
        <v>30</v>
      </c>
      <c r="E253" s="5">
        <v>46014.845138888886</v>
      </c>
      <c r="F253" t="s">
        <v>652</v>
      </c>
      <c r="G253" t="s">
        <v>87</v>
      </c>
      <c r="H253" t="s">
        <v>182</v>
      </c>
      <c r="I253">
        <v>1</v>
      </c>
      <c r="J253">
        <v>77667975</v>
      </c>
      <c r="K253" s="5">
        <v>46014</v>
      </c>
      <c r="L253" s="3">
        <v>4500</v>
      </c>
      <c r="M253" t="s">
        <v>653</v>
      </c>
      <c r="N253" t="s">
        <v>56</v>
      </c>
      <c r="O253" t="s">
        <v>654</v>
      </c>
      <c r="P253" s="3">
        <v>5000</v>
      </c>
      <c r="Q253">
        <v>30</v>
      </c>
      <c r="R253" t="s">
        <v>655</v>
      </c>
      <c r="S253" t="s">
        <v>656</v>
      </c>
      <c r="T253" t="s">
        <v>657</v>
      </c>
      <c r="U253" t="s">
        <v>188</v>
      </c>
      <c r="V253" s="3">
        <f>Tabla1[[#This Row],[OS-Valor Unitario]]-Tabla1[[#This Row],[costo_antes_iva]]</f>
        <v>500</v>
      </c>
      <c r="W253" s="3">
        <f>Tabla1[[#This Row],[OS-Valor Unitario]]*Tabla1[[#This Row],[OS-Cantidad]]</f>
        <v>150000</v>
      </c>
      <c r="X253" s="3">
        <f>Tabla1[[#This Row],[costo_antes_iva]]*Tabla1[[#This Row],[OS-Cantidad]]</f>
        <v>135000</v>
      </c>
      <c r="Y253" s="3">
        <f>Tabla1[[#This Row],[Valor total OS]]-Tabla1[[#This Row],[valor total op]]</f>
        <v>15000</v>
      </c>
    </row>
    <row r="254" spans="1:25" x14ac:dyDescent="0.3">
      <c r="A254">
        <v>6486</v>
      </c>
      <c r="B254">
        <v>1</v>
      </c>
      <c r="C254" t="s">
        <v>651</v>
      </c>
      <c r="D254">
        <v>30</v>
      </c>
      <c r="E254" s="5">
        <v>46014.845138888886</v>
      </c>
      <c r="F254" t="s">
        <v>652</v>
      </c>
      <c r="G254" t="s">
        <v>87</v>
      </c>
      <c r="H254" t="s">
        <v>182</v>
      </c>
      <c r="I254">
        <v>1</v>
      </c>
      <c r="J254">
        <v>77667975</v>
      </c>
      <c r="K254" s="5">
        <v>46014</v>
      </c>
      <c r="L254" s="3">
        <v>1600</v>
      </c>
      <c r="M254" t="s">
        <v>653</v>
      </c>
      <c r="N254" t="s">
        <v>26</v>
      </c>
      <c r="O254" t="s">
        <v>654</v>
      </c>
      <c r="P254" s="3">
        <v>3200</v>
      </c>
      <c r="Q254">
        <v>30</v>
      </c>
      <c r="R254" t="s">
        <v>658</v>
      </c>
      <c r="S254" t="s">
        <v>656</v>
      </c>
      <c r="T254" t="s">
        <v>657</v>
      </c>
      <c r="U254" t="s">
        <v>188</v>
      </c>
      <c r="V254" s="3">
        <f>Tabla1[[#This Row],[OS-Valor Unitario]]-Tabla1[[#This Row],[costo_antes_iva]]</f>
        <v>1600</v>
      </c>
      <c r="W254" s="3">
        <f>Tabla1[[#This Row],[OS-Valor Unitario]]*Tabla1[[#This Row],[OS-Cantidad]]</f>
        <v>96000</v>
      </c>
      <c r="X254" s="3">
        <f>Tabla1[[#This Row],[costo_antes_iva]]*Tabla1[[#This Row],[OS-Cantidad]]</f>
        <v>48000</v>
      </c>
      <c r="Y254" s="3">
        <f>Tabla1[[#This Row],[Valor total OS]]-Tabla1[[#This Row],[valor total op]]</f>
        <v>48000</v>
      </c>
    </row>
    <row r="255" spans="1:25" x14ac:dyDescent="0.3">
      <c r="A255">
        <v>6486</v>
      </c>
      <c r="B255">
        <v>2</v>
      </c>
      <c r="C255" t="s">
        <v>659</v>
      </c>
      <c r="D255">
        <v>15</v>
      </c>
      <c r="E255" s="5">
        <v>46014.845138888886</v>
      </c>
      <c r="F255" t="s">
        <v>660</v>
      </c>
      <c r="G255" t="s">
        <v>87</v>
      </c>
      <c r="H255" t="s">
        <v>182</v>
      </c>
      <c r="I255">
        <v>1</v>
      </c>
      <c r="J255">
        <v>77667982</v>
      </c>
      <c r="K255" s="5">
        <v>46014</v>
      </c>
      <c r="L255" s="3">
        <v>4500</v>
      </c>
      <c r="M255" t="s">
        <v>653</v>
      </c>
      <c r="N255" t="s">
        <v>56</v>
      </c>
      <c r="O255" t="s">
        <v>661</v>
      </c>
      <c r="P255" s="3">
        <v>5000</v>
      </c>
      <c r="Q255">
        <v>15</v>
      </c>
      <c r="R255" t="s">
        <v>662</v>
      </c>
      <c r="S255" t="s">
        <v>656</v>
      </c>
      <c r="T255" t="s">
        <v>657</v>
      </c>
      <c r="U255" t="s">
        <v>188</v>
      </c>
      <c r="V255" s="3">
        <f>Tabla1[[#This Row],[OS-Valor Unitario]]-Tabla1[[#This Row],[costo_antes_iva]]</f>
        <v>500</v>
      </c>
      <c r="W255" s="3">
        <f>Tabla1[[#This Row],[OS-Valor Unitario]]*Tabla1[[#This Row],[OS-Cantidad]]</f>
        <v>75000</v>
      </c>
      <c r="X255" s="3">
        <f>Tabla1[[#This Row],[costo_antes_iva]]*Tabla1[[#This Row],[OS-Cantidad]]</f>
        <v>67500</v>
      </c>
      <c r="Y255" s="3">
        <f>Tabla1[[#This Row],[Valor total OS]]-Tabla1[[#This Row],[valor total op]]</f>
        <v>7500</v>
      </c>
    </row>
    <row r="256" spans="1:25" x14ac:dyDescent="0.3">
      <c r="A256">
        <v>6486</v>
      </c>
      <c r="B256">
        <v>2</v>
      </c>
      <c r="C256" t="s">
        <v>659</v>
      </c>
      <c r="D256">
        <v>15</v>
      </c>
      <c r="E256" s="5">
        <v>46014.845138888886</v>
      </c>
      <c r="F256" t="s">
        <v>660</v>
      </c>
      <c r="G256" t="s">
        <v>87</v>
      </c>
      <c r="H256" t="s">
        <v>182</v>
      </c>
      <c r="I256">
        <v>1</v>
      </c>
      <c r="J256">
        <v>77667982</v>
      </c>
      <c r="K256" s="5">
        <v>46014</v>
      </c>
      <c r="L256" s="3">
        <v>1600</v>
      </c>
      <c r="M256" t="s">
        <v>653</v>
      </c>
      <c r="N256" t="s">
        <v>26</v>
      </c>
      <c r="O256" t="s">
        <v>661</v>
      </c>
      <c r="P256" s="3">
        <v>3200</v>
      </c>
      <c r="Q256">
        <v>15</v>
      </c>
      <c r="R256" t="s">
        <v>663</v>
      </c>
      <c r="S256" t="s">
        <v>656</v>
      </c>
      <c r="T256" t="s">
        <v>657</v>
      </c>
      <c r="U256" t="s">
        <v>188</v>
      </c>
      <c r="V256" s="3">
        <f>Tabla1[[#This Row],[OS-Valor Unitario]]-Tabla1[[#This Row],[costo_antes_iva]]</f>
        <v>1600</v>
      </c>
      <c r="W256" s="3">
        <f>Tabla1[[#This Row],[OS-Valor Unitario]]*Tabla1[[#This Row],[OS-Cantidad]]</f>
        <v>48000</v>
      </c>
      <c r="X256" s="3">
        <f>Tabla1[[#This Row],[costo_antes_iva]]*Tabla1[[#This Row],[OS-Cantidad]]</f>
        <v>24000</v>
      </c>
      <c r="Y256" s="3">
        <f>Tabla1[[#This Row],[Valor total OS]]-Tabla1[[#This Row],[valor total op]]</f>
        <v>24000</v>
      </c>
    </row>
    <row r="257" spans="1:25" x14ac:dyDescent="0.3">
      <c r="A257">
        <v>6486</v>
      </c>
      <c r="B257">
        <v>3</v>
      </c>
      <c r="C257" t="s">
        <v>664</v>
      </c>
      <c r="D257">
        <v>60</v>
      </c>
      <c r="E257" s="5">
        <v>46014.845138888886</v>
      </c>
      <c r="F257" t="s">
        <v>665</v>
      </c>
      <c r="G257" t="s">
        <v>666</v>
      </c>
      <c r="H257" t="s">
        <v>182</v>
      </c>
      <c r="I257">
        <v>1</v>
      </c>
      <c r="J257">
        <v>77668013</v>
      </c>
      <c r="K257" s="5">
        <v>46014</v>
      </c>
      <c r="L257" s="3">
        <v>2500</v>
      </c>
      <c r="M257" t="s">
        <v>653</v>
      </c>
      <c r="N257" t="s">
        <v>56</v>
      </c>
      <c r="O257" t="s">
        <v>667</v>
      </c>
      <c r="P257" s="3">
        <v>2500</v>
      </c>
      <c r="Q257">
        <v>60</v>
      </c>
      <c r="R257" t="s">
        <v>668</v>
      </c>
      <c r="S257" t="s">
        <v>656</v>
      </c>
      <c r="T257" t="s">
        <v>657</v>
      </c>
      <c r="U257" t="s">
        <v>188</v>
      </c>
      <c r="V257" s="3">
        <f>Tabla1[[#This Row],[OS-Valor Unitario]]-Tabla1[[#This Row],[costo_antes_iva]]</f>
        <v>0</v>
      </c>
      <c r="W257" s="3">
        <f>Tabla1[[#This Row],[OS-Valor Unitario]]*Tabla1[[#This Row],[OS-Cantidad]]</f>
        <v>150000</v>
      </c>
      <c r="X257" s="3">
        <f>Tabla1[[#This Row],[costo_antes_iva]]*Tabla1[[#This Row],[OS-Cantidad]]</f>
        <v>150000</v>
      </c>
      <c r="Y257" s="3">
        <f>Tabla1[[#This Row],[Valor total OS]]-Tabla1[[#This Row],[valor total op]]</f>
        <v>0</v>
      </c>
    </row>
    <row r="258" spans="1:25" x14ac:dyDescent="0.3">
      <c r="A258">
        <v>6486</v>
      </c>
      <c r="B258">
        <v>4</v>
      </c>
      <c r="C258" t="s">
        <v>669</v>
      </c>
      <c r="D258">
        <v>10</v>
      </c>
      <c r="E258" s="5">
        <v>46014.845138888886</v>
      </c>
      <c r="F258" t="s">
        <v>670</v>
      </c>
      <c r="G258" t="s">
        <v>666</v>
      </c>
      <c r="H258" t="s">
        <v>182</v>
      </c>
      <c r="I258">
        <v>1</v>
      </c>
      <c r="J258">
        <v>77668018</v>
      </c>
      <c r="K258" s="5">
        <v>46014</v>
      </c>
      <c r="L258" s="3">
        <v>1800</v>
      </c>
      <c r="M258" t="s">
        <v>653</v>
      </c>
      <c r="N258" t="s">
        <v>26</v>
      </c>
      <c r="O258" t="s">
        <v>671</v>
      </c>
      <c r="P258" s="3">
        <v>3400</v>
      </c>
      <c r="Q258">
        <v>11</v>
      </c>
      <c r="R258" t="s">
        <v>672</v>
      </c>
      <c r="S258" t="s">
        <v>656</v>
      </c>
      <c r="T258" t="s">
        <v>657</v>
      </c>
      <c r="U258" t="s">
        <v>188</v>
      </c>
      <c r="V258" s="3">
        <f>Tabla1[[#This Row],[OS-Valor Unitario]]-Tabla1[[#This Row],[costo_antes_iva]]</f>
        <v>1600</v>
      </c>
      <c r="W258" s="3">
        <f>Tabla1[[#This Row],[OS-Valor Unitario]]*Tabla1[[#This Row],[OS-Cantidad]]</f>
        <v>37400</v>
      </c>
      <c r="X258" s="3">
        <f>Tabla1[[#This Row],[costo_antes_iva]]*Tabla1[[#This Row],[OS-Cantidad]]</f>
        <v>19800</v>
      </c>
      <c r="Y258" s="3">
        <f>Tabla1[[#This Row],[Valor total OS]]-Tabla1[[#This Row],[valor total op]]</f>
        <v>17600</v>
      </c>
    </row>
    <row r="259" spans="1:25" x14ac:dyDescent="0.3">
      <c r="A259">
        <v>6486</v>
      </c>
      <c r="B259">
        <v>5</v>
      </c>
      <c r="C259" t="s">
        <v>673</v>
      </c>
      <c r="D259">
        <v>60</v>
      </c>
      <c r="E259" s="5">
        <v>46014.845138888886</v>
      </c>
      <c r="F259" t="s">
        <v>674</v>
      </c>
      <c r="G259" t="s">
        <v>666</v>
      </c>
      <c r="H259" t="s">
        <v>182</v>
      </c>
      <c r="I259">
        <v>1</v>
      </c>
      <c r="J259">
        <v>77668024</v>
      </c>
      <c r="K259" s="5">
        <v>46014</v>
      </c>
      <c r="L259" s="3">
        <v>1800</v>
      </c>
      <c r="M259" t="s">
        <v>653</v>
      </c>
      <c r="N259" t="s">
        <v>26</v>
      </c>
      <c r="O259" t="s">
        <v>675</v>
      </c>
      <c r="P259" s="3">
        <v>3400</v>
      </c>
      <c r="Q259">
        <v>60</v>
      </c>
      <c r="R259" t="s">
        <v>676</v>
      </c>
      <c r="S259" t="s">
        <v>656</v>
      </c>
      <c r="T259" t="s">
        <v>657</v>
      </c>
      <c r="U259" t="s">
        <v>188</v>
      </c>
      <c r="V259" s="3">
        <f>Tabla1[[#This Row],[OS-Valor Unitario]]-Tabla1[[#This Row],[costo_antes_iva]]</f>
        <v>1600</v>
      </c>
      <c r="W259" s="3">
        <f>Tabla1[[#This Row],[OS-Valor Unitario]]*Tabla1[[#This Row],[OS-Cantidad]]</f>
        <v>204000</v>
      </c>
      <c r="X259" s="3">
        <f>Tabla1[[#This Row],[costo_antes_iva]]*Tabla1[[#This Row],[OS-Cantidad]]</f>
        <v>108000</v>
      </c>
      <c r="Y259" s="3">
        <f>Tabla1[[#This Row],[Valor total OS]]-Tabla1[[#This Row],[valor total op]]</f>
        <v>96000</v>
      </c>
    </row>
    <row r="260" spans="1:25" x14ac:dyDescent="0.3">
      <c r="A260">
        <v>6486</v>
      </c>
      <c r="B260">
        <v>6</v>
      </c>
      <c r="C260" t="s">
        <v>677</v>
      </c>
      <c r="D260">
        <v>50</v>
      </c>
      <c r="E260" s="5">
        <v>46014.845138888886</v>
      </c>
      <c r="F260" t="s">
        <v>678</v>
      </c>
      <c r="G260" t="s">
        <v>368</v>
      </c>
      <c r="H260" t="s">
        <v>182</v>
      </c>
      <c r="I260">
        <v>1</v>
      </c>
      <c r="J260">
        <v>77668029</v>
      </c>
      <c r="K260" s="5">
        <v>46014</v>
      </c>
      <c r="L260" s="3">
        <v>2500</v>
      </c>
      <c r="M260" t="s">
        <v>653</v>
      </c>
      <c r="N260" t="s">
        <v>56</v>
      </c>
      <c r="O260" t="s">
        <v>679</v>
      </c>
      <c r="P260" s="3">
        <v>3000</v>
      </c>
      <c r="Q260">
        <v>50</v>
      </c>
      <c r="R260" t="s">
        <v>680</v>
      </c>
      <c r="S260" t="s">
        <v>656</v>
      </c>
      <c r="T260" t="s">
        <v>657</v>
      </c>
      <c r="U260" t="s">
        <v>188</v>
      </c>
      <c r="V260" s="3">
        <f>Tabla1[[#This Row],[OS-Valor Unitario]]-Tabla1[[#This Row],[costo_antes_iva]]</f>
        <v>500</v>
      </c>
      <c r="W260" s="3">
        <f>Tabla1[[#This Row],[OS-Valor Unitario]]*Tabla1[[#This Row],[OS-Cantidad]]</f>
        <v>150000</v>
      </c>
      <c r="X260" s="3">
        <f>Tabla1[[#This Row],[costo_antes_iva]]*Tabla1[[#This Row],[OS-Cantidad]]</f>
        <v>125000</v>
      </c>
      <c r="Y260" s="3">
        <f>Tabla1[[#This Row],[Valor total OS]]-Tabla1[[#This Row],[valor total op]]</f>
        <v>25000</v>
      </c>
    </row>
    <row r="261" spans="1:25" x14ac:dyDescent="0.3">
      <c r="A261">
        <v>6486</v>
      </c>
      <c r="B261">
        <v>6</v>
      </c>
      <c r="C261" t="s">
        <v>677</v>
      </c>
      <c r="D261">
        <v>50</v>
      </c>
      <c r="E261" s="5">
        <v>46014.845138888886</v>
      </c>
      <c r="F261" t="s">
        <v>678</v>
      </c>
      <c r="G261" t="s">
        <v>368</v>
      </c>
      <c r="H261" t="s">
        <v>182</v>
      </c>
      <c r="I261">
        <v>1</v>
      </c>
      <c r="J261">
        <v>77668029</v>
      </c>
      <c r="K261" s="5">
        <v>46014</v>
      </c>
      <c r="L261" s="3">
        <v>1800</v>
      </c>
      <c r="M261" t="s">
        <v>653</v>
      </c>
      <c r="N261" t="s">
        <v>26</v>
      </c>
      <c r="O261" t="s">
        <v>679</v>
      </c>
      <c r="P261" s="3">
        <v>2400</v>
      </c>
      <c r="Q261">
        <v>50</v>
      </c>
      <c r="R261" t="s">
        <v>681</v>
      </c>
      <c r="S261" t="s">
        <v>656</v>
      </c>
      <c r="T261" t="s">
        <v>657</v>
      </c>
      <c r="U261" t="s">
        <v>188</v>
      </c>
      <c r="V261" s="3">
        <f>Tabla1[[#This Row],[OS-Valor Unitario]]-Tabla1[[#This Row],[costo_antes_iva]]</f>
        <v>600</v>
      </c>
      <c r="W261" s="3">
        <f>Tabla1[[#This Row],[OS-Valor Unitario]]*Tabla1[[#This Row],[OS-Cantidad]]</f>
        <v>120000</v>
      </c>
      <c r="X261" s="3">
        <f>Tabla1[[#This Row],[costo_antes_iva]]*Tabla1[[#This Row],[OS-Cantidad]]</f>
        <v>90000</v>
      </c>
      <c r="Y261" s="3">
        <f>Tabla1[[#This Row],[Valor total OS]]-Tabla1[[#This Row],[valor total op]]</f>
        <v>30000</v>
      </c>
    </row>
    <row r="262" spans="1:25" x14ac:dyDescent="0.3">
      <c r="A262">
        <v>6486</v>
      </c>
      <c r="B262">
        <v>7</v>
      </c>
      <c r="C262" t="s">
        <v>682</v>
      </c>
      <c r="D262">
        <v>50</v>
      </c>
      <c r="E262" s="5">
        <v>46014.845138888886</v>
      </c>
      <c r="F262" t="s">
        <v>683</v>
      </c>
      <c r="G262" t="s">
        <v>684</v>
      </c>
      <c r="H262" t="s">
        <v>182</v>
      </c>
      <c r="I262">
        <v>1</v>
      </c>
      <c r="J262">
        <v>77668035</v>
      </c>
      <c r="K262" s="5">
        <v>46014</v>
      </c>
      <c r="L262" s="3">
        <v>11000</v>
      </c>
      <c r="M262" t="s">
        <v>653</v>
      </c>
      <c r="N262" t="s">
        <v>56</v>
      </c>
      <c r="O262" t="s">
        <v>685</v>
      </c>
      <c r="P262" s="3">
        <v>9000</v>
      </c>
      <c r="Q262">
        <v>34</v>
      </c>
      <c r="R262" t="s">
        <v>686</v>
      </c>
      <c r="S262" t="s">
        <v>656</v>
      </c>
      <c r="T262" t="s">
        <v>657</v>
      </c>
      <c r="U262" t="s">
        <v>188</v>
      </c>
      <c r="V262" s="3">
        <f>Tabla1[[#This Row],[OS-Valor Unitario]]-Tabla1[[#This Row],[costo_antes_iva]]</f>
        <v>-2000</v>
      </c>
      <c r="W262" s="3">
        <f>Tabla1[[#This Row],[OS-Valor Unitario]]*Tabla1[[#This Row],[OS-Cantidad]]</f>
        <v>306000</v>
      </c>
      <c r="X262" s="3">
        <f>Tabla1[[#This Row],[costo_antes_iva]]*Tabla1[[#This Row],[OS-Cantidad]]</f>
        <v>374000</v>
      </c>
      <c r="Y262" s="3">
        <f>Tabla1[[#This Row],[Valor total OS]]-Tabla1[[#This Row],[valor total op]]</f>
        <v>-68000</v>
      </c>
    </row>
    <row r="263" spans="1:25" x14ac:dyDescent="0.3">
      <c r="A263">
        <v>6486</v>
      </c>
      <c r="B263">
        <v>8</v>
      </c>
      <c r="C263" t="s">
        <v>687</v>
      </c>
      <c r="D263">
        <v>70</v>
      </c>
      <c r="E263" s="5">
        <v>46014.845138888886</v>
      </c>
      <c r="F263" t="s">
        <v>688</v>
      </c>
      <c r="G263" t="s">
        <v>689</v>
      </c>
      <c r="H263" t="s">
        <v>182</v>
      </c>
      <c r="I263">
        <v>1</v>
      </c>
      <c r="J263">
        <v>77668043</v>
      </c>
      <c r="K263" s="5">
        <v>46014</v>
      </c>
      <c r="L263" s="3">
        <v>4500</v>
      </c>
      <c r="M263" t="s">
        <v>653</v>
      </c>
      <c r="N263" t="s">
        <v>56</v>
      </c>
      <c r="O263" t="s">
        <v>690</v>
      </c>
      <c r="P263" s="3">
        <v>5000</v>
      </c>
      <c r="Q263">
        <v>70</v>
      </c>
      <c r="R263" t="s">
        <v>691</v>
      </c>
      <c r="S263" t="s">
        <v>656</v>
      </c>
      <c r="T263" t="s">
        <v>657</v>
      </c>
      <c r="U263" t="s">
        <v>188</v>
      </c>
      <c r="V263" s="3">
        <f>Tabla1[[#This Row],[OS-Valor Unitario]]-Tabla1[[#This Row],[costo_antes_iva]]</f>
        <v>500</v>
      </c>
      <c r="W263" s="3">
        <f>Tabla1[[#This Row],[OS-Valor Unitario]]*Tabla1[[#This Row],[OS-Cantidad]]</f>
        <v>350000</v>
      </c>
      <c r="X263" s="3">
        <f>Tabla1[[#This Row],[costo_antes_iva]]*Tabla1[[#This Row],[OS-Cantidad]]</f>
        <v>315000</v>
      </c>
      <c r="Y263" s="3">
        <f>Tabla1[[#This Row],[Valor total OS]]-Tabla1[[#This Row],[valor total op]]</f>
        <v>35000</v>
      </c>
    </row>
    <row r="264" spans="1:25" x14ac:dyDescent="0.3">
      <c r="A264">
        <v>6486</v>
      </c>
      <c r="B264">
        <v>9</v>
      </c>
      <c r="C264" t="s">
        <v>692</v>
      </c>
      <c r="D264">
        <v>60</v>
      </c>
      <c r="E264" s="5">
        <v>46014.845138888886</v>
      </c>
      <c r="F264" t="s">
        <v>693</v>
      </c>
      <c r="G264" t="s">
        <v>138</v>
      </c>
      <c r="H264" t="s">
        <v>182</v>
      </c>
      <c r="I264">
        <v>1</v>
      </c>
      <c r="J264">
        <v>77668056</v>
      </c>
      <c r="K264" s="5">
        <v>46014</v>
      </c>
      <c r="L264" s="3">
        <v>11000</v>
      </c>
      <c r="M264" t="s">
        <v>653</v>
      </c>
      <c r="N264" t="s">
        <v>56</v>
      </c>
      <c r="O264" t="s">
        <v>694</v>
      </c>
      <c r="P264" s="3">
        <v>9000</v>
      </c>
      <c r="Q264">
        <v>60</v>
      </c>
      <c r="R264" t="s">
        <v>695</v>
      </c>
      <c r="S264" t="s">
        <v>656</v>
      </c>
      <c r="T264" t="s">
        <v>657</v>
      </c>
      <c r="U264" t="s">
        <v>188</v>
      </c>
      <c r="V264" s="3">
        <f>Tabla1[[#This Row],[OS-Valor Unitario]]-Tabla1[[#This Row],[costo_antes_iva]]</f>
        <v>-2000</v>
      </c>
      <c r="W264" s="3">
        <f>Tabla1[[#This Row],[OS-Valor Unitario]]*Tabla1[[#This Row],[OS-Cantidad]]</f>
        <v>540000</v>
      </c>
      <c r="X264" s="3">
        <f>Tabla1[[#This Row],[costo_antes_iva]]*Tabla1[[#This Row],[OS-Cantidad]]</f>
        <v>660000</v>
      </c>
      <c r="Y264" s="3">
        <f>Tabla1[[#This Row],[Valor total OS]]-Tabla1[[#This Row],[valor total op]]</f>
        <v>-120000</v>
      </c>
    </row>
    <row r="265" spans="1:25" x14ac:dyDescent="0.3">
      <c r="A265">
        <v>6486</v>
      </c>
      <c r="B265">
        <v>10</v>
      </c>
      <c r="C265" t="s">
        <v>696</v>
      </c>
      <c r="D265">
        <v>60</v>
      </c>
      <c r="E265" s="5">
        <v>46014.845138888886</v>
      </c>
      <c r="F265" t="s">
        <v>697</v>
      </c>
      <c r="G265" t="s">
        <v>138</v>
      </c>
      <c r="H265" t="s">
        <v>182</v>
      </c>
      <c r="I265">
        <v>1</v>
      </c>
      <c r="J265">
        <v>77668073</v>
      </c>
      <c r="K265" s="5">
        <v>46014</v>
      </c>
      <c r="L265" s="3">
        <v>4500</v>
      </c>
      <c r="M265" t="s">
        <v>653</v>
      </c>
      <c r="N265" t="s">
        <v>56</v>
      </c>
      <c r="O265" t="s">
        <v>698</v>
      </c>
      <c r="P265" s="3">
        <v>5000</v>
      </c>
      <c r="Q265">
        <v>60</v>
      </c>
      <c r="R265" t="s">
        <v>699</v>
      </c>
      <c r="S265" t="s">
        <v>656</v>
      </c>
      <c r="T265" t="s">
        <v>657</v>
      </c>
      <c r="U265" t="s">
        <v>188</v>
      </c>
      <c r="V265" s="3">
        <f>Tabla1[[#This Row],[OS-Valor Unitario]]-Tabla1[[#This Row],[costo_antes_iva]]</f>
        <v>500</v>
      </c>
      <c r="W265" s="3">
        <f>Tabla1[[#This Row],[OS-Valor Unitario]]*Tabla1[[#This Row],[OS-Cantidad]]</f>
        <v>300000</v>
      </c>
      <c r="X265" s="3">
        <f>Tabla1[[#This Row],[costo_antes_iva]]*Tabla1[[#This Row],[OS-Cantidad]]</f>
        <v>270000</v>
      </c>
      <c r="Y265" s="3">
        <f>Tabla1[[#This Row],[Valor total OS]]-Tabla1[[#This Row],[valor total op]]</f>
        <v>30000</v>
      </c>
    </row>
    <row r="266" spans="1:25" x14ac:dyDescent="0.3">
      <c r="A266">
        <v>6485</v>
      </c>
      <c r="B266">
        <v>1</v>
      </c>
      <c r="C266" t="s">
        <v>700</v>
      </c>
      <c r="D266">
        <v>155</v>
      </c>
      <c r="E266" s="5">
        <v>46014.772222222222</v>
      </c>
      <c r="F266" t="s">
        <v>701</v>
      </c>
      <c r="G266" t="s">
        <v>429</v>
      </c>
      <c r="H266" t="s">
        <v>182</v>
      </c>
      <c r="I266">
        <v>1</v>
      </c>
      <c r="J266">
        <v>77662375</v>
      </c>
      <c r="K266" s="5">
        <v>46014</v>
      </c>
      <c r="L266" s="3">
        <v>1600</v>
      </c>
      <c r="M266" t="s">
        <v>702</v>
      </c>
      <c r="N266" t="s">
        <v>26</v>
      </c>
      <c r="O266" t="s">
        <v>703</v>
      </c>
      <c r="P266" s="3">
        <v>2400</v>
      </c>
      <c r="Q266">
        <v>172</v>
      </c>
      <c r="R266" t="s">
        <v>704</v>
      </c>
      <c r="S266" t="s">
        <v>705</v>
      </c>
      <c r="T266" t="s">
        <v>706</v>
      </c>
      <c r="U266" t="s">
        <v>188</v>
      </c>
      <c r="V266" s="3">
        <f>Tabla1[[#This Row],[OS-Valor Unitario]]-Tabla1[[#This Row],[costo_antes_iva]]</f>
        <v>800</v>
      </c>
      <c r="W266" s="3">
        <f>Tabla1[[#This Row],[OS-Valor Unitario]]*Tabla1[[#This Row],[OS-Cantidad]]</f>
        <v>412800</v>
      </c>
      <c r="X266" s="3">
        <f>Tabla1[[#This Row],[costo_antes_iva]]*Tabla1[[#This Row],[OS-Cantidad]]</f>
        <v>275200</v>
      </c>
      <c r="Y266" s="3">
        <f>Tabla1[[#This Row],[Valor total OS]]-Tabla1[[#This Row],[valor total op]]</f>
        <v>137600</v>
      </c>
    </row>
    <row r="267" spans="1:25" x14ac:dyDescent="0.3">
      <c r="A267">
        <v>6485</v>
      </c>
      <c r="B267">
        <v>1</v>
      </c>
      <c r="C267" t="s">
        <v>700</v>
      </c>
      <c r="D267">
        <v>155</v>
      </c>
      <c r="E267" s="5">
        <v>46014.772222222222</v>
      </c>
      <c r="F267" t="s">
        <v>701</v>
      </c>
      <c r="G267" t="s">
        <v>429</v>
      </c>
      <c r="H267" t="s">
        <v>182</v>
      </c>
      <c r="I267">
        <v>1</v>
      </c>
      <c r="J267">
        <v>77662375</v>
      </c>
      <c r="K267" s="5">
        <v>46014</v>
      </c>
      <c r="L267" s="3">
        <v>1600</v>
      </c>
      <c r="M267" t="s">
        <v>702</v>
      </c>
      <c r="N267" t="s">
        <v>26</v>
      </c>
      <c r="O267" t="s">
        <v>703</v>
      </c>
      <c r="P267" s="3">
        <v>2400</v>
      </c>
      <c r="Q267">
        <v>172</v>
      </c>
      <c r="R267" t="s">
        <v>704</v>
      </c>
      <c r="S267" t="s">
        <v>705</v>
      </c>
      <c r="T267" t="s">
        <v>707</v>
      </c>
      <c r="U267" t="s">
        <v>188</v>
      </c>
      <c r="V267" s="3">
        <f>Tabla1[[#This Row],[OS-Valor Unitario]]-Tabla1[[#This Row],[costo_antes_iva]]</f>
        <v>800</v>
      </c>
      <c r="W267" s="3">
        <f>Tabla1[[#This Row],[OS-Valor Unitario]]*Tabla1[[#This Row],[OS-Cantidad]]</f>
        <v>412800</v>
      </c>
      <c r="X267" s="3">
        <f>Tabla1[[#This Row],[costo_antes_iva]]*Tabla1[[#This Row],[OS-Cantidad]]</f>
        <v>275200</v>
      </c>
      <c r="Y267" s="3">
        <f>Tabla1[[#This Row],[Valor total OS]]-Tabla1[[#This Row],[valor total op]]</f>
        <v>137600</v>
      </c>
    </row>
    <row r="268" spans="1:25" x14ac:dyDescent="0.3">
      <c r="A268">
        <v>6485</v>
      </c>
      <c r="B268">
        <v>1</v>
      </c>
      <c r="C268" t="s">
        <v>700</v>
      </c>
      <c r="D268">
        <v>155</v>
      </c>
      <c r="E268" s="5">
        <v>46014.772222222222</v>
      </c>
      <c r="F268" t="s">
        <v>701</v>
      </c>
      <c r="G268" t="s">
        <v>429</v>
      </c>
      <c r="H268" t="s">
        <v>182</v>
      </c>
      <c r="I268">
        <v>1</v>
      </c>
      <c r="J268">
        <v>77662618</v>
      </c>
      <c r="K268" s="5">
        <v>46014</v>
      </c>
      <c r="L268" s="3">
        <v>1600</v>
      </c>
      <c r="M268" t="s">
        <v>708</v>
      </c>
      <c r="N268" t="s">
        <v>26</v>
      </c>
      <c r="O268" t="s">
        <v>703</v>
      </c>
      <c r="P268" s="3">
        <v>2400</v>
      </c>
      <c r="Q268">
        <v>172</v>
      </c>
      <c r="R268" t="s">
        <v>704</v>
      </c>
      <c r="S268" t="s">
        <v>705</v>
      </c>
      <c r="T268" t="s">
        <v>706</v>
      </c>
      <c r="U268" t="s">
        <v>188</v>
      </c>
      <c r="V268" s="3">
        <f>Tabla1[[#This Row],[OS-Valor Unitario]]-Tabla1[[#This Row],[costo_antes_iva]]</f>
        <v>800</v>
      </c>
      <c r="W268" s="3">
        <f>Tabla1[[#This Row],[OS-Valor Unitario]]*Tabla1[[#This Row],[OS-Cantidad]]</f>
        <v>412800</v>
      </c>
      <c r="X268" s="3">
        <f>Tabla1[[#This Row],[costo_antes_iva]]*Tabla1[[#This Row],[OS-Cantidad]]</f>
        <v>275200</v>
      </c>
      <c r="Y268" s="3">
        <f>Tabla1[[#This Row],[Valor total OS]]-Tabla1[[#This Row],[valor total op]]</f>
        <v>137600</v>
      </c>
    </row>
    <row r="269" spans="1:25" x14ac:dyDescent="0.3">
      <c r="A269">
        <v>6485</v>
      </c>
      <c r="B269">
        <v>1</v>
      </c>
      <c r="C269" t="s">
        <v>700</v>
      </c>
      <c r="D269">
        <v>155</v>
      </c>
      <c r="E269" s="5">
        <v>46014.772222222222</v>
      </c>
      <c r="F269" t="s">
        <v>701</v>
      </c>
      <c r="G269" t="s">
        <v>429</v>
      </c>
      <c r="H269" t="s">
        <v>182</v>
      </c>
      <c r="I269">
        <v>1</v>
      </c>
      <c r="J269">
        <v>77662618</v>
      </c>
      <c r="K269" s="5">
        <v>46014</v>
      </c>
      <c r="L269" s="3">
        <v>1600</v>
      </c>
      <c r="M269" t="s">
        <v>708</v>
      </c>
      <c r="N269" t="s">
        <v>26</v>
      </c>
      <c r="O269" t="s">
        <v>703</v>
      </c>
      <c r="P269" s="3">
        <v>2400</v>
      </c>
      <c r="Q269">
        <v>172</v>
      </c>
      <c r="R269" t="s">
        <v>704</v>
      </c>
      <c r="S269" t="s">
        <v>705</v>
      </c>
      <c r="T269" t="s">
        <v>707</v>
      </c>
      <c r="U269" t="s">
        <v>188</v>
      </c>
      <c r="V269" s="3">
        <f>Tabla1[[#This Row],[OS-Valor Unitario]]-Tabla1[[#This Row],[costo_antes_iva]]</f>
        <v>800</v>
      </c>
      <c r="W269" s="3">
        <f>Tabla1[[#This Row],[OS-Valor Unitario]]*Tabla1[[#This Row],[OS-Cantidad]]</f>
        <v>412800</v>
      </c>
      <c r="X269" s="3">
        <f>Tabla1[[#This Row],[costo_antes_iva]]*Tabla1[[#This Row],[OS-Cantidad]]</f>
        <v>275200</v>
      </c>
      <c r="Y269" s="3">
        <f>Tabla1[[#This Row],[Valor total OS]]-Tabla1[[#This Row],[valor total op]]</f>
        <v>137600</v>
      </c>
    </row>
    <row r="270" spans="1:25" x14ac:dyDescent="0.3">
      <c r="A270">
        <v>6485</v>
      </c>
      <c r="B270">
        <v>2</v>
      </c>
      <c r="C270" t="s">
        <v>709</v>
      </c>
      <c r="D270">
        <v>30</v>
      </c>
      <c r="E270" s="5">
        <v>46014.772222222222</v>
      </c>
      <c r="F270" t="s">
        <v>710</v>
      </c>
      <c r="G270" t="s">
        <v>128</v>
      </c>
      <c r="H270" t="s">
        <v>182</v>
      </c>
      <c r="I270">
        <v>1</v>
      </c>
      <c r="J270">
        <v>77662382</v>
      </c>
      <c r="K270" s="5">
        <v>46014</v>
      </c>
      <c r="L270" s="3">
        <v>1600</v>
      </c>
      <c r="M270" t="s">
        <v>702</v>
      </c>
      <c r="N270" t="s">
        <v>26</v>
      </c>
      <c r="O270" t="s">
        <v>711</v>
      </c>
      <c r="P270" s="3">
        <v>2400</v>
      </c>
      <c r="Q270">
        <v>30</v>
      </c>
      <c r="R270" t="s">
        <v>712</v>
      </c>
      <c r="S270" t="s">
        <v>705</v>
      </c>
      <c r="T270" t="s">
        <v>706</v>
      </c>
      <c r="U270" t="s">
        <v>188</v>
      </c>
      <c r="V270" s="3">
        <f>Tabla1[[#This Row],[OS-Valor Unitario]]-Tabla1[[#This Row],[costo_antes_iva]]</f>
        <v>800</v>
      </c>
      <c r="W270" s="3">
        <f>Tabla1[[#This Row],[OS-Valor Unitario]]*Tabla1[[#This Row],[OS-Cantidad]]</f>
        <v>72000</v>
      </c>
      <c r="X270" s="3">
        <f>Tabla1[[#This Row],[costo_antes_iva]]*Tabla1[[#This Row],[OS-Cantidad]]</f>
        <v>48000</v>
      </c>
      <c r="Y270" s="3">
        <f>Tabla1[[#This Row],[Valor total OS]]-Tabla1[[#This Row],[valor total op]]</f>
        <v>24000</v>
      </c>
    </row>
    <row r="271" spans="1:25" x14ac:dyDescent="0.3">
      <c r="A271">
        <v>6485</v>
      </c>
      <c r="B271">
        <v>2</v>
      </c>
      <c r="C271" t="s">
        <v>709</v>
      </c>
      <c r="D271">
        <v>30</v>
      </c>
      <c r="E271" s="5">
        <v>46014.772222222222</v>
      </c>
      <c r="F271" t="s">
        <v>710</v>
      </c>
      <c r="G271" t="s">
        <v>128</v>
      </c>
      <c r="H271" t="s">
        <v>182</v>
      </c>
      <c r="I271">
        <v>1</v>
      </c>
      <c r="J271">
        <v>77662382</v>
      </c>
      <c r="K271" s="5">
        <v>46014</v>
      </c>
      <c r="L271" s="3">
        <v>1600</v>
      </c>
      <c r="M271" t="s">
        <v>702</v>
      </c>
      <c r="N271" t="s">
        <v>26</v>
      </c>
      <c r="O271" t="s">
        <v>711</v>
      </c>
      <c r="P271" s="3">
        <v>2400</v>
      </c>
      <c r="Q271">
        <v>30</v>
      </c>
      <c r="R271" t="s">
        <v>712</v>
      </c>
      <c r="S271" t="s">
        <v>705</v>
      </c>
      <c r="T271" t="s">
        <v>707</v>
      </c>
      <c r="U271" t="s">
        <v>188</v>
      </c>
      <c r="V271" s="3">
        <f>Tabla1[[#This Row],[OS-Valor Unitario]]-Tabla1[[#This Row],[costo_antes_iva]]</f>
        <v>800</v>
      </c>
      <c r="W271" s="3">
        <f>Tabla1[[#This Row],[OS-Valor Unitario]]*Tabla1[[#This Row],[OS-Cantidad]]</f>
        <v>72000</v>
      </c>
      <c r="X271" s="3">
        <f>Tabla1[[#This Row],[costo_antes_iva]]*Tabla1[[#This Row],[OS-Cantidad]]</f>
        <v>48000</v>
      </c>
      <c r="Y271" s="3">
        <f>Tabla1[[#This Row],[Valor total OS]]-Tabla1[[#This Row],[valor total op]]</f>
        <v>24000</v>
      </c>
    </row>
    <row r="272" spans="1:25" x14ac:dyDescent="0.3">
      <c r="A272">
        <v>6485</v>
      </c>
      <c r="B272">
        <v>2</v>
      </c>
      <c r="C272" t="s">
        <v>709</v>
      </c>
      <c r="D272">
        <v>30</v>
      </c>
      <c r="E272" s="5">
        <v>46014.772222222222</v>
      </c>
      <c r="F272" t="s">
        <v>710</v>
      </c>
      <c r="G272" t="s">
        <v>128</v>
      </c>
      <c r="H272" t="s">
        <v>182</v>
      </c>
      <c r="I272">
        <v>1</v>
      </c>
      <c r="J272">
        <v>77662637</v>
      </c>
      <c r="K272" s="5">
        <v>46014</v>
      </c>
      <c r="L272" s="3">
        <v>1600</v>
      </c>
      <c r="M272" t="s">
        <v>708</v>
      </c>
      <c r="N272" t="s">
        <v>26</v>
      </c>
      <c r="O272" t="s">
        <v>711</v>
      </c>
      <c r="P272" s="3">
        <v>2400</v>
      </c>
      <c r="Q272">
        <v>30</v>
      </c>
      <c r="R272" t="s">
        <v>712</v>
      </c>
      <c r="S272" t="s">
        <v>705</v>
      </c>
      <c r="T272" t="s">
        <v>706</v>
      </c>
      <c r="U272" t="s">
        <v>188</v>
      </c>
      <c r="V272" s="3">
        <f>Tabla1[[#This Row],[OS-Valor Unitario]]-Tabla1[[#This Row],[costo_antes_iva]]</f>
        <v>800</v>
      </c>
      <c r="W272" s="3">
        <f>Tabla1[[#This Row],[OS-Valor Unitario]]*Tabla1[[#This Row],[OS-Cantidad]]</f>
        <v>72000</v>
      </c>
      <c r="X272" s="3">
        <f>Tabla1[[#This Row],[costo_antes_iva]]*Tabla1[[#This Row],[OS-Cantidad]]</f>
        <v>48000</v>
      </c>
      <c r="Y272" s="3">
        <f>Tabla1[[#This Row],[Valor total OS]]-Tabla1[[#This Row],[valor total op]]</f>
        <v>24000</v>
      </c>
    </row>
    <row r="273" spans="1:25" x14ac:dyDescent="0.3">
      <c r="A273">
        <v>6485</v>
      </c>
      <c r="B273">
        <v>2</v>
      </c>
      <c r="C273" t="s">
        <v>709</v>
      </c>
      <c r="D273">
        <v>30</v>
      </c>
      <c r="E273" s="5">
        <v>46014.772222222222</v>
      </c>
      <c r="F273" t="s">
        <v>710</v>
      </c>
      <c r="G273" t="s">
        <v>128</v>
      </c>
      <c r="H273" t="s">
        <v>182</v>
      </c>
      <c r="I273">
        <v>1</v>
      </c>
      <c r="J273">
        <v>77662637</v>
      </c>
      <c r="K273" s="5">
        <v>46014</v>
      </c>
      <c r="L273" s="3">
        <v>1600</v>
      </c>
      <c r="M273" t="s">
        <v>708</v>
      </c>
      <c r="N273" t="s">
        <v>26</v>
      </c>
      <c r="O273" t="s">
        <v>711</v>
      </c>
      <c r="P273" s="3">
        <v>2400</v>
      </c>
      <c r="Q273">
        <v>30</v>
      </c>
      <c r="R273" t="s">
        <v>712</v>
      </c>
      <c r="S273" t="s">
        <v>705</v>
      </c>
      <c r="T273" t="s">
        <v>707</v>
      </c>
      <c r="U273" t="s">
        <v>188</v>
      </c>
      <c r="V273" s="3">
        <f>Tabla1[[#This Row],[OS-Valor Unitario]]-Tabla1[[#This Row],[costo_antes_iva]]</f>
        <v>800</v>
      </c>
      <c r="W273" s="3">
        <f>Tabla1[[#This Row],[OS-Valor Unitario]]*Tabla1[[#This Row],[OS-Cantidad]]</f>
        <v>72000</v>
      </c>
      <c r="X273" s="3">
        <f>Tabla1[[#This Row],[costo_antes_iva]]*Tabla1[[#This Row],[OS-Cantidad]]</f>
        <v>48000</v>
      </c>
      <c r="Y273" s="3">
        <f>Tabla1[[#This Row],[Valor total OS]]-Tabla1[[#This Row],[valor total op]]</f>
        <v>24000</v>
      </c>
    </row>
    <row r="274" spans="1:25" x14ac:dyDescent="0.3">
      <c r="A274">
        <v>6485</v>
      </c>
      <c r="B274">
        <v>3</v>
      </c>
      <c r="C274" t="s">
        <v>713</v>
      </c>
      <c r="D274">
        <v>50</v>
      </c>
      <c r="E274" s="5">
        <v>46014.772222222222</v>
      </c>
      <c r="F274" t="s">
        <v>714</v>
      </c>
      <c r="G274" t="s">
        <v>128</v>
      </c>
      <c r="H274" t="s">
        <v>182</v>
      </c>
      <c r="I274">
        <v>1</v>
      </c>
      <c r="J274">
        <v>77662399</v>
      </c>
      <c r="K274" s="5">
        <v>46014</v>
      </c>
      <c r="L274" s="3">
        <v>5500</v>
      </c>
      <c r="M274" t="s">
        <v>702</v>
      </c>
      <c r="N274" t="s">
        <v>56</v>
      </c>
      <c r="O274" t="s">
        <v>715</v>
      </c>
      <c r="P274" s="3">
        <v>5500</v>
      </c>
      <c r="Q274">
        <v>50</v>
      </c>
      <c r="R274" t="s">
        <v>716</v>
      </c>
      <c r="S274" t="s">
        <v>705</v>
      </c>
      <c r="T274" t="s">
        <v>706</v>
      </c>
      <c r="U274" t="s">
        <v>188</v>
      </c>
      <c r="V274" s="3">
        <f>Tabla1[[#This Row],[OS-Valor Unitario]]-Tabla1[[#This Row],[costo_antes_iva]]</f>
        <v>0</v>
      </c>
      <c r="W274" s="3">
        <f>Tabla1[[#This Row],[OS-Valor Unitario]]*Tabla1[[#This Row],[OS-Cantidad]]</f>
        <v>275000</v>
      </c>
      <c r="X274" s="3">
        <f>Tabla1[[#This Row],[costo_antes_iva]]*Tabla1[[#This Row],[OS-Cantidad]]</f>
        <v>275000</v>
      </c>
      <c r="Y274" s="3">
        <f>Tabla1[[#This Row],[Valor total OS]]-Tabla1[[#This Row],[valor total op]]</f>
        <v>0</v>
      </c>
    </row>
    <row r="275" spans="1:25" x14ac:dyDescent="0.3">
      <c r="A275">
        <v>6485</v>
      </c>
      <c r="B275">
        <v>3</v>
      </c>
      <c r="C275" t="s">
        <v>713</v>
      </c>
      <c r="D275">
        <v>50</v>
      </c>
      <c r="E275" s="5">
        <v>46014.772222222222</v>
      </c>
      <c r="F275" t="s">
        <v>714</v>
      </c>
      <c r="G275" t="s">
        <v>128</v>
      </c>
      <c r="H275" t="s">
        <v>182</v>
      </c>
      <c r="I275">
        <v>1</v>
      </c>
      <c r="J275">
        <v>77662399</v>
      </c>
      <c r="K275" s="5">
        <v>46014</v>
      </c>
      <c r="L275" s="3">
        <v>5500</v>
      </c>
      <c r="M275" t="s">
        <v>702</v>
      </c>
      <c r="N275" t="s">
        <v>56</v>
      </c>
      <c r="O275" t="s">
        <v>715</v>
      </c>
      <c r="P275" s="3">
        <v>5500</v>
      </c>
      <c r="Q275">
        <v>50</v>
      </c>
      <c r="R275" t="s">
        <v>716</v>
      </c>
      <c r="S275" t="s">
        <v>705</v>
      </c>
      <c r="T275" t="s">
        <v>707</v>
      </c>
      <c r="U275" t="s">
        <v>188</v>
      </c>
      <c r="V275" s="3">
        <f>Tabla1[[#This Row],[OS-Valor Unitario]]-Tabla1[[#This Row],[costo_antes_iva]]</f>
        <v>0</v>
      </c>
      <c r="W275" s="3">
        <f>Tabla1[[#This Row],[OS-Valor Unitario]]*Tabla1[[#This Row],[OS-Cantidad]]</f>
        <v>275000</v>
      </c>
      <c r="X275" s="3">
        <f>Tabla1[[#This Row],[costo_antes_iva]]*Tabla1[[#This Row],[OS-Cantidad]]</f>
        <v>275000</v>
      </c>
      <c r="Y275" s="3">
        <f>Tabla1[[#This Row],[Valor total OS]]-Tabla1[[#This Row],[valor total op]]</f>
        <v>0</v>
      </c>
    </row>
    <row r="276" spans="1:25" x14ac:dyDescent="0.3">
      <c r="A276">
        <v>6485</v>
      </c>
      <c r="B276">
        <v>3</v>
      </c>
      <c r="C276" t="s">
        <v>713</v>
      </c>
      <c r="D276">
        <v>50</v>
      </c>
      <c r="E276" s="5">
        <v>46014.772222222222</v>
      </c>
      <c r="F276" t="s">
        <v>714</v>
      </c>
      <c r="G276" t="s">
        <v>128</v>
      </c>
      <c r="H276" t="s">
        <v>182</v>
      </c>
      <c r="I276">
        <v>1</v>
      </c>
      <c r="J276">
        <v>77662399</v>
      </c>
      <c r="K276" s="5">
        <v>46014</v>
      </c>
      <c r="L276" s="3">
        <v>1800</v>
      </c>
      <c r="M276" t="s">
        <v>702</v>
      </c>
      <c r="N276" t="s">
        <v>26</v>
      </c>
      <c r="O276" t="s">
        <v>715</v>
      </c>
      <c r="P276" s="3">
        <v>1100</v>
      </c>
      <c r="Q276">
        <v>50</v>
      </c>
      <c r="R276" t="s">
        <v>717</v>
      </c>
      <c r="S276" t="s">
        <v>705</v>
      </c>
      <c r="T276" t="s">
        <v>706</v>
      </c>
      <c r="U276" t="s">
        <v>188</v>
      </c>
      <c r="V276" s="3">
        <f>Tabla1[[#This Row],[OS-Valor Unitario]]-Tabla1[[#This Row],[costo_antes_iva]]</f>
        <v>-700</v>
      </c>
      <c r="W276" s="3">
        <f>Tabla1[[#This Row],[OS-Valor Unitario]]*Tabla1[[#This Row],[OS-Cantidad]]</f>
        <v>55000</v>
      </c>
      <c r="X276" s="3">
        <f>Tabla1[[#This Row],[costo_antes_iva]]*Tabla1[[#This Row],[OS-Cantidad]]</f>
        <v>90000</v>
      </c>
      <c r="Y276" s="3">
        <f>Tabla1[[#This Row],[Valor total OS]]-Tabla1[[#This Row],[valor total op]]</f>
        <v>-35000</v>
      </c>
    </row>
    <row r="277" spans="1:25" x14ac:dyDescent="0.3">
      <c r="A277">
        <v>6485</v>
      </c>
      <c r="B277">
        <v>3</v>
      </c>
      <c r="C277" t="s">
        <v>713</v>
      </c>
      <c r="D277">
        <v>50</v>
      </c>
      <c r="E277" s="5">
        <v>46014.772222222222</v>
      </c>
      <c r="F277" t="s">
        <v>714</v>
      </c>
      <c r="G277" t="s">
        <v>128</v>
      </c>
      <c r="H277" t="s">
        <v>182</v>
      </c>
      <c r="I277">
        <v>1</v>
      </c>
      <c r="J277">
        <v>77662399</v>
      </c>
      <c r="K277" s="5">
        <v>46014</v>
      </c>
      <c r="L277" s="3">
        <v>1800</v>
      </c>
      <c r="M277" t="s">
        <v>702</v>
      </c>
      <c r="N277" t="s">
        <v>26</v>
      </c>
      <c r="O277" t="s">
        <v>715</v>
      </c>
      <c r="P277" s="3">
        <v>1100</v>
      </c>
      <c r="Q277">
        <v>50</v>
      </c>
      <c r="R277" t="s">
        <v>717</v>
      </c>
      <c r="S277" t="s">
        <v>705</v>
      </c>
      <c r="T277" t="s">
        <v>707</v>
      </c>
      <c r="U277" t="s">
        <v>188</v>
      </c>
      <c r="V277" s="3">
        <f>Tabla1[[#This Row],[OS-Valor Unitario]]-Tabla1[[#This Row],[costo_antes_iva]]</f>
        <v>-700</v>
      </c>
      <c r="W277" s="3">
        <f>Tabla1[[#This Row],[OS-Valor Unitario]]*Tabla1[[#This Row],[OS-Cantidad]]</f>
        <v>55000</v>
      </c>
      <c r="X277" s="3">
        <f>Tabla1[[#This Row],[costo_antes_iva]]*Tabla1[[#This Row],[OS-Cantidad]]</f>
        <v>90000</v>
      </c>
      <c r="Y277" s="3">
        <f>Tabla1[[#This Row],[Valor total OS]]-Tabla1[[#This Row],[valor total op]]</f>
        <v>-35000</v>
      </c>
    </row>
    <row r="278" spans="1:25" x14ac:dyDescent="0.3">
      <c r="A278">
        <v>6485</v>
      </c>
      <c r="B278">
        <v>3</v>
      </c>
      <c r="C278" t="s">
        <v>713</v>
      </c>
      <c r="D278">
        <v>50</v>
      </c>
      <c r="E278" s="5">
        <v>46014.772222222222</v>
      </c>
      <c r="F278" t="s">
        <v>714</v>
      </c>
      <c r="G278" t="s">
        <v>128</v>
      </c>
      <c r="H278" t="s">
        <v>182</v>
      </c>
      <c r="I278">
        <v>1</v>
      </c>
      <c r="J278">
        <v>77662717</v>
      </c>
      <c r="K278" s="5">
        <v>46014</v>
      </c>
      <c r="L278" s="3">
        <v>5500</v>
      </c>
      <c r="M278" t="s">
        <v>708</v>
      </c>
      <c r="N278" t="s">
        <v>56</v>
      </c>
      <c r="O278" t="s">
        <v>715</v>
      </c>
      <c r="P278" s="3">
        <v>5500</v>
      </c>
      <c r="Q278">
        <v>50</v>
      </c>
      <c r="R278" t="s">
        <v>716</v>
      </c>
      <c r="S278" t="s">
        <v>705</v>
      </c>
      <c r="T278" t="s">
        <v>706</v>
      </c>
      <c r="U278" t="s">
        <v>188</v>
      </c>
      <c r="V278" s="3">
        <f>Tabla1[[#This Row],[OS-Valor Unitario]]-Tabla1[[#This Row],[costo_antes_iva]]</f>
        <v>0</v>
      </c>
      <c r="W278" s="3">
        <f>Tabla1[[#This Row],[OS-Valor Unitario]]*Tabla1[[#This Row],[OS-Cantidad]]</f>
        <v>275000</v>
      </c>
      <c r="X278" s="3">
        <f>Tabla1[[#This Row],[costo_antes_iva]]*Tabla1[[#This Row],[OS-Cantidad]]</f>
        <v>275000</v>
      </c>
      <c r="Y278" s="3">
        <f>Tabla1[[#This Row],[Valor total OS]]-Tabla1[[#This Row],[valor total op]]</f>
        <v>0</v>
      </c>
    </row>
    <row r="279" spans="1:25" x14ac:dyDescent="0.3">
      <c r="A279">
        <v>6485</v>
      </c>
      <c r="B279">
        <v>3</v>
      </c>
      <c r="C279" t="s">
        <v>713</v>
      </c>
      <c r="D279">
        <v>50</v>
      </c>
      <c r="E279" s="5">
        <v>46014.772222222222</v>
      </c>
      <c r="F279" t="s">
        <v>714</v>
      </c>
      <c r="G279" t="s">
        <v>128</v>
      </c>
      <c r="H279" t="s">
        <v>182</v>
      </c>
      <c r="I279">
        <v>1</v>
      </c>
      <c r="J279">
        <v>77662717</v>
      </c>
      <c r="K279" s="5">
        <v>46014</v>
      </c>
      <c r="L279" s="3">
        <v>5500</v>
      </c>
      <c r="M279" t="s">
        <v>708</v>
      </c>
      <c r="N279" t="s">
        <v>56</v>
      </c>
      <c r="O279" t="s">
        <v>715</v>
      </c>
      <c r="P279" s="3">
        <v>5500</v>
      </c>
      <c r="Q279">
        <v>50</v>
      </c>
      <c r="R279" t="s">
        <v>716</v>
      </c>
      <c r="S279" t="s">
        <v>705</v>
      </c>
      <c r="T279" t="s">
        <v>707</v>
      </c>
      <c r="U279" t="s">
        <v>188</v>
      </c>
      <c r="V279" s="3">
        <f>Tabla1[[#This Row],[OS-Valor Unitario]]-Tabla1[[#This Row],[costo_antes_iva]]</f>
        <v>0</v>
      </c>
      <c r="W279" s="3">
        <f>Tabla1[[#This Row],[OS-Valor Unitario]]*Tabla1[[#This Row],[OS-Cantidad]]</f>
        <v>275000</v>
      </c>
      <c r="X279" s="3">
        <f>Tabla1[[#This Row],[costo_antes_iva]]*Tabla1[[#This Row],[OS-Cantidad]]</f>
        <v>275000</v>
      </c>
      <c r="Y279" s="3">
        <f>Tabla1[[#This Row],[Valor total OS]]-Tabla1[[#This Row],[valor total op]]</f>
        <v>0</v>
      </c>
    </row>
    <row r="280" spans="1:25" x14ac:dyDescent="0.3">
      <c r="A280">
        <v>6485</v>
      </c>
      <c r="B280">
        <v>3</v>
      </c>
      <c r="C280" t="s">
        <v>713</v>
      </c>
      <c r="D280">
        <v>50</v>
      </c>
      <c r="E280" s="5">
        <v>46014.772222222222</v>
      </c>
      <c r="F280" t="s">
        <v>714</v>
      </c>
      <c r="G280" t="s">
        <v>128</v>
      </c>
      <c r="H280" t="s">
        <v>182</v>
      </c>
      <c r="I280">
        <v>1</v>
      </c>
      <c r="J280">
        <v>77662717</v>
      </c>
      <c r="K280" s="5">
        <v>46014</v>
      </c>
      <c r="L280" s="3">
        <v>1800</v>
      </c>
      <c r="M280" t="s">
        <v>708</v>
      </c>
      <c r="N280" t="s">
        <v>26</v>
      </c>
      <c r="O280" t="s">
        <v>715</v>
      </c>
      <c r="P280" s="3">
        <v>1100</v>
      </c>
      <c r="Q280">
        <v>50</v>
      </c>
      <c r="R280" t="s">
        <v>717</v>
      </c>
      <c r="S280" t="s">
        <v>705</v>
      </c>
      <c r="T280" t="s">
        <v>706</v>
      </c>
      <c r="U280" t="s">
        <v>188</v>
      </c>
      <c r="V280" s="3">
        <f>Tabla1[[#This Row],[OS-Valor Unitario]]-Tabla1[[#This Row],[costo_antes_iva]]</f>
        <v>-700</v>
      </c>
      <c r="W280" s="3">
        <f>Tabla1[[#This Row],[OS-Valor Unitario]]*Tabla1[[#This Row],[OS-Cantidad]]</f>
        <v>55000</v>
      </c>
      <c r="X280" s="3">
        <f>Tabla1[[#This Row],[costo_antes_iva]]*Tabla1[[#This Row],[OS-Cantidad]]</f>
        <v>90000</v>
      </c>
      <c r="Y280" s="3">
        <f>Tabla1[[#This Row],[Valor total OS]]-Tabla1[[#This Row],[valor total op]]</f>
        <v>-35000</v>
      </c>
    </row>
    <row r="281" spans="1:25" x14ac:dyDescent="0.3">
      <c r="A281">
        <v>6485</v>
      </c>
      <c r="B281">
        <v>3</v>
      </c>
      <c r="C281" t="s">
        <v>713</v>
      </c>
      <c r="D281">
        <v>50</v>
      </c>
      <c r="E281" s="5">
        <v>46014.772222222222</v>
      </c>
      <c r="F281" t="s">
        <v>714</v>
      </c>
      <c r="G281" t="s">
        <v>128</v>
      </c>
      <c r="H281" t="s">
        <v>182</v>
      </c>
      <c r="I281">
        <v>1</v>
      </c>
      <c r="J281">
        <v>77662717</v>
      </c>
      <c r="K281" s="5">
        <v>46014</v>
      </c>
      <c r="L281" s="3">
        <v>1800</v>
      </c>
      <c r="M281" t="s">
        <v>708</v>
      </c>
      <c r="N281" t="s">
        <v>26</v>
      </c>
      <c r="O281" t="s">
        <v>715</v>
      </c>
      <c r="P281" s="3">
        <v>1100</v>
      </c>
      <c r="Q281">
        <v>50</v>
      </c>
      <c r="R281" t="s">
        <v>717</v>
      </c>
      <c r="S281" t="s">
        <v>705</v>
      </c>
      <c r="T281" t="s">
        <v>707</v>
      </c>
      <c r="U281" t="s">
        <v>188</v>
      </c>
      <c r="V281" s="3">
        <f>Tabla1[[#This Row],[OS-Valor Unitario]]-Tabla1[[#This Row],[costo_antes_iva]]</f>
        <v>-700</v>
      </c>
      <c r="W281" s="3">
        <f>Tabla1[[#This Row],[OS-Valor Unitario]]*Tabla1[[#This Row],[OS-Cantidad]]</f>
        <v>55000</v>
      </c>
      <c r="X281" s="3">
        <f>Tabla1[[#This Row],[costo_antes_iva]]*Tabla1[[#This Row],[OS-Cantidad]]</f>
        <v>90000</v>
      </c>
      <c r="Y281" s="3">
        <f>Tabla1[[#This Row],[Valor total OS]]-Tabla1[[#This Row],[valor total op]]</f>
        <v>-35000</v>
      </c>
    </row>
    <row r="282" spans="1:25" x14ac:dyDescent="0.3">
      <c r="A282">
        <v>6485</v>
      </c>
      <c r="B282">
        <v>4</v>
      </c>
      <c r="C282" t="s">
        <v>718</v>
      </c>
      <c r="D282">
        <v>35</v>
      </c>
      <c r="E282" s="5">
        <v>46014.772222222222</v>
      </c>
      <c r="F282" t="s">
        <v>719</v>
      </c>
      <c r="G282" t="s">
        <v>264</v>
      </c>
      <c r="H282" t="s">
        <v>182</v>
      </c>
      <c r="I282">
        <v>1</v>
      </c>
      <c r="J282">
        <v>77662467</v>
      </c>
      <c r="K282" s="5">
        <v>46014</v>
      </c>
      <c r="L282" s="3">
        <v>12000</v>
      </c>
      <c r="M282" t="s">
        <v>702</v>
      </c>
      <c r="N282" t="s">
        <v>56</v>
      </c>
      <c r="O282" t="s">
        <v>720</v>
      </c>
      <c r="P282" s="3">
        <v>2400</v>
      </c>
      <c r="Q282">
        <v>35</v>
      </c>
      <c r="R282" t="s">
        <v>721</v>
      </c>
      <c r="S282" t="s">
        <v>705</v>
      </c>
      <c r="T282" t="s">
        <v>706</v>
      </c>
      <c r="U282" t="s">
        <v>188</v>
      </c>
      <c r="V282" s="3">
        <f>Tabla1[[#This Row],[OS-Valor Unitario]]-Tabla1[[#This Row],[costo_antes_iva]]</f>
        <v>-9600</v>
      </c>
      <c r="W282" s="3">
        <f>Tabla1[[#This Row],[OS-Valor Unitario]]*Tabla1[[#This Row],[OS-Cantidad]]</f>
        <v>84000</v>
      </c>
      <c r="X282" s="3">
        <f>Tabla1[[#This Row],[costo_antes_iva]]*Tabla1[[#This Row],[OS-Cantidad]]</f>
        <v>420000</v>
      </c>
      <c r="Y282" s="3">
        <f>Tabla1[[#This Row],[Valor total OS]]-Tabla1[[#This Row],[valor total op]]</f>
        <v>-336000</v>
      </c>
    </row>
    <row r="283" spans="1:25" x14ac:dyDescent="0.3">
      <c r="A283">
        <v>6485</v>
      </c>
      <c r="B283">
        <v>4</v>
      </c>
      <c r="C283" t="s">
        <v>718</v>
      </c>
      <c r="D283">
        <v>35</v>
      </c>
      <c r="E283" s="5">
        <v>46014.772222222222</v>
      </c>
      <c r="F283" t="s">
        <v>719</v>
      </c>
      <c r="G283" t="s">
        <v>264</v>
      </c>
      <c r="H283" t="s">
        <v>182</v>
      </c>
      <c r="I283">
        <v>1</v>
      </c>
      <c r="J283">
        <v>77662467</v>
      </c>
      <c r="K283" s="5">
        <v>46014</v>
      </c>
      <c r="L283" s="3">
        <v>12000</v>
      </c>
      <c r="M283" t="s">
        <v>702</v>
      </c>
      <c r="N283" t="s">
        <v>56</v>
      </c>
      <c r="O283" t="s">
        <v>720</v>
      </c>
      <c r="P283" s="3">
        <v>2400</v>
      </c>
      <c r="Q283">
        <v>35</v>
      </c>
      <c r="R283" t="s">
        <v>721</v>
      </c>
      <c r="S283" t="s">
        <v>705</v>
      </c>
      <c r="T283" t="s">
        <v>707</v>
      </c>
      <c r="U283" t="s">
        <v>188</v>
      </c>
      <c r="V283" s="3">
        <f>Tabla1[[#This Row],[OS-Valor Unitario]]-Tabla1[[#This Row],[costo_antes_iva]]</f>
        <v>-9600</v>
      </c>
      <c r="W283" s="3">
        <f>Tabla1[[#This Row],[OS-Valor Unitario]]*Tabla1[[#This Row],[OS-Cantidad]]</f>
        <v>84000</v>
      </c>
      <c r="X283" s="3">
        <f>Tabla1[[#This Row],[costo_antes_iva]]*Tabla1[[#This Row],[OS-Cantidad]]</f>
        <v>420000</v>
      </c>
      <c r="Y283" s="3">
        <f>Tabla1[[#This Row],[Valor total OS]]-Tabla1[[#This Row],[valor total op]]</f>
        <v>-336000</v>
      </c>
    </row>
    <row r="284" spans="1:25" x14ac:dyDescent="0.3">
      <c r="A284">
        <v>6485</v>
      </c>
      <c r="B284">
        <v>4</v>
      </c>
      <c r="C284" t="s">
        <v>718</v>
      </c>
      <c r="D284">
        <v>35</v>
      </c>
      <c r="E284" s="5">
        <v>46014.772222222222</v>
      </c>
      <c r="F284" t="s">
        <v>719</v>
      </c>
      <c r="G284" t="s">
        <v>264</v>
      </c>
      <c r="H284" t="s">
        <v>182</v>
      </c>
      <c r="I284">
        <v>1</v>
      </c>
      <c r="J284">
        <v>77662810</v>
      </c>
      <c r="K284" s="5">
        <v>46014</v>
      </c>
      <c r="L284" s="3">
        <v>12000</v>
      </c>
      <c r="M284" t="s">
        <v>708</v>
      </c>
      <c r="N284" t="s">
        <v>56</v>
      </c>
      <c r="O284" t="s">
        <v>720</v>
      </c>
      <c r="P284" s="3">
        <v>2400</v>
      </c>
      <c r="Q284">
        <v>35</v>
      </c>
      <c r="R284" t="s">
        <v>721</v>
      </c>
      <c r="S284" t="s">
        <v>705</v>
      </c>
      <c r="T284" t="s">
        <v>706</v>
      </c>
      <c r="U284" t="s">
        <v>188</v>
      </c>
      <c r="V284" s="3">
        <f>Tabla1[[#This Row],[OS-Valor Unitario]]-Tabla1[[#This Row],[costo_antes_iva]]</f>
        <v>-9600</v>
      </c>
      <c r="W284" s="3">
        <f>Tabla1[[#This Row],[OS-Valor Unitario]]*Tabla1[[#This Row],[OS-Cantidad]]</f>
        <v>84000</v>
      </c>
      <c r="X284" s="3">
        <f>Tabla1[[#This Row],[costo_antes_iva]]*Tabla1[[#This Row],[OS-Cantidad]]</f>
        <v>420000</v>
      </c>
      <c r="Y284" s="3">
        <f>Tabla1[[#This Row],[Valor total OS]]-Tabla1[[#This Row],[valor total op]]</f>
        <v>-336000</v>
      </c>
    </row>
    <row r="285" spans="1:25" x14ac:dyDescent="0.3">
      <c r="A285">
        <v>6485</v>
      </c>
      <c r="B285">
        <v>4</v>
      </c>
      <c r="C285" t="s">
        <v>718</v>
      </c>
      <c r="D285">
        <v>35</v>
      </c>
      <c r="E285" s="5">
        <v>46014.772222222222</v>
      </c>
      <c r="F285" t="s">
        <v>719</v>
      </c>
      <c r="G285" t="s">
        <v>264</v>
      </c>
      <c r="H285" t="s">
        <v>182</v>
      </c>
      <c r="I285">
        <v>1</v>
      </c>
      <c r="J285">
        <v>77662810</v>
      </c>
      <c r="K285" s="5">
        <v>46014</v>
      </c>
      <c r="L285" s="3">
        <v>12000</v>
      </c>
      <c r="M285" t="s">
        <v>708</v>
      </c>
      <c r="N285" t="s">
        <v>56</v>
      </c>
      <c r="O285" t="s">
        <v>720</v>
      </c>
      <c r="P285" s="3">
        <v>2400</v>
      </c>
      <c r="Q285">
        <v>35</v>
      </c>
      <c r="R285" t="s">
        <v>721</v>
      </c>
      <c r="S285" t="s">
        <v>705</v>
      </c>
      <c r="T285" t="s">
        <v>707</v>
      </c>
      <c r="U285" t="s">
        <v>188</v>
      </c>
      <c r="V285" s="3">
        <f>Tabla1[[#This Row],[OS-Valor Unitario]]-Tabla1[[#This Row],[costo_antes_iva]]</f>
        <v>-9600</v>
      </c>
      <c r="W285" s="3">
        <f>Tabla1[[#This Row],[OS-Valor Unitario]]*Tabla1[[#This Row],[OS-Cantidad]]</f>
        <v>84000</v>
      </c>
      <c r="X285" s="3">
        <f>Tabla1[[#This Row],[costo_antes_iva]]*Tabla1[[#This Row],[OS-Cantidad]]</f>
        <v>420000</v>
      </c>
      <c r="Y285" s="3">
        <f>Tabla1[[#This Row],[Valor total OS]]-Tabla1[[#This Row],[valor total op]]</f>
        <v>-336000</v>
      </c>
    </row>
    <row r="286" spans="1:25" x14ac:dyDescent="0.3">
      <c r="A286">
        <v>6485</v>
      </c>
      <c r="B286">
        <v>5</v>
      </c>
      <c r="C286" t="s">
        <v>722</v>
      </c>
      <c r="D286">
        <v>195</v>
      </c>
      <c r="E286" s="5">
        <v>46014.772222222222</v>
      </c>
      <c r="F286" t="s">
        <v>723</v>
      </c>
      <c r="G286" t="s">
        <v>487</v>
      </c>
      <c r="H286" t="s">
        <v>182</v>
      </c>
      <c r="I286">
        <v>1</v>
      </c>
      <c r="J286">
        <v>77662475</v>
      </c>
      <c r="K286" s="5">
        <v>46014</v>
      </c>
      <c r="L286" s="3">
        <v>12000</v>
      </c>
      <c r="M286" t="s">
        <v>702</v>
      </c>
      <c r="N286" t="s">
        <v>56</v>
      </c>
      <c r="O286" t="s">
        <v>724</v>
      </c>
      <c r="P286" s="3">
        <v>2400</v>
      </c>
      <c r="Q286">
        <v>195</v>
      </c>
      <c r="R286" t="s">
        <v>725</v>
      </c>
      <c r="S286" t="s">
        <v>705</v>
      </c>
      <c r="T286" t="s">
        <v>706</v>
      </c>
      <c r="U286" t="s">
        <v>188</v>
      </c>
      <c r="V286" s="3">
        <f>Tabla1[[#This Row],[OS-Valor Unitario]]-Tabla1[[#This Row],[costo_antes_iva]]</f>
        <v>-9600</v>
      </c>
      <c r="W286" s="3">
        <f>Tabla1[[#This Row],[OS-Valor Unitario]]*Tabla1[[#This Row],[OS-Cantidad]]</f>
        <v>468000</v>
      </c>
      <c r="X286" s="3">
        <f>Tabla1[[#This Row],[costo_antes_iva]]*Tabla1[[#This Row],[OS-Cantidad]]</f>
        <v>2340000</v>
      </c>
      <c r="Y286" s="3">
        <f>Tabla1[[#This Row],[Valor total OS]]-Tabla1[[#This Row],[valor total op]]</f>
        <v>-1872000</v>
      </c>
    </row>
    <row r="287" spans="1:25" x14ac:dyDescent="0.3">
      <c r="A287">
        <v>6485</v>
      </c>
      <c r="B287">
        <v>5</v>
      </c>
      <c r="C287" t="s">
        <v>722</v>
      </c>
      <c r="D287">
        <v>195</v>
      </c>
      <c r="E287" s="5">
        <v>46014.772222222222</v>
      </c>
      <c r="F287" t="s">
        <v>723</v>
      </c>
      <c r="G287" t="s">
        <v>487</v>
      </c>
      <c r="H287" t="s">
        <v>182</v>
      </c>
      <c r="I287">
        <v>1</v>
      </c>
      <c r="J287">
        <v>77662475</v>
      </c>
      <c r="K287" s="5">
        <v>46014</v>
      </c>
      <c r="L287" s="3">
        <v>12000</v>
      </c>
      <c r="M287" t="s">
        <v>702</v>
      </c>
      <c r="N287" t="s">
        <v>56</v>
      </c>
      <c r="O287" t="s">
        <v>724</v>
      </c>
      <c r="P287" s="3">
        <v>2400</v>
      </c>
      <c r="Q287">
        <v>195</v>
      </c>
      <c r="R287" t="s">
        <v>725</v>
      </c>
      <c r="S287" t="s">
        <v>705</v>
      </c>
      <c r="T287" t="s">
        <v>707</v>
      </c>
      <c r="U287" t="s">
        <v>188</v>
      </c>
      <c r="V287" s="3">
        <f>Tabla1[[#This Row],[OS-Valor Unitario]]-Tabla1[[#This Row],[costo_antes_iva]]</f>
        <v>-9600</v>
      </c>
      <c r="W287" s="3">
        <f>Tabla1[[#This Row],[OS-Valor Unitario]]*Tabla1[[#This Row],[OS-Cantidad]]</f>
        <v>468000</v>
      </c>
      <c r="X287" s="3">
        <f>Tabla1[[#This Row],[costo_antes_iva]]*Tabla1[[#This Row],[OS-Cantidad]]</f>
        <v>2340000</v>
      </c>
      <c r="Y287" s="3">
        <f>Tabla1[[#This Row],[Valor total OS]]-Tabla1[[#This Row],[valor total op]]</f>
        <v>-1872000</v>
      </c>
    </row>
    <row r="288" spans="1:25" x14ac:dyDescent="0.3">
      <c r="A288">
        <v>6485</v>
      </c>
      <c r="B288">
        <v>5</v>
      </c>
      <c r="C288" t="s">
        <v>722</v>
      </c>
      <c r="D288">
        <v>195</v>
      </c>
      <c r="E288" s="5">
        <v>46014.772222222222</v>
      </c>
      <c r="F288" t="s">
        <v>723</v>
      </c>
      <c r="G288" t="s">
        <v>487</v>
      </c>
      <c r="H288" t="s">
        <v>182</v>
      </c>
      <c r="I288">
        <v>1</v>
      </c>
      <c r="J288">
        <v>77662838</v>
      </c>
      <c r="K288" s="5">
        <v>46014</v>
      </c>
      <c r="L288" s="3">
        <v>12000</v>
      </c>
      <c r="M288" t="s">
        <v>708</v>
      </c>
      <c r="N288" t="s">
        <v>56</v>
      </c>
      <c r="O288" t="s">
        <v>724</v>
      </c>
      <c r="P288" s="3">
        <v>2400</v>
      </c>
      <c r="Q288">
        <v>195</v>
      </c>
      <c r="R288" t="s">
        <v>725</v>
      </c>
      <c r="S288" t="s">
        <v>705</v>
      </c>
      <c r="T288" t="s">
        <v>706</v>
      </c>
      <c r="U288" t="s">
        <v>188</v>
      </c>
      <c r="V288" s="3">
        <f>Tabla1[[#This Row],[OS-Valor Unitario]]-Tabla1[[#This Row],[costo_antes_iva]]</f>
        <v>-9600</v>
      </c>
      <c r="W288" s="3">
        <f>Tabla1[[#This Row],[OS-Valor Unitario]]*Tabla1[[#This Row],[OS-Cantidad]]</f>
        <v>468000</v>
      </c>
      <c r="X288" s="3">
        <f>Tabla1[[#This Row],[costo_antes_iva]]*Tabla1[[#This Row],[OS-Cantidad]]</f>
        <v>2340000</v>
      </c>
      <c r="Y288" s="3">
        <f>Tabla1[[#This Row],[Valor total OS]]-Tabla1[[#This Row],[valor total op]]</f>
        <v>-1872000</v>
      </c>
    </row>
    <row r="289" spans="1:25" x14ac:dyDescent="0.3">
      <c r="A289">
        <v>6485</v>
      </c>
      <c r="B289">
        <v>5</v>
      </c>
      <c r="C289" t="s">
        <v>722</v>
      </c>
      <c r="D289">
        <v>195</v>
      </c>
      <c r="E289" s="5">
        <v>46014.772222222222</v>
      </c>
      <c r="F289" t="s">
        <v>723</v>
      </c>
      <c r="G289" t="s">
        <v>487</v>
      </c>
      <c r="H289" t="s">
        <v>182</v>
      </c>
      <c r="I289">
        <v>1</v>
      </c>
      <c r="J289">
        <v>77662838</v>
      </c>
      <c r="K289" s="5">
        <v>46014</v>
      </c>
      <c r="L289" s="3">
        <v>12000</v>
      </c>
      <c r="M289" t="s">
        <v>708</v>
      </c>
      <c r="N289" t="s">
        <v>56</v>
      </c>
      <c r="O289" t="s">
        <v>724</v>
      </c>
      <c r="P289" s="3">
        <v>2400</v>
      </c>
      <c r="Q289">
        <v>195</v>
      </c>
      <c r="R289" t="s">
        <v>725</v>
      </c>
      <c r="S289" t="s">
        <v>705</v>
      </c>
      <c r="T289" t="s">
        <v>707</v>
      </c>
      <c r="U289" t="s">
        <v>188</v>
      </c>
      <c r="V289" s="3">
        <f>Tabla1[[#This Row],[OS-Valor Unitario]]-Tabla1[[#This Row],[costo_antes_iva]]</f>
        <v>-9600</v>
      </c>
      <c r="W289" s="3">
        <f>Tabla1[[#This Row],[OS-Valor Unitario]]*Tabla1[[#This Row],[OS-Cantidad]]</f>
        <v>468000</v>
      </c>
      <c r="X289" s="3">
        <f>Tabla1[[#This Row],[costo_antes_iva]]*Tabla1[[#This Row],[OS-Cantidad]]</f>
        <v>2340000</v>
      </c>
      <c r="Y289" s="3">
        <f>Tabla1[[#This Row],[Valor total OS]]-Tabla1[[#This Row],[valor total op]]</f>
        <v>-1872000</v>
      </c>
    </row>
    <row r="290" spans="1:25" x14ac:dyDescent="0.3">
      <c r="A290">
        <v>6485</v>
      </c>
      <c r="B290">
        <v>6</v>
      </c>
      <c r="C290" t="s">
        <v>726</v>
      </c>
      <c r="D290">
        <v>50</v>
      </c>
      <c r="E290" s="5">
        <v>46014.772222222222</v>
      </c>
      <c r="F290" t="s">
        <v>727</v>
      </c>
      <c r="G290" t="s">
        <v>487</v>
      </c>
      <c r="H290" t="s">
        <v>182</v>
      </c>
      <c r="I290">
        <v>1</v>
      </c>
      <c r="J290">
        <v>77662497</v>
      </c>
      <c r="K290" s="5">
        <v>46014</v>
      </c>
      <c r="L290" s="3">
        <v>5500</v>
      </c>
      <c r="M290" t="s">
        <v>702</v>
      </c>
      <c r="N290" t="s">
        <v>56</v>
      </c>
      <c r="O290" t="s">
        <v>728</v>
      </c>
      <c r="P290" s="3">
        <v>5500</v>
      </c>
      <c r="Q290">
        <v>50</v>
      </c>
      <c r="R290" t="s">
        <v>729</v>
      </c>
      <c r="S290" t="s">
        <v>705</v>
      </c>
      <c r="T290" t="s">
        <v>706</v>
      </c>
      <c r="U290" t="s">
        <v>188</v>
      </c>
      <c r="V290" s="3">
        <f>Tabla1[[#This Row],[OS-Valor Unitario]]-Tabla1[[#This Row],[costo_antes_iva]]</f>
        <v>0</v>
      </c>
      <c r="W290" s="3">
        <f>Tabla1[[#This Row],[OS-Valor Unitario]]*Tabla1[[#This Row],[OS-Cantidad]]</f>
        <v>275000</v>
      </c>
      <c r="X290" s="3">
        <f>Tabla1[[#This Row],[costo_antes_iva]]*Tabla1[[#This Row],[OS-Cantidad]]</f>
        <v>275000</v>
      </c>
      <c r="Y290" s="3">
        <f>Tabla1[[#This Row],[Valor total OS]]-Tabla1[[#This Row],[valor total op]]</f>
        <v>0</v>
      </c>
    </row>
    <row r="291" spans="1:25" x14ac:dyDescent="0.3">
      <c r="A291">
        <v>6485</v>
      </c>
      <c r="B291">
        <v>6</v>
      </c>
      <c r="C291" t="s">
        <v>726</v>
      </c>
      <c r="D291">
        <v>50</v>
      </c>
      <c r="E291" s="5">
        <v>46014.772222222222</v>
      </c>
      <c r="F291" t="s">
        <v>727</v>
      </c>
      <c r="G291" t="s">
        <v>487</v>
      </c>
      <c r="H291" t="s">
        <v>182</v>
      </c>
      <c r="I291">
        <v>1</v>
      </c>
      <c r="J291">
        <v>77662497</v>
      </c>
      <c r="K291" s="5">
        <v>46014</v>
      </c>
      <c r="L291" s="3">
        <v>5500</v>
      </c>
      <c r="M291" t="s">
        <v>702</v>
      </c>
      <c r="N291" t="s">
        <v>56</v>
      </c>
      <c r="O291" t="s">
        <v>728</v>
      </c>
      <c r="P291" s="3">
        <v>5500</v>
      </c>
      <c r="Q291">
        <v>50</v>
      </c>
      <c r="R291" t="s">
        <v>729</v>
      </c>
      <c r="S291" t="s">
        <v>705</v>
      </c>
      <c r="T291" t="s">
        <v>707</v>
      </c>
      <c r="U291" t="s">
        <v>188</v>
      </c>
      <c r="V291" s="3">
        <f>Tabla1[[#This Row],[OS-Valor Unitario]]-Tabla1[[#This Row],[costo_antes_iva]]</f>
        <v>0</v>
      </c>
      <c r="W291" s="3">
        <f>Tabla1[[#This Row],[OS-Valor Unitario]]*Tabla1[[#This Row],[OS-Cantidad]]</f>
        <v>275000</v>
      </c>
      <c r="X291" s="3">
        <f>Tabla1[[#This Row],[costo_antes_iva]]*Tabla1[[#This Row],[OS-Cantidad]]</f>
        <v>275000</v>
      </c>
      <c r="Y291" s="3">
        <f>Tabla1[[#This Row],[Valor total OS]]-Tabla1[[#This Row],[valor total op]]</f>
        <v>0</v>
      </c>
    </row>
    <row r="292" spans="1:25" x14ac:dyDescent="0.3">
      <c r="A292">
        <v>6485</v>
      </c>
      <c r="B292">
        <v>6</v>
      </c>
      <c r="C292" t="s">
        <v>726</v>
      </c>
      <c r="D292">
        <v>50</v>
      </c>
      <c r="E292" s="5">
        <v>46014.772222222222</v>
      </c>
      <c r="F292" t="s">
        <v>727</v>
      </c>
      <c r="G292" t="s">
        <v>487</v>
      </c>
      <c r="H292" t="s">
        <v>182</v>
      </c>
      <c r="I292">
        <v>1</v>
      </c>
      <c r="J292">
        <v>77662497</v>
      </c>
      <c r="K292" s="5">
        <v>46014</v>
      </c>
      <c r="L292" s="3">
        <v>1800</v>
      </c>
      <c r="M292" t="s">
        <v>702</v>
      </c>
      <c r="N292" t="s">
        <v>26</v>
      </c>
      <c r="O292" t="s">
        <v>728</v>
      </c>
      <c r="P292" s="3">
        <v>1100</v>
      </c>
      <c r="Q292">
        <v>50</v>
      </c>
      <c r="R292" t="s">
        <v>730</v>
      </c>
      <c r="S292" t="s">
        <v>705</v>
      </c>
      <c r="T292" t="s">
        <v>706</v>
      </c>
      <c r="U292" t="s">
        <v>188</v>
      </c>
      <c r="V292" s="3">
        <f>Tabla1[[#This Row],[OS-Valor Unitario]]-Tabla1[[#This Row],[costo_antes_iva]]</f>
        <v>-700</v>
      </c>
      <c r="W292" s="3">
        <f>Tabla1[[#This Row],[OS-Valor Unitario]]*Tabla1[[#This Row],[OS-Cantidad]]</f>
        <v>55000</v>
      </c>
      <c r="X292" s="3">
        <f>Tabla1[[#This Row],[costo_antes_iva]]*Tabla1[[#This Row],[OS-Cantidad]]</f>
        <v>90000</v>
      </c>
      <c r="Y292" s="3">
        <f>Tabla1[[#This Row],[Valor total OS]]-Tabla1[[#This Row],[valor total op]]</f>
        <v>-35000</v>
      </c>
    </row>
    <row r="293" spans="1:25" x14ac:dyDescent="0.3">
      <c r="A293">
        <v>6485</v>
      </c>
      <c r="B293">
        <v>6</v>
      </c>
      <c r="C293" t="s">
        <v>726</v>
      </c>
      <c r="D293">
        <v>50</v>
      </c>
      <c r="E293" s="5">
        <v>46014.772222222222</v>
      </c>
      <c r="F293" t="s">
        <v>727</v>
      </c>
      <c r="G293" t="s">
        <v>487</v>
      </c>
      <c r="H293" t="s">
        <v>182</v>
      </c>
      <c r="I293">
        <v>1</v>
      </c>
      <c r="J293">
        <v>77662497</v>
      </c>
      <c r="K293" s="5">
        <v>46014</v>
      </c>
      <c r="L293" s="3">
        <v>1800</v>
      </c>
      <c r="M293" t="s">
        <v>702</v>
      </c>
      <c r="N293" t="s">
        <v>26</v>
      </c>
      <c r="O293" t="s">
        <v>728</v>
      </c>
      <c r="P293" s="3">
        <v>1100</v>
      </c>
      <c r="Q293">
        <v>50</v>
      </c>
      <c r="R293" t="s">
        <v>730</v>
      </c>
      <c r="S293" t="s">
        <v>705</v>
      </c>
      <c r="T293" t="s">
        <v>707</v>
      </c>
      <c r="U293" t="s">
        <v>188</v>
      </c>
      <c r="V293" s="3">
        <f>Tabla1[[#This Row],[OS-Valor Unitario]]-Tabla1[[#This Row],[costo_antes_iva]]</f>
        <v>-700</v>
      </c>
      <c r="W293" s="3">
        <f>Tabla1[[#This Row],[OS-Valor Unitario]]*Tabla1[[#This Row],[OS-Cantidad]]</f>
        <v>55000</v>
      </c>
      <c r="X293" s="3">
        <f>Tabla1[[#This Row],[costo_antes_iva]]*Tabla1[[#This Row],[OS-Cantidad]]</f>
        <v>90000</v>
      </c>
      <c r="Y293" s="3">
        <f>Tabla1[[#This Row],[Valor total OS]]-Tabla1[[#This Row],[valor total op]]</f>
        <v>-35000</v>
      </c>
    </row>
    <row r="294" spans="1:25" x14ac:dyDescent="0.3">
      <c r="A294">
        <v>6485</v>
      </c>
      <c r="B294">
        <v>6</v>
      </c>
      <c r="C294" t="s">
        <v>726</v>
      </c>
      <c r="D294">
        <v>50</v>
      </c>
      <c r="E294" s="5">
        <v>46014.772222222222</v>
      </c>
      <c r="F294" t="s">
        <v>727</v>
      </c>
      <c r="G294" t="s">
        <v>487</v>
      </c>
      <c r="H294" t="s">
        <v>182</v>
      </c>
      <c r="I294">
        <v>1</v>
      </c>
      <c r="J294">
        <v>77662894</v>
      </c>
      <c r="K294" s="5">
        <v>46014</v>
      </c>
      <c r="L294" s="3">
        <v>5500</v>
      </c>
      <c r="M294" t="s">
        <v>708</v>
      </c>
      <c r="N294" t="s">
        <v>56</v>
      </c>
      <c r="O294" t="s">
        <v>728</v>
      </c>
      <c r="P294" s="3">
        <v>5500</v>
      </c>
      <c r="Q294">
        <v>50</v>
      </c>
      <c r="R294" t="s">
        <v>729</v>
      </c>
      <c r="S294" t="s">
        <v>705</v>
      </c>
      <c r="T294" t="s">
        <v>706</v>
      </c>
      <c r="U294" t="s">
        <v>188</v>
      </c>
      <c r="V294" s="3">
        <f>Tabla1[[#This Row],[OS-Valor Unitario]]-Tabla1[[#This Row],[costo_antes_iva]]</f>
        <v>0</v>
      </c>
      <c r="W294" s="3">
        <f>Tabla1[[#This Row],[OS-Valor Unitario]]*Tabla1[[#This Row],[OS-Cantidad]]</f>
        <v>275000</v>
      </c>
      <c r="X294" s="3">
        <f>Tabla1[[#This Row],[costo_antes_iva]]*Tabla1[[#This Row],[OS-Cantidad]]</f>
        <v>275000</v>
      </c>
      <c r="Y294" s="3">
        <f>Tabla1[[#This Row],[Valor total OS]]-Tabla1[[#This Row],[valor total op]]</f>
        <v>0</v>
      </c>
    </row>
    <row r="295" spans="1:25" x14ac:dyDescent="0.3">
      <c r="A295">
        <v>6485</v>
      </c>
      <c r="B295">
        <v>6</v>
      </c>
      <c r="C295" t="s">
        <v>726</v>
      </c>
      <c r="D295">
        <v>50</v>
      </c>
      <c r="E295" s="5">
        <v>46014.772222222222</v>
      </c>
      <c r="F295" t="s">
        <v>727</v>
      </c>
      <c r="G295" t="s">
        <v>487</v>
      </c>
      <c r="H295" t="s">
        <v>182</v>
      </c>
      <c r="I295">
        <v>1</v>
      </c>
      <c r="J295">
        <v>77662894</v>
      </c>
      <c r="K295" s="5">
        <v>46014</v>
      </c>
      <c r="L295" s="3">
        <v>5500</v>
      </c>
      <c r="M295" t="s">
        <v>708</v>
      </c>
      <c r="N295" t="s">
        <v>56</v>
      </c>
      <c r="O295" t="s">
        <v>728</v>
      </c>
      <c r="P295" s="3">
        <v>5500</v>
      </c>
      <c r="Q295">
        <v>50</v>
      </c>
      <c r="R295" t="s">
        <v>729</v>
      </c>
      <c r="S295" t="s">
        <v>705</v>
      </c>
      <c r="T295" t="s">
        <v>707</v>
      </c>
      <c r="U295" t="s">
        <v>188</v>
      </c>
      <c r="V295" s="3">
        <f>Tabla1[[#This Row],[OS-Valor Unitario]]-Tabla1[[#This Row],[costo_antes_iva]]</f>
        <v>0</v>
      </c>
      <c r="W295" s="3">
        <f>Tabla1[[#This Row],[OS-Valor Unitario]]*Tabla1[[#This Row],[OS-Cantidad]]</f>
        <v>275000</v>
      </c>
      <c r="X295" s="3">
        <f>Tabla1[[#This Row],[costo_antes_iva]]*Tabla1[[#This Row],[OS-Cantidad]]</f>
        <v>275000</v>
      </c>
      <c r="Y295" s="3">
        <f>Tabla1[[#This Row],[Valor total OS]]-Tabla1[[#This Row],[valor total op]]</f>
        <v>0</v>
      </c>
    </row>
    <row r="296" spans="1:25" x14ac:dyDescent="0.3">
      <c r="A296">
        <v>6485</v>
      </c>
      <c r="B296">
        <v>6</v>
      </c>
      <c r="C296" t="s">
        <v>726</v>
      </c>
      <c r="D296">
        <v>50</v>
      </c>
      <c r="E296" s="5">
        <v>46014.772222222222</v>
      </c>
      <c r="F296" t="s">
        <v>727</v>
      </c>
      <c r="G296" t="s">
        <v>487</v>
      </c>
      <c r="H296" t="s">
        <v>182</v>
      </c>
      <c r="I296">
        <v>1</v>
      </c>
      <c r="J296">
        <v>77662894</v>
      </c>
      <c r="K296" s="5">
        <v>46014</v>
      </c>
      <c r="L296" s="3">
        <v>1800</v>
      </c>
      <c r="M296" t="s">
        <v>708</v>
      </c>
      <c r="N296" t="s">
        <v>26</v>
      </c>
      <c r="O296" t="s">
        <v>728</v>
      </c>
      <c r="P296" s="3">
        <v>1100</v>
      </c>
      <c r="Q296">
        <v>50</v>
      </c>
      <c r="R296" t="s">
        <v>730</v>
      </c>
      <c r="S296" t="s">
        <v>705</v>
      </c>
      <c r="T296" t="s">
        <v>706</v>
      </c>
      <c r="U296" t="s">
        <v>188</v>
      </c>
      <c r="V296" s="3">
        <f>Tabla1[[#This Row],[OS-Valor Unitario]]-Tabla1[[#This Row],[costo_antes_iva]]</f>
        <v>-700</v>
      </c>
      <c r="W296" s="3">
        <f>Tabla1[[#This Row],[OS-Valor Unitario]]*Tabla1[[#This Row],[OS-Cantidad]]</f>
        <v>55000</v>
      </c>
      <c r="X296" s="3">
        <f>Tabla1[[#This Row],[costo_antes_iva]]*Tabla1[[#This Row],[OS-Cantidad]]</f>
        <v>90000</v>
      </c>
      <c r="Y296" s="3">
        <f>Tabla1[[#This Row],[Valor total OS]]-Tabla1[[#This Row],[valor total op]]</f>
        <v>-35000</v>
      </c>
    </row>
    <row r="297" spans="1:25" x14ac:dyDescent="0.3">
      <c r="A297">
        <v>6485</v>
      </c>
      <c r="B297">
        <v>6</v>
      </c>
      <c r="C297" t="s">
        <v>726</v>
      </c>
      <c r="D297">
        <v>50</v>
      </c>
      <c r="E297" s="5">
        <v>46014.772222222222</v>
      </c>
      <c r="F297" t="s">
        <v>727</v>
      </c>
      <c r="G297" t="s">
        <v>487</v>
      </c>
      <c r="H297" t="s">
        <v>182</v>
      </c>
      <c r="I297">
        <v>1</v>
      </c>
      <c r="J297">
        <v>77662894</v>
      </c>
      <c r="K297" s="5">
        <v>46014</v>
      </c>
      <c r="L297" s="3">
        <v>1800</v>
      </c>
      <c r="M297" t="s">
        <v>708</v>
      </c>
      <c r="N297" t="s">
        <v>26</v>
      </c>
      <c r="O297" t="s">
        <v>728</v>
      </c>
      <c r="P297" s="3">
        <v>1100</v>
      </c>
      <c r="Q297">
        <v>50</v>
      </c>
      <c r="R297" t="s">
        <v>730</v>
      </c>
      <c r="S297" t="s">
        <v>705</v>
      </c>
      <c r="T297" t="s">
        <v>707</v>
      </c>
      <c r="U297" t="s">
        <v>188</v>
      </c>
      <c r="V297" s="3">
        <f>Tabla1[[#This Row],[OS-Valor Unitario]]-Tabla1[[#This Row],[costo_antes_iva]]</f>
        <v>-700</v>
      </c>
      <c r="W297" s="3">
        <f>Tabla1[[#This Row],[OS-Valor Unitario]]*Tabla1[[#This Row],[OS-Cantidad]]</f>
        <v>55000</v>
      </c>
      <c r="X297" s="3">
        <f>Tabla1[[#This Row],[costo_antes_iva]]*Tabla1[[#This Row],[OS-Cantidad]]</f>
        <v>90000</v>
      </c>
      <c r="Y297" s="3">
        <f>Tabla1[[#This Row],[Valor total OS]]-Tabla1[[#This Row],[valor total op]]</f>
        <v>-35000</v>
      </c>
    </row>
    <row r="298" spans="1:25" x14ac:dyDescent="0.3">
      <c r="A298">
        <v>6485</v>
      </c>
      <c r="B298">
        <v>7</v>
      </c>
      <c r="C298" t="s">
        <v>731</v>
      </c>
      <c r="D298">
        <v>160</v>
      </c>
      <c r="E298" s="5">
        <v>46014.772222222222</v>
      </c>
      <c r="F298" t="s">
        <v>732</v>
      </c>
      <c r="G298" t="s">
        <v>666</v>
      </c>
      <c r="H298" t="s">
        <v>182</v>
      </c>
      <c r="I298">
        <v>1</v>
      </c>
      <c r="J298">
        <v>77662677</v>
      </c>
      <c r="K298" s="5">
        <v>46014</v>
      </c>
      <c r="L298" s="3">
        <v>3000</v>
      </c>
      <c r="M298" t="s">
        <v>702</v>
      </c>
      <c r="N298" t="s">
        <v>56</v>
      </c>
      <c r="O298" t="s">
        <v>733</v>
      </c>
      <c r="P298" s="3">
        <v>3000</v>
      </c>
      <c r="Q298">
        <v>160</v>
      </c>
      <c r="R298" t="s">
        <v>734</v>
      </c>
      <c r="S298" t="s">
        <v>705</v>
      </c>
      <c r="T298" t="s">
        <v>706</v>
      </c>
      <c r="U298" t="s">
        <v>188</v>
      </c>
      <c r="V298" s="3">
        <f>Tabla1[[#This Row],[OS-Valor Unitario]]-Tabla1[[#This Row],[costo_antes_iva]]</f>
        <v>0</v>
      </c>
      <c r="W298" s="3">
        <f>Tabla1[[#This Row],[OS-Valor Unitario]]*Tabla1[[#This Row],[OS-Cantidad]]</f>
        <v>480000</v>
      </c>
      <c r="X298" s="3">
        <f>Tabla1[[#This Row],[costo_antes_iva]]*Tabla1[[#This Row],[OS-Cantidad]]</f>
        <v>480000</v>
      </c>
      <c r="Y298" s="3">
        <f>Tabla1[[#This Row],[Valor total OS]]-Tabla1[[#This Row],[valor total op]]</f>
        <v>0</v>
      </c>
    </row>
    <row r="299" spans="1:25" x14ac:dyDescent="0.3">
      <c r="A299">
        <v>6485</v>
      </c>
      <c r="B299">
        <v>7</v>
      </c>
      <c r="C299" t="s">
        <v>731</v>
      </c>
      <c r="D299">
        <v>160</v>
      </c>
      <c r="E299" s="5">
        <v>46014.772222222222</v>
      </c>
      <c r="F299" t="s">
        <v>732</v>
      </c>
      <c r="G299" t="s">
        <v>666</v>
      </c>
      <c r="H299" t="s">
        <v>182</v>
      </c>
      <c r="I299">
        <v>1</v>
      </c>
      <c r="J299">
        <v>77662677</v>
      </c>
      <c r="K299" s="5">
        <v>46014</v>
      </c>
      <c r="L299" s="3">
        <v>3000</v>
      </c>
      <c r="M299" t="s">
        <v>702</v>
      </c>
      <c r="N299" t="s">
        <v>56</v>
      </c>
      <c r="O299" t="s">
        <v>733</v>
      </c>
      <c r="P299" s="3">
        <v>3000</v>
      </c>
      <c r="Q299">
        <v>160</v>
      </c>
      <c r="R299" t="s">
        <v>734</v>
      </c>
      <c r="S299" t="s">
        <v>705</v>
      </c>
      <c r="T299" t="s">
        <v>707</v>
      </c>
      <c r="U299" t="s">
        <v>188</v>
      </c>
      <c r="V299" s="3">
        <f>Tabla1[[#This Row],[OS-Valor Unitario]]-Tabla1[[#This Row],[costo_antes_iva]]</f>
        <v>0</v>
      </c>
      <c r="W299" s="3">
        <f>Tabla1[[#This Row],[OS-Valor Unitario]]*Tabla1[[#This Row],[OS-Cantidad]]</f>
        <v>480000</v>
      </c>
      <c r="X299" s="3">
        <f>Tabla1[[#This Row],[costo_antes_iva]]*Tabla1[[#This Row],[OS-Cantidad]]</f>
        <v>480000</v>
      </c>
      <c r="Y299" s="3">
        <f>Tabla1[[#This Row],[Valor total OS]]-Tabla1[[#This Row],[valor total op]]</f>
        <v>0</v>
      </c>
    </row>
    <row r="300" spans="1:25" x14ac:dyDescent="0.3">
      <c r="A300">
        <v>6485</v>
      </c>
      <c r="B300">
        <v>7</v>
      </c>
      <c r="C300" t="s">
        <v>731</v>
      </c>
      <c r="D300">
        <v>160</v>
      </c>
      <c r="E300" s="5">
        <v>46014.772222222222</v>
      </c>
      <c r="F300" t="s">
        <v>732</v>
      </c>
      <c r="G300" t="s">
        <v>666</v>
      </c>
      <c r="H300" t="s">
        <v>182</v>
      </c>
      <c r="I300">
        <v>1</v>
      </c>
      <c r="J300">
        <v>77663063</v>
      </c>
      <c r="K300" s="5">
        <v>46014</v>
      </c>
      <c r="L300" s="3">
        <v>3000</v>
      </c>
      <c r="M300" t="s">
        <v>708</v>
      </c>
      <c r="N300" t="s">
        <v>56</v>
      </c>
      <c r="O300" t="s">
        <v>733</v>
      </c>
      <c r="P300" s="3">
        <v>3000</v>
      </c>
      <c r="Q300">
        <v>160</v>
      </c>
      <c r="R300" t="s">
        <v>734</v>
      </c>
      <c r="S300" t="s">
        <v>705</v>
      </c>
      <c r="T300" t="s">
        <v>706</v>
      </c>
      <c r="U300" t="s">
        <v>188</v>
      </c>
      <c r="V300" s="3">
        <f>Tabla1[[#This Row],[OS-Valor Unitario]]-Tabla1[[#This Row],[costo_antes_iva]]</f>
        <v>0</v>
      </c>
      <c r="W300" s="3">
        <f>Tabla1[[#This Row],[OS-Valor Unitario]]*Tabla1[[#This Row],[OS-Cantidad]]</f>
        <v>480000</v>
      </c>
      <c r="X300" s="3">
        <f>Tabla1[[#This Row],[costo_antes_iva]]*Tabla1[[#This Row],[OS-Cantidad]]</f>
        <v>480000</v>
      </c>
      <c r="Y300" s="3">
        <f>Tabla1[[#This Row],[Valor total OS]]-Tabla1[[#This Row],[valor total op]]</f>
        <v>0</v>
      </c>
    </row>
    <row r="301" spans="1:25" x14ac:dyDescent="0.3">
      <c r="A301">
        <v>6485</v>
      </c>
      <c r="B301">
        <v>7</v>
      </c>
      <c r="C301" t="s">
        <v>731</v>
      </c>
      <c r="D301">
        <v>160</v>
      </c>
      <c r="E301" s="5">
        <v>46014.772222222222</v>
      </c>
      <c r="F301" t="s">
        <v>732</v>
      </c>
      <c r="G301" t="s">
        <v>666</v>
      </c>
      <c r="H301" t="s">
        <v>182</v>
      </c>
      <c r="I301">
        <v>1</v>
      </c>
      <c r="J301">
        <v>77663063</v>
      </c>
      <c r="K301" s="5">
        <v>46014</v>
      </c>
      <c r="L301" s="3">
        <v>3000</v>
      </c>
      <c r="M301" t="s">
        <v>708</v>
      </c>
      <c r="N301" t="s">
        <v>56</v>
      </c>
      <c r="O301" t="s">
        <v>733</v>
      </c>
      <c r="P301" s="3">
        <v>3000</v>
      </c>
      <c r="Q301">
        <v>160</v>
      </c>
      <c r="R301" t="s">
        <v>734</v>
      </c>
      <c r="S301" t="s">
        <v>705</v>
      </c>
      <c r="T301" t="s">
        <v>707</v>
      </c>
      <c r="U301" t="s">
        <v>188</v>
      </c>
      <c r="V301" s="3">
        <f>Tabla1[[#This Row],[OS-Valor Unitario]]-Tabla1[[#This Row],[costo_antes_iva]]</f>
        <v>0</v>
      </c>
      <c r="W301" s="3">
        <f>Tabla1[[#This Row],[OS-Valor Unitario]]*Tabla1[[#This Row],[OS-Cantidad]]</f>
        <v>480000</v>
      </c>
      <c r="X301" s="3">
        <f>Tabla1[[#This Row],[costo_antes_iva]]*Tabla1[[#This Row],[OS-Cantidad]]</f>
        <v>480000</v>
      </c>
      <c r="Y301" s="3">
        <f>Tabla1[[#This Row],[Valor total OS]]-Tabla1[[#This Row],[valor total op]]</f>
        <v>0</v>
      </c>
    </row>
    <row r="302" spans="1:25" x14ac:dyDescent="0.3">
      <c r="A302">
        <v>6485</v>
      </c>
      <c r="B302">
        <v>8</v>
      </c>
      <c r="C302" t="s">
        <v>735</v>
      </c>
      <c r="D302">
        <v>30</v>
      </c>
      <c r="E302" s="5">
        <v>46014.772222222222</v>
      </c>
      <c r="F302" t="s">
        <v>736</v>
      </c>
      <c r="G302" t="s">
        <v>737</v>
      </c>
      <c r="H302" t="s">
        <v>182</v>
      </c>
      <c r="I302">
        <v>1</v>
      </c>
      <c r="J302">
        <v>77662718</v>
      </c>
      <c r="K302" s="5">
        <v>46014</v>
      </c>
      <c r="L302" s="3">
        <v>3000</v>
      </c>
      <c r="M302" t="s">
        <v>702</v>
      </c>
      <c r="N302" t="s">
        <v>56</v>
      </c>
      <c r="O302" t="s">
        <v>738</v>
      </c>
      <c r="P302" s="3">
        <v>2500</v>
      </c>
      <c r="Q302">
        <v>30</v>
      </c>
      <c r="R302" t="s">
        <v>739</v>
      </c>
      <c r="S302" t="s">
        <v>705</v>
      </c>
      <c r="T302" t="s">
        <v>706</v>
      </c>
      <c r="U302" t="s">
        <v>188</v>
      </c>
      <c r="V302" s="3">
        <f>Tabla1[[#This Row],[OS-Valor Unitario]]-Tabla1[[#This Row],[costo_antes_iva]]</f>
        <v>-500</v>
      </c>
      <c r="W302" s="3">
        <f>Tabla1[[#This Row],[OS-Valor Unitario]]*Tabla1[[#This Row],[OS-Cantidad]]</f>
        <v>75000</v>
      </c>
      <c r="X302" s="3">
        <f>Tabla1[[#This Row],[costo_antes_iva]]*Tabla1[[#This Row],[OS-Cantidad]]</f>
        <v>90000</v>
      </c>
      <c r="Y302" s="3">
        <f>Tabla1[[#This Row],[Valor total OS]]-Tabla1[[#This Row],[valor total op]]</f>
        <v>-15000</v>
      </c>
    </row>
    <row r="303" spans="1:25" x14ac:dyDescent="0.3">
      <c r="A303">
        <v>6485</v>
      </c>
      <c r="B303">
        <v>8</v>
      </c>
      <c r="C303" t="s">
        <v>735</v>
      </c>
      <c r="D303">
        <v>30</v>
      </c>
      <c r="E303" s="5">
        <v>46014.772222222222</v>
      </c>
      <c r="F303" t="s">
        <v>736</v>
      </c>
      <c r="G303" t="s">
        <v>737</v>
      </c>
      <c r="H303" t="s">
        <v>182</v>
      </c>
      <c r="I303">
        <v>1</v>
      </c>
      <c r="J303">
        <v>77662718</v>
      </c>
      <c r="K303" s="5">
        <v>46014</v>
      </c>
      <c r="L303" s="3">
        <v>3000</v>
      </c>
      <c r="M303" t="s">
        <v>702</v>
      </c>
      <c r="N303" t="s">
        <v>56</v>
      </c>
      <c r="O303" t="s">
        <v>738</v>
      </c>
      <c r="P303" s="3">
        <v>2500</v>
      </c>
      <c r="Q303">
        <v>30</v>
      </c>
      <c r="R303" t="s">
        <v>739</v>
      </c>
      <c r="S303" t="s">
        <v>705</v>
      </c>
      <c r="T303" t="s">
        <v>707</v>
      </c>
      <c r="U303" t="s">
        <v>188</v>
      </c>
      <c r="V303" s="3">
        <f>Tabla1[[#This Row],[OS-Valor Unitario]]-Tabla1[[#This Row],[costo_antes_iva]]</f>
        <v>-500</v>
      </c>
      <c r="W303" s="3">
        <f>Tabla1[[#This Row],[OS-Valor Unitario]]*Tabla1[[#This Row],[OS-Cantidad]]</f>
        <v>75000</v>
      </c>
      <c r="X303" s="3">
        <f>Tabla1[[#This Row],[costo_antes_iva]]*Tabla1[[#This Row],[OS-Cantidad]]</f>
        <v>90000</v>
      </c>
      <c r="Y303" s="3">
        <f>Tabla1[[#This Row],[Valor total OS]]-Tabla1[[#This Row],[valor total op]]</f>
        <v>-15000</v>
      </c>
    </row>
    <row r="304" spans="1:25" x14ac:dyDescent="0.3">
      <c r="A304">
        <v>6485</v>
      </c>
      <c r="B304">
        <v>8</v>
      </c>
      <c r="C304" t="s">
        <v>735</v>
      </c>
      <c r="D304">
        <v>30</v>
      </c>
      <c r="E304" s="5">
        <v>46014.772222222222</v>
      </c>
      <c r="F304" t="s">
        <v>736</v>
      </c>
      <c r="G304" t="s">
        <v>737</v>
      </c>
      <c r="H304" t="s">
        <v>182</v>
      </c>
      <c r="I304">
        <v>1</v>
      </c>
      <c r="J304">
        <v>77663093</v>
      </c>
      <c r="K304" s="5">
        <v>46014</v>
      </c>
      <c r="L304" s="3">
        <v>3000</v>
      </c>
      <c r="M304" t="s">
        <v>708</v>
      </c>
      <c r="N304" t="s">
        <v>56</v>
      </c>
      <c r="O304" t="s">
        <v>738</v>
      </c>
      <c r="P304" s="3">
        <v>2500</v>
      </c>
      <c r="Q304">
        <v>30</v>
      </c>
      <c r="R304" t="s">
        <v>739</v>
      </c>
      <c r="S304" t="s">
        <v>705</v>
      </c>
      <c r="T304" t="s">
        <v>706</v>
      </c>
      <c r="U304" t="s">
        <v>188</v>
      </c>
      <c r="V304" s="3">
        <f>Tabla1[[#This Row],[OS-Valor Unitario]]-Tabla1[[#This Row],[costo_antes_iva]]</f>
        <v>-500</v>
      </c>
      <c r="W304" s="3">
        <f>Tabla1[[#This Row],[OS-Valor Unitario]]*Tabla1[[#This Row],[OS-Cantidad]]</f>
        <v>75000</v>
      </c>
      <c r="X304" s="3">
        <f>Tabla1[[#This Row],[costo_antes_iva]]*Tabla1[[#This Row],[OS-Cantidad]]</f>
        <v>90000</v>
      </c>
      <c r="Y304" s="3">
        <f>Tabla1[[#This Row],[Valor total OS]]-Tabla1[[#This Row],[valor total op]]</f>
        <v>-15000</v>
      </c>
    </row>
    <row r="305" spans="1:25" x14ac:dyDescent="0.3">
      <c r="A305">
        <v>6485</v>
      </c>
      <c r="B305">
        <v>8</v>
      </c>
      <c r="C305" t="s">
        <v>735</v>
      </c>
      <c r="D305">
        <v>30</v>
      </c>
      <c r="E305" s="5">
        <v>46014.772222222222</v>
      </c>
      <c r="F305" t="s">
        <v>736</v>
      </c>
      <c r="G305" t="s">
        <v>737</v>
      </c>
      <c r="H305" t="s">
        <v>182</v>
      </c>
      <c r="I305">
        <v>1</v>
      </c>
      <c r="J305">
        <v>77663093</v>
      </c>
      <c r="K305" s="5">
        <v>46014</v>
      </c>
      <c r="L305" s="3">
        <v>3000</v>
      </c>
      <c r="M305" t="s">
        <v>708</v>
      </c>
      <c r="N305" t="s">
        <v>56</v>
      </c>
      <c r="O305" t="s">
        <v>738</v>
      </c>
      <c r="P305" s="3">
        <v>2500</v>
      </c>
      <c r="Q305">
        <v>30</v>
      </c>
      <c r="R305" t="s">
        <v>739</v>
      </c>
      <c r="S305" t="s">
        <v>705</v>
      </c>
      <c r="T305" t="s">
        <v>707</v>
      </c>
      <c r="U305" t="s">
        <v>188</v>
      </c>
      <c r="V305" s="3">
        <f>Tabla1[[#This Row],[OS-Valor Unitario]]-Tabla1[[#This Row],[costo_antes_iva]]</f>
        <v>-500</v>
      </c>
      <c r="W305" s="3">
        <f>Tabla1[[#This Row],[OS-Valor Unitario]]*Tabla1[[#This Row],[OS-Cantidad]]</f>
        <v>75000</v>
      </c>
      <c r="X305" s="3">
        <f>Tabla1[[#This Row],[costo_antes_iva]]*Tabla1[[#This Row],[OS-Cantidad]]</f>
        <v>90000</v>
      </c>
      <c r="Y305" s="3">
        <f>Tabla1[[#This Row],[Valor total OS]]-Tabla1[[#This Row],[valor total op]]</f>
        <v>-15000</v>
      </c>
    </row>
    <row r="306" spans="1:25" x14ac:dyDescent="0.3">
      <c r="A306">
        <v>6485</v>
      </c>
      <c r="B306">
        <v>9</v>
      </c>
      <c r="C306" t="s">
        <v>740</v>
      </c>
      <c r="D306">
        <v>40</v>
      </c>
      <c r="E306" s="5">
        <v>46014.772222222222</v>
      </c>
      <c r="F306" t="s">
        <v>741</v>
      </c>
      <c r="G306" t="s">
        <v>368</v>
      </c>
      <c r="H306" t="s">
        <v>182</v>
      </c>
      <c r="I306">
        <v>1</v>
      </c>
      <c r="J306">
        <v>77662811</v>
      </c>
      <c r="K306" s="5">
        <v>46014</v>
      </c>
      <c r="L306" s="3">
        <v>2500</v>
      </c>
      <c r="M306" t="s">
        <v>702</v>
      </c>
      <c r="N306" t="s">
        <v>56</v>
      </c>
      <c r="O306" t="s">
        <v>742</v>
      </c>
      <c r="P306" s="3">
        <v>2500</v>
      </c>
      <c r="Q306">
        <v>40</v>
      </c>
      <c r="R306" t="s">
        <v>743</v>
      </c>
      <c r="S306" t="s">
        <v>705</v>
      </c>
      <c r="T306" t="s">
        <v>706</v>
      </c>
      <c r="U306" t="s">
        <v>188</v>
      </c>
      <c r="V306" s="3">
        <f>Tabla1[[#This Row],[OS-Valor Unitario]]-Tabla1[[#This Row],[costo_antes_iva]]</f>
        <v>0</v>
      </c>
      <c r="W306" s="3">
        <f>Tabla1[[#This Row],[OS-Valor Unitario]]*Tabla1[[#This Row],[OS-Cantidad]]</f>
        <v>100000</v>
      </c>
      <c r="X306" s="3">
        <f>Tabla1[[#This Row],[costo_antes_iva]]*Tabla1[[#This Row],[OS-Cantidad]]</f>
        <v>100000</v>
      </c>
      <c r="Y306" s="3">
        <f>Tabla1[[#This Row],[Valor total OS]]-Tabla1[[#This Row],[valor total op]]</f>
        <v>0</v>
      </c>
    </row>
    <row r="307" spans="1:25" x14ac:dyDescent="0.3">
      <c r="A307">
        <v>6485</v>
      </c>
      <c r="B307">
        <v>9</v>
      </c>
      <c r="C307" t="s">
        <v>740</v>
      </c>
      <c r="D307">
        <v>40</v>
      </c>
      <c r="E307" s="5">
        <v>46014.772222222222</v>
      </c>
      <c r="F307" t="s">
        <v>741</v>
      </c>
      <c r="G307" t="s">
        <v>368</v>
      </c>
      <c r="H307" t="s">
        <v>182</v>
      </c>
      <c r="I307">
        <v>1</v>
      </c>
      <c r="J307">
        <v>77662811</v>
      </c>
      <c r="K307" s="5">
        <v>46014</v>
      </c>
      <c r="L307" s="3">
        <v>2500</v>
      </c>
      <c r="M307" t="s">
        <v>702</v>
      </c>
      <c r="N307" t="s">
        <v>56</v>
      </c>
      <c r="O307" t="s">
        <v>742</v>
      </c>
      <c r="P307" s="3">
        <v>2500</v>
      </c>
      <c r="Q307">
        <v>40</v>
      </c>
      <c r="R307" t="s">
        <v>743</v>
      </c>
      <c r="S307" t="s">
        <v>705</v>
      </c>
      <c r="T307" t="s">
        <v>707</v>
      </c>
      <c r="U307" t="s">
        <v>188</v>
      </c>
      <c r="V307" s="3">
        <f>Tabla1[[#This Row],[OS-Valor Unitario]]-Tabla1[[#This Row],[costo_antes_iva]]</f>
        <v>0</v>
      </c>
      <c r="W307" s="3">
        <f>Tabla1[[#This Row],[OS-Valor Unitario]]*Tabla1[[#This Row],[OS-Cantidad]]</f>
        <v>100000</v>
      </c>
      <c r="X307" s="3">
        <f>Tabla1[[#This Row],[costo_antes_iva]]*Tabla1[[#This Row],[OS-Cantidad]]</f>
        <v>100000</v>
      </c>
      <c r="Y307" s="3">
        <f>Tabla1[[#This Row],[Valor total OS]]-Tabla1[[#This Row],[valor total op]]</f>
        <v>0</v>
      </c>
    </row>
    <row r="308" spans="1:25" x14ac:dyDescent="0.3">
      <c r="A308">
        <v>6485</v>
      </c>
      <c r="B308">
        <v>9</v>
      </c>
      <c r="C308" t="s">
        <v>740</v>
      </c>
      <c r="D308">
        <v>40</v>
      </c>
      <c r="E308" s="5">
        <v>46014.772222222222</v>
      </c>
      <c r="F308" t="s">
        <v>741</v>
      </c>
      <c r="G308" t="s">
        <v>368</v>
      </c>
      <c r="H308" t="s">
        <v>182</v>
      </c>
      <c r="I308">
        <v>1</v>
      </c>
      <c r="J308">
        <v>77663132</v>
      </c>
      <c r="K308" s="5">
        <v>46014</v>
      </c>
      <c r="L308" s="3">
        <v>2500</v>
      </c>
      <c r="M308" t="s">
        <v>708</v>
      </c>
      <c r="N308" t="s">
        <v>56</v>
      </c>
      <c r="O308" t="s">
        <v>742</v>
      </c>
      <c r="P308" s="3">
        <v>2500</v>
      </c>
      <c r="Q308">
        <v>40</v>
      </c>
      <c r="R308" t="s">
        <v>743</v>
      </c>
      <c r="S308" t="s">
        <v>705</v>
      </c>
      <c r="T308" t="s">
        <v>706</v>
      </c>
      <c r="U308" t="s">
        <v>188</v>
      </c>
      <c r="V308" s="3">
        <f>Tabla1[[#This Row],[OS-Valor Unitario]]-Tabla1[[#This Row],[costo_antes_iva]]</f>
        <v>0</v>
      </c>
      <c r="W308" s="3">
        <f>Tabla1[[#This Row],[OS-Valor Unitario]]*Tabla1[[#This Row],[OS-Cantidad]]</f>
        <v>100000</v>
      </c>
      <c r="X308" s="3">
        <f>Tabla1[[#This Row],[costo_antes_iva]]*Tabla1[[#This Row],[OS-Cantidad]]</f>
        <v>100000</v>
      </c>
      <c r="Y308" s="3">
        <f>Tabla1[[#This Row],[Valor total OS]]-Tabla1[[#This Row],[valor total op]]</f>
        <v>0</v>
      </c>
    </row>
    <row r="309" spans="1:25" x14ac:dyDescent="0.3">
      <c r="A309">
        <v>6485</v>
      </c>
      <c r="B309">
        <v>9</v>
      </c>
      <c r="C309" t="s">
        <v>740</v>
      </c>
      <c r="D309">
        <v>40</v>
      </c>
      <c r="E309" s="5">
        <v>46014.772222222222</v>
      </c>
      <c r="F309" t="s">
        <v>741</v>
      </c>
      <c r="G309" t="s">
        <v>368</v>
      </c>
      <c r="H309" t="s">
        <v>182</v>
      </c>
      <c r="I309">
        <v>1</v>
      </c>
      <c r="J309">
        <v>77663132</v>
      </c>
      <c r="K309" s="5">
        <v>46014</v>
      </c>
      <c r="L309" s="3">
        <v>2500</v>
      </c>
      <c r="M309" t="s">
        <v>708</v>
      </c>
      <c r="N309" t="s">
        <v>56</v>
      </c>
      <c r="O309" t="s">
        <v>742</v>
      </c>
      <c r="P309" s="3">
        <v>2500</v>
      </c>
      <c r="Q309">
        <v>40</v>
      </c>
      <c r="R309" t="s">
        <v>743</v>
      </c>
      <c r="S309" t="s">
        <v>705</v>
      </c>
      <c r="T309" t="s">
        <v>707</v>
      </c>
      <c r="U309" t="s">
        <v>188</v>
      </c>
      <c r="V309" s="3">
        <f>Tabla1[[#This Row],[OS-Valor Unitario]]-Tabla1[[#This Row],[costo_antes_iva]]</f>
        <v>0</v>
      </c>
      <c r="W309" s="3">
        <f>Tabla1[[#This Row],[OS-Valor Unitario]]*Tabla1[[#This Row],[OS-Cantidad]]</f>
        <v>100000</v>
      </c>
      <c r="X309" s="3">
        <f>Tabla1[[#This Row],[costo_antes_iva]]*Tabla1[[#This Row],[OS-Cantidad]]</f>
        <v>100000</v>
      </c>
      <c r="Y309" s="3">
        <f>Tabla1[[#This Row],[Valor total OS]]-Tabla1[[#This Row],[valor total op]]</f>
        <v>0</v>
      </c>
    </row>
    <row r="310" spans="1:25" x14ac:dyDescent="0.3">
      <c r="A310">
        <v>6485</v>
      </c>
      <c r="B310">
        <v>10</v>
      </c>
      <c r="C310" t="s">
        <v>744</v>
      </c>
      <c r="D310">
        <v>275</v>
      </c>
      <c r="E310" s="5">
        <v>46014.772222222222</v>
      </c>
      <c r="F310" t="s">
        <v>745</v>
      </c>
      <c r="G310" t="s">
        <v>138</v>
      </c>
      <c r="H310" t="s">
        <v>182</v>
      </c>
      <c r="I310">
        <v>1</v>
      </c>
      <c r="J310">
        <v>77662843</v>
      </c>
      <c r="K310" s="5">
        <v>46014</v>
      </c>
      <c r="L310" s="3">
        <v>11000</v>
      </c>
      <c r="M310" t="s">
        <v>702</v>
      </c>
      <c r="N310" t="s">
        <v>56</v>
      </c>
      <c r="O310" t="s">
        <v>746</v>
      </c>
      <c r="P310" s="3">
        <v>9000</v>
      </c>
      <c r="Q310">
        <v>271</v>
      </c>
      <c r="R310" t="s">
        <v>747</v>
      </c>
      <c r="S310" t="s">
        <v>705</v>
      </c>
      <c r="T310" t="s">
        <v>706</v>
      </c>
      <c r="U310" t="s">
        <v>188</v>
      </c>
      <c r="V310" s="3">
        <f>Tabla1[[#This Row],[OS-Valor Unitario]]-Tabla1[[#This Row],[costo_antes_iva]]</f>
        <v>-2000</v>
      </c>
      <c r="W310" s="3">
        <f>Tabla1[[#This Row],[OS-Valor Unitario]]*Tabla1[[#This Row],[OS-Cantidad]]</f>
        <v>2439000</v>
      </c>
      <c r="X310" s="3">
        <f>Tabla1[[#This Row],[costo_antes_iva]]*Tabla1[[#This Row],[OS-Cantidad]]</f>
        <v>2981000</v>
      </c>
      <c r="Y310" s="3">
        <f>Tabla1[[#This Row],[Valor total OS]]-Tabla1[[#This Row],[valor total op]]</f>
        <v>-542000</v>
      </c>
    </row>
    <row r="311" spans="1:25" x14ac:dyDescent="0.3">
      <c r="A311">
        <v>6485</v>
      </c>
      <c r="B311">
        <v>10</v>
      </c>
      <c r="C311" t="s">
        <v>744</v>
      </c>
      <c r="D311">
        <v>275</v>
      </c>
      <c r="E311" s="5">
        <v>46014.772222222222</v>
      </c>
      <c r="F311" t="s">
        <v>745</v>
      </c>
      <c r="G311" t="s">
        <v>138</v>
      </c>
      <c r="H311" t="s">
        <v>182</v>
      </c>
      <c r="I311">
        <v>1</v>
      </c>
      <c r="J311">
        <v>77662843</v>
      </c>
      <c r="K311" s="5">
        <v>46014</v>
      </c>
      <c r="L311" s="3">
        <v>11000</v>
      </c>
      <c r="M311" t="s">
        <v>702</v>
      </c>
      <c r="N311" t="s">
        <v>56</v>
      </c>
      <c r="O311" t="s">
        <v>746</v>
      </c>
      <c r="P311" s="3">
        <v>9000</v>
      </c>
      <c r="Q311">
        <v>271</v>
      </c>
      <c r="R311" t="s">
        <v>747</v>
      </c>
      <c r="S311" t="s">
        <v>705</v>
      </c>
      <c r="T311" t="s">
        <v>707</v>
      </c>
      <c r="U311" t="s">
        <v>188</v>
      </c>
      <c r="V311" s="3">
        <f>Tabla1[[#This Row],[OS-Valor Unitario]]-Tabla1[[#This Row],[costo_antes_iva]]</f>
        <v>-2000</v>
      </c>
      <c r="W311" s="3">
        <f>Tabla1[[#This Row],[OS-Valor Unitario]]*Tabla1[[#This Row],[OS-Cantidad]]</f>
        <v>2439000</v>
      </c>
      <c r="X311" s="3">
        <f>Tabla1[[#This Row],[costo_antes_iva]]*Tabla1[[#This Row],[OS-Cantidad]]</f>
        <v>2981000</v>
      </c>
      <c r="Y311" s="3">
        <f>Tabla1[[#This Row],[Valor total OS]]-Tabla1[[#This Row],[valor total op]]</f>
        <v>-542000</v>
      </c>
    </row>
    <row r="312" spans="1:25" x14ac:dyDescent="0.3">
      <c r="A312">
        <v>6485</v>
      </c>
      <c r="B312">
        <v>10</v>
      </c>
      <c r="C312" t="s">
        <v>744</v>
      </c>
      <c r="D312">
        <v>275</v>
      </c>
      <c r="E312" s="5">
        <v>46014.772222222222</v>
      </c>
      <c r="F312" t="s">
        <v>745</v>
      </c>
      <c r="G312" t="s">
        <v>138</v>
      </c>
      <c r="H312" t="s">
        <v>182</v>
      </c>
      <c r="I312">
        <v>1</v>
      </c>
      <c r="J312">
        <v>77663145</v>
      </c>
      <c r="K312" s="5">
        <v>46014</v>
      </c>
      <c r="L312" s="3">
        <v>11000</v>
      </c>
      <c r="M312" t="s">
        <v>708</v>
      </c>
      <c r="N312" t="s">
        <v>56</v>
      </c>
      <c r="O312" t="s">
        <v>746</v>
      </c>
      <c r="P312" s="3">
        <v>9000</v>
      </c>
      <c r="Q312">
        <v>271</v>
      </c>
      <c r="R312" t="s">
        <v>747</v>
      </c>
      <c r="S312" t="s">
        <v>705</v>
      </c>
      <c r="T312" t="s">
        <v>706</v>
      </c>
      <c r="U312" t="s">
        <v>188</v>
      </c>
      <c r="V312" s="3">
        <f>Tabla1[[#This Row],[OS-Valor Unitario]]-Tabla1[[#This Row],[costo_antes_iva]]</f>
        <v>-2000</v>
      </c>
      <c r="W312" s="3">
        <f>Tabla1[[#This Row],[OS-Valor Unitario]]*Tabla1[[#This Row],[OS-Cantidad]]</f>
        <v>2439000</v>
      </c>
      <c r="X312" s="3">
        <f>Tabla1[[#This Row],[costo_antes_iva]]*Tabla1[[#This Row],[OS-Cantidad]]</f>
        <v>2981000</v>
      </c>
      <c r="Y312" s="3">
        <f>Tabla1[[#This Row],[Valor total OS]]-Tabla1[[#This Row],[valor total op]]</f>
        <v>-542000</v>
      </c>
    </row>
    <row r="313" spans="1:25" x14ac:dyDescent="0.3">
      <c r="A313">
        <v>6485</v>
      </c>
      <c r="B313">
        <v>10</v>
      </c>
      <c r="C313" t="s">
        <v>744</v>
      </c>
      <c r="D313">
        <v>275</v>
      </c>
      <c r="E313" s="5">
        <v>46014.772222222222</v>
      </c>
      <c r="F313" t="s">
        <v>745</v>
      </c>
      <c r="G313" t="s">
        <v>138</v>
      </c>
      <c r="H313" t="s">
        <v>182</v>
      </c>
      <c r="I313">
        <v>1</v>
      </c>
      <c r="J313">
        <v>77663145</v>
      </c>
      <c r="K313" s="5">
        <v>46014</v>
      </c>
      <c r="L313" s="3">
        <v>11000</v>
      </c>
      <c r="M313" t="s">
        <v>708</v>
      </c>
      <c r="N313" t="s">
        <v>56</v>
      </c>
      <c r="O313" t="s">
        <v>746</v>
      </c>
      <c r="P313" s="3">
        <v>9000</v>
      </c>
      <c r="Q313">
        <v>271</v>
      </c>
      <c r="R313" t="s">
        <v>747</v>
      </c>
      <c r="S313" t="s">
        <v>705</v>
      </c>
      <c r="T313" t="s">
        <v>707</v>
      </c>
      <c r="U313" t="s">
        <v>188</v>
      </c>
      <c r="V313" s="3">
        <f>Tabla1[[#This Row],[OS-Valor Unitario]]-Tabla1[[#This Row],[costo_antes_iva]]</f>
        <v>-2000</v>
      </c>
      <c r="W313" s="3">
        <f>Tabla1[[#This Row],[OS-Valor Unitario]]*Tabla1[[#This Row],[OS-Cantidad]]</f>
        <v>2439000</v>
      </c>
      <c r="X313" s="3">
        <f>Tabla1[[#This Row],[costo_antes_iva]]*Tabla1[[#This Row],[OS-Cantidad]]</f>
        <v>2981000</v>
      </c>
      <c r="Y313" s="3">
        <f>Tabla1[[#This Row],[Valor total OS]]-Tabla1[[#This Row],[valor total op]]</f>
        <v>-542000</v>
      </c>
    </row>
    <row r="314" spans="1:25" x14ac:dyDescent="0.3">
      <c r="A314">
        <v>6485</v>
      </c>
      <c r="B314">
        <v>11</v>
      </c>
      <c r="C314" t="s">
        <v>748</v>
      </c>
      <c r="D314">
        <v>145</v>
      </c>
      <c r="E314" s="5">
        <v>46014.772222222222</v>
      </c>
      <c r="F314" t="s">
        <v>749</v>
      </c>
      <c r="G314" t="s">
        <v>684</v>
      </c>
      <c r="H314" t="s">
        <v>182</v>
      </c>
      <c r="I314">
        <v>1</v>
      </c>
      <c r="J314">
        <v>77662859</v>
      </c>
      <c r="K314" s="5">
        <v>46014</v>
      </c>
      <c r="L314" s="3">
        <v>0</v>
      </c>
      <c r="M314" t="s">
        <v>702</v>
      </c>
      <c r="N314" t="s">
        <v>56</v>
      </c>
      <c r="O314" t="s">
        <v>750</v>
      </c>
      <c r="P314" s="3">
        <v>9000</v>
      </c>
      <c r="Q314">
        <v>145</v>
      </c>
      <c r="R314" t="s">
        <v>751</v>
      </c>
      <c r="S314" t="s">
        <v>705</v>
      </c>
      <c r="T314" t="s">
        <v>706</v>
      </c>
      <c r="U314" t="s">
        <v>188</v>
      </c>
      <c r="V314" s="3">
        <f>Tabla1[[#This Row],[OS-Valor Unitario]]-Tabla1[[#This Row],[costo_antes_iva]]</f>
        <v>9000</v>
      </c>
      <c r="W314" s="3">
        <f>Tabla1[[#This Row],[OS-Valor Unitario]]*Tabla1[[#This Row],[OS-Cantidad]]</f>
        <v>1305000</v>
      </c>
      <c r="X314" s="3">
        <f>Tabla1[[#This Row],[costo_antes_iva]]*Tabla1[[#This Row],[OS-Cantidad]]</f>
        <v>0</v>
      </c>
      <c r="Y314" s="3">
        <f>Tabla1[[#This Row],[Valor total OS]]-Tabla1[[#This Row],[valor total op]]</f>
        <v>1305000</v>
      </c>
    </row>
    <row r="315" spans="1:25" x14ac:dyDescent="0.3">
      <c r="A315">
        <v>6485</v>
      </c>
      <c r="B315">
        <v>11</v>
      </c>
      <c r="C315" t="s">
        <v>748</v>
      </c>
      <c r="D315">
        <v>145</v>
      </c>
      <c r="E315" s="5">
        <v>46014.772222222222</v>
      </c>
      <c r="F315" t="s">
        <v>749</v>
      </c>
      <c r="G315" t="s">
        <v>684</v>
      </c>
      <c r="H315" t="s">
        <v>182</v>
      </c>
      <c r="I315">
        <v>1</v>
      </c>
      <c r="J315">
        <v>77662859</v>
      </c>
      <c r="K315" s="5">
        <v>46014</v>
      </c>
      <c r="L315" s="3">
        <v>0</v>
      </c>
      <c r="M315" t="s">
        <v>702</v>
      </c>
      <c r="N315" t="s">
        <v>56</v>
      </c>
      <c r="O315" t="s">
        <v>750</v>
      </c>
      <c r="P315" s="3">
        <v>9000</v>
      </c>
      <c r="Q315">
        <v>145</v>
      </c>
      <c r="R315" t="s">
        <v>751</v>
      </c>
      <c r="S315" t="s">
        <v>705</v>
      </c>
      <c r="T315" t="s">
        <v>707</v>
      </c>
      <c r="U315" t="s">
        <v>188</v>
      </c>
      <c r="V315" s="3">
        <f>Tabla1[[#This Row],[OS-Valor Unitario]]-Tabla1[[#This Row],[costo_antes_iva]]</f>
        <v>9000</v>
      </c>
      <c r="W315" s="3">
        <f>Tabla1[[#This Row],[OS-Valor Unitario]]*Tabla1[[#This Row],[OS-Cantidad]]</f>
        <v>1305000</v>
      </c>
      <c r="X315" s="3">
        <f>Tabla1[[#This Row],[costo_antes_iva]]*Tabla1[[#This Row],[OS-Cantidad]]</f>
        <v>0</v>
      </c>
      <c r="Y315" s="3">
        <f>Tabla1[[#This Row],[Valor total OS]]-Tabla1[[#This Row],[valor total op]]</f>
        <v>1305000</v>
      </c>
    </row>
    <row r="316" spans="1:25" x14ac:dyDescent="0.3">
      <c r="A316">
        <v>6485</v>
      </c>
      <c r="B316">
        <v>11</v>
      </c>
      <c r="C316" t="s">
        <v>748</v>
      </c>
      <c r="D316">
        <v>145</v>
      </c>
      <c r="E316" s="5">
        <v>46014.772222222222</v>
      </c>
      <c r="F316" t="s">
        <v>749</v>
      </c>
      <c r="G316" t="s">
        <v>684</v>
      </c>
      <c r="H316" t="s">
        <v>182</v>
      </c>
      <c r="I316">
        <v>1</v>
      </c>
      <c r="J316">
        <v>77663154</v>
      </c>
      <c r="K316" s="5">
        <v>46014</v>
      </c>
      <c r="L316" s="3">
        <v>0</v>
      </c>
      <c r="M316" t="s">
        <v>708</v>
      </c>
      <c r="N316" t="s">
        <v>56</v>
      </c>
      <c r="O316" t="s">
        <v>750</v>
      </c>
      <c r="P316" s="3">
        <v>9000</v>
      </c>
      <c r="Q316">
        <v>145</v>
      </c>
      <c r="R316" t="s">
        <v>751</v>
      </c>
      <c r="S316" t="s">
        <v>705</v>
      </c>
      <c r="T316" t="s">
        <v>706</v>
      </c>
      <c r="U316" t="s">
        <v>188</v>
      </c>
      <c r="V316" s="3">
        <f>Tabla1[[#This Row],[OS-Valor Unitario]]-Tabla1[[#This Row],[costo_antes_iva]]</f>
        <v>9000</v>
      </c>
      <c r="W316" s="3">
        <f>Tabla1[[#This Row],[OS-Valor Unitario]]*Tabla1[[#This Row],[OS-Cantidad]]</f>
        <v>1305000</v>
      </c>
      <c r="X316" s="3">
        <f>Tabla1[[#This Row],[costo_antes_iva]]*Tabla1[[#This Row],[OS-Cantidad]]</f>
        <v>0</v>
      </c>
      <c r="Y316" s="3">
        <f>Tabla1[[#This Row],[Valor total OS]]-Tabla1[[#This Row],[valor total op]]</f>
        <v>1305000</v>
      </c>
    </row>
    <row r="317" spans="1:25" x14ac:dyDescent="0.3">
      <c r="A317">
        <v>6485</v>
      </c>
      <c r="B317">
        <v>11</v>
      </c>
      <c r="C317" t="s">
        <v>748</v>
      </c>
      <c r="D317">
        <v>145</v>
      </c>
      <c r="E317" s="5">
        <v>46014.772222222222</v>
      </c>
      <c r="F317" t="s">
        <v>749</v>
      </c>
      <c r="G317" t="s">
        <v>684</v>
      </c>
      <c r="H317" t="s">
        <v>182</v>
      </c>
      <c r="I317">
        <v>1</v>
      </c>
      <c r="J317">
        <v>77663154</v>
      </c>
      <c r="K317" s="5">
        <v>46014</v>
      </c>
      <c r="L317" s="3">
        <v>0</v>
      </c>
      <c r="M317" t="s">
        <v>708</v>
      </c>
      <c r="N317" t="s">
        <v>56</v>
      </c>
      <c r="O317" t="s">
        <v>750</v>
      </c>
      <c r="P317" s="3">
        <v>9000</v>
      </c>
      <c r="Q317">
        <v>145</v>
      </c>
      <c r="R317" t="s">
        <v>751</v>
      </c>
      <c r="S317" t="s">
        <v>705</v>
      </c>
      <c r="T317" t="s">
        <v>707</v>
      </c>
      <c r="U317" t="s">
        <v>188</v>
      </c>
      <c r="V317" s="3">
        <f>Tabla1[[#This Row],[OS-Valor Unitario]]-Tabla1[[#This Row],[costo_antes_iva]]</f>
        <v>9000</v>
      </c>
      <c r="W317" s="3">
        <f>Tabla1[[#This Row],[OS-Valor Unitario]]*Tabla1[[#This Row],[OS-Cantidad]]</f>
        <v>1305000</v>
      </c>
      <c r="X317" s="3">
        <f>Tabla1[[#This Row],[costo_antes_iva]]*Tabla1[[#This Row],[OS-Cantidad]]</f>
        <v>0</v>
      </c>
      <c r="Y317" s="3">
        <f>Tabla1[[#This Row],[Valor total OS]]-Tabla1[[#This Row],[valor total op]]</f>
        <v>1305000</v>
      </c>
    </row>
    <row r="318" spans="1:25" x14ac:dyDescent="0.3">
      <c r="A318">
        <v>6485</v>
      </c>
      <c r="B318">
        <v>13</v>
      </c>
      <c r="C318" t="s">
        <v>752</v>
      </c>
      <c r="D318">
        <v>105</v>
      </c>
      <c r="E318" s="5">
        <v>46014.772222222222</v>
      </c>
      <c r="F318" t="s">
        <v>753</v>
      </c>
      <c r="G318" t="s">
        <v>689</v>
      </c>
      <c r="H318" t="s">
        <v>182</v>
      </c>
      <c r="I318">
        <v>1</v>
      </c>
      <c r="J318">
        <v>77662886</v>
      </c>
      <c r="K318" s="5">
        <v>46014</v>
      </c>
      <c r="L318" s="3">
        <v>5000</v>
      </c>
      <c r="M318" t="s">
        <v>702</v>
      </c>
      <c r="N318" t="s">
        <v>56</v>
      </c>
      <c r="O318" t="s">
        <v>754</v>
      </c>
      <c r="P318" s="3">
        <v>5000</v>
      </c>
      <c r="Q318">
        <v>105</v>
      </c>
      <c r="R318" t="s">
        <v>755</v>
      </c>
      <c r="S318" t="s">
        <v>705</v>
      </c>
      <c r="T318" t="s">
        <v>706</v>
      </c>
      <c r="U318" t="s">
        <v>188</v>
      </c>
      <c r="V318" s="3">
        <f>Tabla1[[#This Row],[OS-Valor Unitario]]-Tabla1[[#This Row],[costo_antes_iva]]</f>
        <v>0</v>
      </c>
      <c r="W318" s="3">
        <f>Tabla1[[#This Row],[OS-Valor Unitario]]*Tabla1[[#This Row],[OS-Cantidad]]</f>
        <v>525000</v>
      </c>
      <c r="X318" s="3">
        <f>Tabla1[[#This Row],[costo_antes_iva]]*Tabla1[[#This Row],[OS-Cantidad]]</f>
        <v>525000</v>
      </c>
      <c r="Y318" s="3">
        <f>Tabla1[[#This Row],[Valor total OS]]-Tabla1[[#This Row],[valor total op]]</f>
        <v>0</v>
      </c>
    </row>
    <row r="319" spans="1:25" x14ac:dyDescent="0.3">
      <c r="A319">
        <v>6485</v>
      </c>
      <c r="B319">
        <v>13</v>
      </c>
      <c r="C319" t="s">
        <v>752</v>
      </c>
      <c r="D319">
        <v>105</v>
      </c>
      <c r="E319" s="5">
        <v>46014.772222222222</v>
      </c>
      <c r="F319" t="s">
        <v>753</v>
      </c>
      <c r="G319" t="s">
        <v>689</v>
      </c>
      <c r="H319" t="s">
        <v>182</v>
      </c>
      <c r="I319">
        <v>1</v>
      </c>
      <c r="J319">
        <v>77662886</v>
      </c>
      <c r="K319" s="5">
        <v>46014</v>
      </c>
      <c r="L319" s="3">
        <v>5000</v>
      </c>
      <c r="M319" t="s">
        <v>702</v>
      </c>
      <c r="N319" t="s">
        <v>56</v>
      </c>
      <c r="O319" t="s">
        <v>754</v>
      </c>
      <c r="P319" s="3">
        <v>5000</v>
      </c>
      <c r="Q319">
        <v>105</v>
      </c>
      <c r="R319" t="s">
        <v>755</v>
      </c>
      <c r="S319" t="s">
        <v>705</v>
      </c>
      <c r="T319" t="s">
        <v>707</v>
      </c>
      <c r="U319" t="s">
        <v>188</v>
      </c>
      <c r="V319" s="3">
        <f>Tabla1[[#This Row],[OS-Valor Unitario]]-Tabla1[[#This Row],[costo_antes_iva]]</f>
        <v>0</v>
      </c>
      <c r="W319" s="3">
        <f>Tabla1[[#This Row],[OS-Valor Unitario]]*Tabla1[[#This Row],[OS-Cantidad]]</f>
        <v>525000</v>
      </c>
      <c r="X319" s="3">
        <f>Tabla1[[#This Row],[costo_antes_iva]]*Tabla1[[#This Row],[OS-Cantidad]]</f>
        <v>525000</v>
      </c>
      <c r="Y319" s="3">
        <f>Tabla1[[#This Row],[Valor total OS]]-Tabla1[[#This Row],[valor total op]]</f>
        <v>0</v>
      </c>
    </row>
    <row r="320" spans="1:25" x14ac:dyDescent="0.3">
      <c r="A320">
        <v>6485</v>
      </c>
      <c r="B320">
        <v>13</v>
      </c>
      <c r="C320" t="s">
        <v>752</v>
      </c>
      <c r="D320">
        <v>105</v>
      </c>
      <c r="E320" s="5">
        <v>46014.772222222222</v>
      </c>
      <c r="F320" t="s">
        <v>753</v>
      </c>
      <c r="G320" t="s">
        <v>689</v>
      </c>
      <c r="H320" t="s">
        <v>182</v>
      </c>
      <c r="I320">
        <v>1</v>
      </c>
      <c r="J320">
        <v>77663171</v>
      </c>
      <c r="K320" s="5">
        <v>46014</v>
      </c>
      <c r="L320" s="3">
        <v>5000</v>
      </c>
      <c r="M320" t="s">
        <v>708</v>
      </c>
      <c r="N320" t="s">
        <v>56</v>
      </c>
      <c r="O320" t="s">
        <v>754</v>
      </c>
      <c r="P320" s="3">
        <v>5000</v>
      </c>
      <c r="Q320">
        <v>105</v>
      </c>
      <c r="R320" t="s">
        <v>755</v>
      </c>
      <c r="S320" t="s">
        <v>705</v>
      </c>
      <c r="T320" t="s">
        <v>706</v>
      </c>
      <c r="U320" t="s">
        <v>188</v>
      </c>
      <c r="V320" s="3">
        <f>Tabla1[[#This Row],[OS-Valor Unitario]]-Tabla1[[#This Row],[costo_antes_iva]]</f>
        <v>0</v>
      </c>
      <c r="W320" s="3">
        <f>Tabla1[[#This Row],[OS-Valor Unitario]]*Tabla1[[#This Row],[OS-Cantidad]]</f>
        <v>525000</v>
      </c>
      <c r="X320" s="3">
        <f>Tabla1[[#This Row],[costo_antes_iva]]*Tabla1[[#This Row],[OS-Cantidad]]</f>
        <v>525000</v>
      </c>
      <c r="Y320" s="3">
        <f>Tabla1[[#This Row],[Valor total OS]]-Tabla1[[#This Row],[valor total op]]</f>
        <v>0</v>
      </c>
    </row>
    <row r="321" spans="1:25" x14ac:dyDescent="0.3">
      <c r="A321">
        <v>6485</v>
      </c>
      <c r="B321">
        <v>13</v>
      </c>
      <c r="C321" t="s">
        <v>752</v>
      </c>
      <c r="D321">
        <v>105</v>
      </c>
      <c r="E321" s="5">
        <v>46014.772222222222</v>
      </c>
      <c r="F321" t="s">
        <v>753</v>
      </c>
      <c r="G321" t="s">
        <v>689</v>
      </c>
      <c r="H321" t="s">
        <v>182</v>
      </c>
      <c r="I321">
        <v>1</v>
      </c>
      <c r="J321">
        <v>77663171</v>
      </c>
      <c r="K321" s="5">
        <v>46014</v>
      </c>
      <c r="L321" s="3">
        <v>5000</v>
      </c>
      <c r="M321" t="s">
        <v>708</v>
      </c>
      <c r="N321" t="s">
        <v>56</v>
      </c>
      <c r="O321" t="s">
        <v>754</v>
      </c>
      <c r="P321" s="3">
        <v>5000</v>
      </c>
      <c r="Q321">
        <v>105</v>
      </c>
      <c r="R321" t="s">
        <v>755</v>
      </c>
      <c r="S321" t="s">
        <v>705</v>
      </c>
      <c r="T321" t="s">
        <v>707</v>
      </c>
      <c r="U321" t="s">
        <v>188</v>
      </c>
      <c r="V321" s="3">
        <f>Tabla1[[#This Row],[OS-Valor Unitario]]-Tabla1[[#This Row],[costo_antes_iva]]</f>
        <v>0</v>
      </c>
      <c r="W321" s="3">
        <f>Tabla1[[#This Row],[OS-Valor Unitario]]*Tabla1[[#This Row],[OS-Cantidad]]</f>
        <v>525000</v>
      </c>
      <c r="X321" s="3">
        <f>Tabla1[[#This Row],[costo_antes_iva]]*Tabla1[[#This Row],[OS-Cantidad]]</f>
        <v>525000</v>
      </c>
      <c r="Y321" s="3">
        <f>Tabla1[[#This Row],[Valor total OS]]-Tabla1[[#This Row],[valor total op]]</f>
        <v>0</v>
      </c>
    </row>
    <row r="322" spans="1:25" x14ac:dyDescent="0.3">
      <c r="A322">
        <v>6485</v>
      </c>
      <c r="B322">
        <v>14</v>
      </c>
      <c r="C322" t="s">
        <v>756</v>
      </c>
      <c r="D322">
        <v>160</v>
      </c>
      <c r="E322" s="5">
        <v>46014.772222222222</v>
      </c>
      <c r="F322" t="s">
        <v>757</v>
      </c>
      <c r="G322" t="s">
        <v>689</v>
      </c>
      <c r="H322" t="s">
        <v>182</v>
      </c>
      <c r="I322">
        <v>1</v>
      </c>
      <c r="J322">
        <v>77662897</v>
      </c>
      <c r="K322" s="5">
        <v>46014</v>
      </c>
      <c r="L322" s="3">
        <v>5000</v>
      </c>
      <c r="M322" t="s">
        <v>702</v>
      </c>
      <c r="N322" t="s">
        <v>56</v>
      </c>
      <c r="O322" t="s">
        <v>758</v>
      </c>
      <c r="P322" s="3">
        <v>5000</v>
      </c>
      <c r="Q322">
        <v>160</v>
      </c>
      <c r="R322" t="s">
        <v>759</v>
      </c>
      <c r="S322" t="s">
        <v>705</v>
      </c>
      <c r="T322" t="s">
        <v>706</v>
      </c>
      <c r="U322" t="s">
        <v>188</v>
      </c>
      <c r="V322" s="3">
        <f>Tabla1[[#This Row],[OS-Valor Unitario]]-Tabla1[[#This Row],[costo_antes_iva]]</f>
        <v>0</v>
      </c>
      <c r="W322" s="3">
        <f>Tabla1[[#This Row],[OS-Valor Unitario]]*Tabla1[[#This Row],[OS-Cantidad]]</f>
        <v>800000</v>
      </c>
      <c r="X322" s="3">
        <f>Tabla1[[#This Row],[costo_antes_iva]]*Tabla1[[#This Row],[OS-Cantidad]]</f>
        <v>800000</v>
      </c>
      <c r="Y322" s="3">
        <f>Tabla1[[#This Row],[Valor total OS]]-Tabla1[[#This Row],[valor total op]]</f>
        <v>0</v>
      </c>
    </row>
    <row r="323" spans="1:25" x14ac:dyDescent="0.3">
      <c r="A323">
        <v>6485</v>
      </c>
      <c r="B323">
        <v>14</v>
      </c>
      <c r="C323" t="s">
        <v>756</v>
      </c>
      <c r="D323">
        <v>160</v>
      </c>
      <c r="E323" s="5">
        <v>46014.772222222222</v>
      </c>
      <c r="F323" t="s">
        <v>757</v>
      </c>
      <c r="G323" t="s">
        <v>689</v>
      </c>
      <c r="H323" t="s">
        <v>182</v>
      </c>
      <c r="I323">
        <v>1</v>
      </c>
      <c r="J323">
        <v>77662897</v>
      </c>
      <c r="K323" s="5">
        <v>46014</v>
      </c>
      <c r="L323" s="3">
        <v>5000</v>
      </c>
      <c r="M323" t="s">
        <v>702</v>
      </c>
      <c r="N323" t="s">
        <v>56</v>
      </c>
      <c r="O323" t="s">
        <v>758</v>
      </c>
      <c r="P323" s="3">
        <v>5000</v>
      </c>
      <c r="Q323">
        <v>160</v>
      </c>
      <c r="R323" t="s">
        <v>759</v>
      </c>
      <c r="S323" t="s">
        <v>705</v>
      </c>
      <c r="T323" t="s">
        <v>707</v>
      </c>
      <c r="U323" t="s">
        <v>188</v>
      </c>
      <c r="V323" s="3">
        <f>Tabla1[[#This Row],[OS-Valor Unitario]]-Tabla1[[#This Row],[costo_antes_iva]]</f>
        <v>0</v>
      </c>
      <c r="W323" s="3">
        <f>Tabla1[[#This Row],[OS-Valor Unitario]]*Tabla1[[#This Row],[OS-Cantidad]]</f>
        <v>800000</v>
      </c>
      <c r="X323" s="3">
        <f>Tabla1[[#This Row],[costo_antes_iva]]*Tabla1[[#This Row],[OS-Cantidad]]</f>
        <v>800000</v>
      </c>
      <c r="Y323" s="3">
        <f>Tabla1[[#This Row],[Valor total OS]]-Tabla1[[#This Row],[valor total op]]</f>
        <v>0</v>
      </c>
    </row>
    <row r="324" spans="1:25" x14ac:dyDescent="0.3">
      <c r="A324">
        <v>6485</v>
      </c>
      <c r="B324">
        <v>14</v>
      </c>
      <c r="C324" t="s">
        <v>756</v>
      </c>
      <c r="D324">
        <v>160</v>
      </c>
      <c r="E324" s="5">
        <v>46014.772222222222</v>
      </c>
      <c r="F324" t="s">
        <v>757</v>
      </c>
      <c r="G324" t="s">
        <v>689</v>
      </c>
      <c r="H324" t="s">
        <v>182</v>
      </c>
      <c r="I324">
        <v>1</v>
      </c>
      <c r="J324">
        <v>77663179</v>
      </c>
      <c r="K324" s="5">
        <v>46014</v>
      </c>
      <c r="L324" s="3">
        <v>5000</v>
      </c>
      <c r="M324" t="s">
        <v>708</v>
      </c>
      <c r="N324" t="s">
        <v>56</v>
      </c>
      <c r="O324" t="s">
        <v>758</v>
      </c>
      <c r="P324" s="3">
        <v>5000</v>
      </c>
      <c r="Q324">
        <v>160</v>
      </c>
      <c r="R324" t="s">
        <v>759</v>
      </c>
      <c r="S324" t="s">
        <v>705</v>
      </c>
      <c r="T324" t="s">
        <v>706</v>
      </c>
      <c r="U324" t="s">
        <v>188</v>
      </c>
      <c r="V324" s="3">
        <f>Tabla1[[#This Row],[OS-Valor Unitario]]-Tabla1[[#This Row],[costo_antes_iva]]</f>
        <v>0</v>
      </c>
      <c r="W324" s="3">
        <f>Tabla1[[#This Row],[OS-Valor Unitario]]*Tabla1[[#This Row],[OS-Cantidad]]</f>
        <v>800000</v>
      </c>
      <c r="X324" s="3">
        <f>Tabla1[[#This Row],[costo_antes_iva]]*Tabla1[[#This Row],[OS-Cantidad]]</f>
        <v>800000</v>
      </c>
      <c r="Y324" s="3">
        <f>Tabla1[[#This Row],[Valor total OS]]-Tabla1[[#This Row],[valor total op]]</f>
        <v>0</v>
      </c>
    </row>
    <row r="325" spans="1:25" x14ac:dyDescent="0.3">
      <c r="A325">
        <v>6485</v>
      </c>
      <c r="B325">
        <v>14</v>
      </c>
      <c r="C325" t="s">
        <v>756</v>
      </c>
      <c r="D325">
        <v>160</v>
      </c>
      <c r="E325" s="5">
        <v>46014.772222222222</v>
      </c>
      <c r="F325" t="s">
        <v>757</v>
      </c>
      <c r="G325" t="s">
        <v>689</v>
      </c>
      <c r="H325" t="s">
        <v>182</v>
      </c>
      <c r="I325">
        <v>1</v>
      </c>
      <c r="J325">
        <v>77663179</v>
      </c>
      <c r="K325" s="5">
        <v>46014</v>
      </c>
      <c r="L325" s="3">
        <v>5000</v>
      </c>
      <c r="M325" t="s">
        <v>708</v>
      </c>
      <c r="N325" t="s">
        <v>56</v>
      </c>
      <c r="O325" t="s">
        <v>758</v>
      </c>
      <c r="P325" s="3">
        <v>5000</v>
      </c>
      <c r="Q325">
        <v>160</v>
      </c>
      <c r="R325" t="s">
        <v>759</v>
      </c>
      <c r="S325" t="s">
        <v>705</v>
      </c>
      <c r="T325" t="s">
        <v>707</v>
      </c>
      <c r="U325" t="s">
        <v>188</v>
      </c>
      <c r="V325" s="3">
        <f>Tabla1[[#This Row],[OS-Valor Unitario]]-Tabla1[[#This Row],[costo_antes_iva]]</f>
        <v>0</v>
      </c>
      <c r="W325" s="3">
        <f>Tabla1[[#This Row],[OS-Valor Unitario]]*Tabla1[[#This Row],[OS-Cantidad]]</f>
        <v>800000</v>
      </c>
      <c r="X325" s="3">
        <f>Tabla1[[#This Row],[costo_antes_iva]]*Tabla1[[#This Row],[OS-Cantidad]]</f>
        <v>800000</v>
      </c>
      <c r="Y325" s="3">
        <f>Tabla1[[#This Row],[Valor total OS]]-Tabla1[[#This Row],[valor total op]]</f>
        <v>0</v>
      </c>
    </row>
    <row r="326" spans="1:25" x14ac:dyDescent="0.3">
      <c r="A326">
        <v>6484</v>
      </c>
      <c r="B326">
        <v>1</v>
      </c>
      <c r="C326" t="s">
        <v>760</v>
      </c>
      <c r="D326">
        <v>80</v>
      </c>
      <c r="E326" s="5">
        <v>46014.684027777781</v>
      </c>
      <c r="F326" t="s">
        <v>761</v>
      </c>
      <c r="G326" t="s">
        <v>429</v>
      </c>
      <c r="H326" t="s">
        <v>182</v>
      </c>
      <c r="I326">
        <v>1</v>
      </c>
      <c r="J326">
        <v>77658373</v>
      </c>
      <c r="K326" s="5">
        <v>46014</v>
      </c>
      <c r="L326" s="3">
        <v>12000</v>
      </c>
      <c r="M326" t="s">
        <v>762</v>
      </c>
      <c r="N326" t="s">
        <v>56</v>
      </c>
      <c r="O326" t="s">
        <v>763</v>
      </c>
      <c r="P326" s="3">
        <v>13000</v>
      </c>
      <c r="Q326">
        <v>80</v>
      </c>
      <c r="R326" t="s">
        <v>764</v>
      </c>
      <c r="S326" t="s">
        <v>765</v>
      </c>
      <c r="T326" t="s">
        <v>766</v>
      </c>
      <c r="U326" t="s">
        <v>188</v>
      </c>
      <c r="V326" s="3">
        <f>Tabla1[[#This Row],[OS-Valor Unitario]]-Tabla1[[#This Row],[costo_antes_iva]]</f>
        <v>1000</v>
      </c>
      <c r="W326" s="3">
        <f>Tabla1[[#This Row],[OS-Valor Unitario]]*Tabla1[[#This Row],[OS-Cantidad]]</f>
        <v>1040000</v>
      </c>
      <c r="X326" s="3">
        <f>Tabla1[[#This Row],[costo_antes_iva]]*Tabla1[[#This Row],[OS-Cantidad]]</f>
        <v>960000</v>
      </c>
      <c r="Y326" s="3">
        <f>Tabla1[[#This Row],[Valor total OS]]-Tabla1[[#This Row],[valor total op]]</f>
        <v>80000</v>
      </c>
    </row>
    <row r="327" spans="1:25" x14ac:dyDescent="0.3">
      <c r="A327">
        <v>6484</v>
      </c>
      <c r="B327">
        <v>1</v>
      </c>
      <c r="C327" t="s">
        <v>760</v>
      </c>
      <c r="D327">
        <v>80</v>
      </c>
      <c r="E327" s="5">
        <v>46014.684027777781</v>
      </c>
      <c r="F327" t="s">
        <v>761</v>
      </c>
      <c r="G327" t="s">
        <v>429</v>
      </c>
      <c r="H327" t="s">
        <v>182</v>
      </c>
      <c r="I327">
        <v>1</v>
      </c>
      <c r="J327">
        <v>77658373</v>
      </c>
      <c r="K327" s="5">
        <v>46014</v>
      </c>
      <c r="L327" s="3">
        <v>2000</v>
      </c>
      <c r="M327" t="s">
        <v>762</v>
      </c>
      <c r="N327" t="s">
        <v>26</v>
      </c>
      <c r="O327" t="s">
        <v>763</v>
      </c>
      <c r="P327" s="3">
        <v>1650</v>
      </c>
      <c r="Q327">
        <v>80</v>
      </c>
      <c r="R327" t="s">
        <v>767</v>
      </c>
      <c r="S327" t="s">
        <v>765</v>
      </c>
      <c r="T327" t="s">
        <v>766</v>
      </c>
      <c r="U327" t="s">
        <v>188</v>
      </c>
      <c r="V327" s="3">
        <f>Tabla1[[#This Row],[OS-Valor Unitario]]-Tabla1[[#This Row],[costo_antes_iva]]</f>
        <v>-350</v>
      </c>
      <c r="W327" s="3">
        <f>Tabla1[[#This Row],[OS-Valor Unitario]]*Tabla1[[#This Row],[OS-Cantidad]]</f>
        <v>132000</v>
      </c>
      <c r="X327" s="3">
        <f>Tabla1[[#This Row],[costo_antes_iva]]*Tabla1[[#This Row],[OS-Cantidad]]</f>
        <v>160000</v>
      </c>
      <c r="Y327" s="3">
        <f>Tabla1[[#This Row],[Valor total OS]]-Tabla1[[#This Row],[valor total op]]</f>
        <v>-28000</v>
      </c>
    </row>
    <row r="328" spans="1:25" x14ac:dyDescent="0.3">
      <c r="A328">
        <v>6484</v>
      </c>
      <c r="B328">
        <v>2</v>
      </c>
      <c r="C328" t="s">
        <v>768</v>
      </c>
      <c r="D328">
        <v>45</v>
      </c>
      <c r="E328" s="5">
        <v>46014.684027777781</v>
      </c>
      <c r="F328" t="s">
        <v>769</v>
      </c>
      <c r="G328" t="s">
        <v>128</v>
      </c>
      <c r="H328" t="s">
        <v>182</v>
      </c>
      <c r="I328">
        <v>1</v>
      </c>
      <c r="J328">
        <v>77658380</v>
      </c>
      <c r="K328" s="5">
        <v>46014</v>
      </c>
      <c r="L328" s="3">
        <v>12000</v>
      </c>
      <c r="M328" t="s">
        <v>762</v>
      </c>
      <c r="N328" t="s">
        <v>56</v>
      </c>
      <c r="O328" t="s">
        <v>770</v>
      </c>
      <c r="P328" s="3">
        <v>13000</v>
      </c>
      <c r="Q328">
        <v>45</v>
      </c>
      <c r="R328" t="s">
        <v>771</v>
      </c>
      <c r="S328" t="s">
        <v>765</v>
      </c>
      <c r="T328" t="s">
        <v>766</v>
      </c>
      <c r="U328" t="s">
        <v>188</v>
      </c>
      <c r="V328" s="3">
        <f>Tabla1[[#This Row],[OS-Valor Unitario]]-Tabla1[[#This Row],[costo_antes_iva]]</f>
        <v>1000</v>
      </c>
      <c r="W328" s="3">
        <f>Tabla1[[#This Row],[OS-Valor Unitario]]*Tabla1[[#This Row],[OS-Cantidad]]</f>
        <v>585000</v>
      </c>
      <c r="X328" s="3">
        <f>Tabla1[[#This Row],[costo_antes_iva]]*Tabla1[[#This Row],[OS-Cantidad]]</f>
        <v>540000</v>
      </c>
      <c r="Y328" s="3">
        <f>Tabla1[[#This Row],[Valor total OS]]-Tabla1[[#This Row],[valor total op]]</f>
        <v>45000</v>
      </c>
    </row>
    <row r="329" spans="1:25" x14ac:dyDescent="0.3">
      <c r="A329">
        <v>6484</v>
      </c>
      <c r="B329">
        <v>2</v>
      </c>
      <c r="C329" t="s">
        <v>768</v>
      </c>
      <c r="D329">
        <v>45</v>
      </c>
      <c r="E329" s="5">
        <v>46014.684027777781</v>
      </c>
      <c r="F329" t="s">
        <v>769</v>
      </c>
      <c r="G329" t="s">
        <v>128</v>
      </c>
      <c r="H329" t="s">
        <v>182</v>
      </c>
      <c r="I329">
        <v>1</v>
      </c>
      <c r="J329">
        <v>77658380</v>
      </c>
      <c r="K329" s="5">
        <v>46014</v>
      </c>
      <c r="L329" s="3">
        <v>2000</v>
      </c>
      <c r="M329" t="s">
        <v>762</v>
      </c>
      <c r="N329" t="s">
        <v>26</v>
      </c>
      <c r="O329" t="s">
        <v>770</v>
      </c>
      <c r="P329" s="3">
        <v>1650</v>
      </c>
      <c r="Q329">
        <v>45</v>
      </c>
      <c r="R329" t="s">
        <v>772</v>
      </c>
      <c r="S329" t="s">
        <v>765</v>
      </c>
      <c r="T329" t="s">
        <v>766</v>
      </c>
      <c r="U329" t="s">
        <v>188</v>
      </c>
      <c r="V329" s="3">
        <f>Tabla1[[#This Row],[OS-Valor Unitario]]-Tabla1[[#This Row],[costo_antes_iva]]</f>
        <v>-350</v>
      </c>
      <c r="W329" s="3">
        <f>Tabla1[[#This Row],[OS-Valor Unitario]]*Tabla1[[#This Row],[OS-Cantidad]]</f>
        <v>74250</v>
      </c>
      <c r="X329" s="3">
        <f>Tabla1[[#This Row],[costo_antes_iva]]*Tabla1[[#This Row],[OS-Cantidad]]</f>
        <v>90000</v>
      </c>
      <c r="Y329" s="3">
        <f>Tabla1[[#This Row],[Valor total OS]]-Tabla1[[#This Row],[valor total op]]</f>
        <v>-15750</v>
      </c>
    </row>
    <row r="330" spans="1:25" x14ac:dyDescent="0.3">
      <c r="A330">
        <v>6484</v>
      </c>
      <c r="B330">
        <v>3</v>
      </c>
      <c r="C330" t="s">
        <v>773</v>
      </c>
      <c r="D330">
        <v>40</v>
      </c>
      <c r="E330" s="5">
        <v>46014.684027777781</v>
      </c>
      <c r="F330" t="s">
        <v>774</v>
      </c>
      <c r="G330" t="s">
        <v>264</v>
      </c>
      <c r="H330" t="s">
        <v>182</v>
      </c>
      <c r="I330">
        <v>1</v>
      </c>
      <c r="J330">
        <v>77658387</v>
      </c>
      <c r="K330" s="5">
        <v>46014</v>
      </c>
      <c r="L330" s="3">
        <v>12000</v>
      </c>
      <c r="M330" t="s">
        <v>762</v>
      </c>
      <c r="N330" t="s">
        <v>56</v>
      </c>
      <c r="O330" t="s">
        <v>775</v>
      </c>
      <c r="P330" s="3">
        <v>12000</v>
      </c>
      <c r="Q330">
        <v>40</v>
      </c>
      <c r="R330" t="s">
        <v>776</v>
      </c>
      <c r="S330" t="s">
        <v>765</v>
      </c>
      <c r="T330" t="s">
        <v>766</v>
      </c>
      <c r="U330" t="s">
        <v>188</v>
      </c>
      <c r="V330" s="3">
        <f>Tabla1[[#This Row],[OS-Valor Unitario]]-Tabla1[[#This Row],[costo_antes_iva]]</f>
        <v>0</v>
      </c>
      <c r="W330" s="3">
        <f>Tabla1[[#This Row],[OS-Valor Unitario]]*Tabla1[[#This Row],[OS-Cantidad]]</f>
        <v>480000</v>
      </c>
      <c r="X330" s="3">
        <f>Tabla1[[#This Row],[costo_antes_iva]]*Tabla1[[#This Row],[OS-Cantidad]]</f>
        <v>480000</v>
      </c>
      <c r="Y330" s="3">
        <f>Tabla1[[#This Row],[Valor total OS]]-Tabla1[[#This Row],[valor total op]]</f>
        <v>0</v>
      </c>
    </row>
    <row r="331" spans="1:25" x14ac:dyDescent="0.3">
      <c r="A331">
        <v>6484</v>
      </c>
      <c r="B331">
        <v>3</v>
      </c>
      <c r="C331" t="s">
        <v>773</v>
      </c>
      <c r="D331">
        <v>40</v>
      </c>
      <c r="E331" s="5">
        <v>46014.684027777781</v>
      </c>
      <c r="F331" t="s">
        <v>774</v>
      </c>
      <c r="G331" t="s">
        <v>264</v>
      </c>
      <c r="H331" t="s">
        <v>182</v>
      </c>
      <c r="I331">
        <v>1</v>
      </c>
      <c r="J331">
        <v>77658387</v>
      </c>
      <c r="K331" s="5">
        <v>46014</v>
      </c>
      <c r="L331" s="3">
        <v>2000</v>
      </c>
      <c r="M331" t="s">
        <v>762</v>
      </c>
      <c r="N331" t="s">
        <v>26</v>
      </c>
      <c r="O331" t="s">
        <v>775</v>
      </c>
      <c r="P331" s="3">
        <v>1650</v>
      </c>
      <c r="Q331">
        <v>51</v>
      </c>
      <c r="R331" t="s">
        <v>777</v>
      </c>
      <c r="S331" t="s">
        <v>765</v>
      </c>
      <c r="T331" t="s">
        <v>766</v>
      </c>
      <c r="U331" t="s">
        <v>188</v>
      </c>
      <c r="V331" s="3">
        <f>Tabla1[[#This Row],[OS-Valor Unitario]]-Tabla1[[#This Row],[costo_antes_iva]]</f>
        <v>-350</v>
      </c>
      <c r="W331" s="3">
        <f>Tabla1[[#This Row],[OS-Valor Unitario]]*Tabla1[[#This Row],[OS-Cantidad]]</f>
        <v>84150</v>
      </c>
      <c r="X331" s="3">
        <f>Tabla1[[#This Row],[costo_antes_iva]]*Tabla1[[#This Row],[OS-Cantidad]]</f>
        <v>102000</v>
      </c>
      <c r="Y331" s="3">
        <f>Tabla1[[#This Row],[Valor total OS]]-Tabla1[[#This Row],[valor total op]]</f>
        <v>-17850</v>
      </c>
    </row>
    <row r="332" spans="1:25" x14ac:dyDescent="0.3">
      <c r="A332">
        <v>6484</v>
      </c>
      <c r="B332">
        <v>4</v>
      </c>
      <c r="C332" t="s">
        <v>778</v>
      </c>
      <c r="D332">
        <v>52</v>
      </c>
      <c r="E332" s="5">
        <v>46014.684027777781</v>
      </c>
      <c r="F332" t="s">
        <v>779</v>
      </c>
      <c r="G332" t="s">
        <v>264</v>
      </c>
      <c r="H332" t="s">
        <v>182</v>
      </c>
      <c r="I332">
        <v>1</v>
      </c>
      <c r="J332">
        <v>77658397</v>
      </c>
      <c r="K332" s="5">
        <v>46014</v>
      </c>
      <c r="L332" s="3">
        <v>12000</v>
      </c>
      <c r="M332" t="s">
        <v>762</v>
      </c>
      <c r="N332" t="s">
        <v>56</v>
      </c>
      <c r="O332" t="s">
        <v>780</v>
      </c>
      <c r="P332" s="3">
        <v>12000</v>
      </c>
      <c r="Q332">
        <v>63</v>
      </c>
      <c r="R332" t="s">
        <v>781</v>
      </c>
      <c r="S332" t="s">
        <v>765</v>
      </c>
      <c r="T332" t="s">
        <v>766</v>
      </c>
      <c r="U332" t="s">
        <v>188</v>
      </c>
      <c r="V332" s="3">
        <f>Tabla1[[#This Row],[OS-Valor Unitario]]-Tabla1[[#This Row],[costo_antes_iva]]</f>
        <v>0</v>
      </c>
      <c r="W332" s="3">
        <f>Tabla1[[#This Row],[OS-Valor Unitario]]*Tabla1[[#This Row],[OS-Cantidad]]</f>
        <v>756000</v>
      </c>
      <c r="X332" s="3">
        <f>Tabla1[[#This Row],[costo_antes_iva]]*Tabla1[[#This Row],[OS-Cantidad]]</f>
        <v>756000</v>
      </c>
      <c r="Y332" s="3">
        <f>Tabla1[[#This Row],[Valor total OS]]-Tabla1[[#This Row],[valor total op]]</f>
        <v>0</v>
      </c>
    </row>
    <row r="333" spans="1:25" x14ac:dyDescent="0.3">
      <c r="A333">
        <v>6484</v>
      </c>
      <c r="B333">
        <v>4</v>
      </c>
      <c r="C333" t="s">
        <v>778</v>
      </c>
      <c r="D333">
        <v>52</v>
      </c>
      <c r="E333" s="5">
        <v>46014.684027777781</v>
      </c>
      <c r="F333" t="s">
        <v>779</v>
      </c>
      <c r="G333" t="s">
        <v>264</v>
      </c>
      <c r="H333" t="s">
        <v>182</v>
      </c>
      <c r="I333">
        <v>1</v>
      </c>
      <c r="J333">
        <v>77658397</v>
      </c>
      <c r="K333" s="5">
        <v>46014</v>
      </c>
      <c r="L333" s="3">
        <v>2000</v>
      </c>
      <c r="M333" t="s">
        <v>762</v>
      </c>
      <c r="N333" t="s">
        <v>26</v>
      </c>
      <c r="O333" t="s">
        <v>780</v>
      </c>
      <c r="P333" s="3">
        <v>1650</v>
      </c>
      <c r="Q333">
        <v>52</v>
      </c>
      <c r="R333" t="s">
        <v>782</v>
      </c>
      <c r="S333" t="s">
        <v>765</v>
      </c>
      <c r="T333" t="s">
        <v>766</v>
      </c>
      <c r="U333" t="s">
        <v>188</v>
      </c>
      <c r="V333" s="3">
        <f>Tabla1[[#This Row],[OS-Valor Unitario]]-Tabla1[[#This Row],[costo_antes_iva]]</f>
        <v>-350</v>
      </c>
      <c r="W333" s="3">
        <f>Tabla1[[#This Row],[OS-Valor Unitario]]*Tabla1[[#This Row],[OS-Cantidad]]</f>
        <v>85800</v>
      </c>
      <c r="X333" s="3">
        <f>Tabla1[[#This Row],[costo_antes_iva]]*Tabla1[[#This Row],[OS-Cantidad]]</f>
        <v>104000</v>
      </c>
      <c r="Y333" s="3">
        <f>Tabla1[[#This Row],[Valor total OS]]-Tabla1[[#This Row],[valor total op]]</f>
        <v>-18200</v>
      </c>
    </row>
    <row r="334" spans="1:25" x14ac:dyDescent="0.3">
      <c r="A334">
        <v>6484</v>
      </c>
      <c r="B334">
        <v>5</v>
      </c>
      <c r="C334" t="s">
        <v>783</v>
      </c>
      <c r="D334">
        <v>12</v>
      </c>
      <c r="E334" s="5">
        <v>46014.684027777781</v>
      </c>
      <c r="F334" t="s">
        <v>784</v>
      </c>
      <c r="G334" t="s">
        <v>785</v>
      </c>
      <c r="H334" t="s">
        <v>182</v>
      </c>
      <c r="I334">
        <v>1</v>
      </c>
      <c r="J334">
        <v>77658407</v>
      </c>
      <c r="K334" s="5">
        <v>46014</v>
      </c>
      <c r="L334" s="3">
        <v>12000</v>
      </c>
      <c r="M334" t="s">
        <v>762</v>
      </c>
      <c r="N334" t="s">
        <v>56</v>
      </c>
      <c r="O334" t="s">
        <v>786</v>
      </c>
      <c r="P334" s="3">
        <v>13500</v>
      </c>
      <c r="Q334">
        <v>14</v>
      </c>
      <c r="R334" t="s">
        <v>787</v>
      </c>
      <c r="S334" t="s">
        <v>765</v>
      </c>
      <c r="T334" t="s">
        <v>766</v>
      </c>
      <c r="U334" t="s">
        <v>188</v>
      </c>
      <c r="V334" s="3">
        <f>Tabla1[[#This Row],[OS-Valor Unitario]]-Tabla1[[#This Row],[costo_antes_iva]]</f>
        <v>1500</v>
      </c>
      <c r="W334" s="3">
        <f>Tabla1[[#This Row],[OS-Valor Unitario]]*Tabla1[[#This Row],[OS-Cantidad]]</f>
        <v>189000</v>
      </c>
      <c r="X334" s="3">
        <f>Tabla1[[#This Row],[costo_antes_iva]]*Tabla1[[#This Row],[OS-Cantidad]]</f>
        <v>168000</v>
      </c>
      <c r="Y334" s="3">
        <f>Tabla1[[#This Row],[Valor total OS]]-Tabla1[[#This Row],[valor total op]]</f>
        <v>21000</v>
      </c>
    </row>
    <row r="335" spans="1:25" x14ac:dyDescent="0.3">
      <c r="A335">
        <v>6484</v>
      </c>
      <c r="B335">
        <v>5</v>
      </c>
      <c r="C335" t="s">
        <v>783</v>
      </c>
      <c r="D335">
        <v>12</v>
      </c>
      <c r="E335" s="5">
        <v>46014.684027777781</v>
      </c>
      <c r="F335" t="s">
        <v>784</v>
      </c>
      <c r="G335" t="s">
        <v>785</v>
      </c>
      <c r="H335" t="s">
        <v>182</v>
      </c>
      <c r="I335">
        <v>1</v>
      </c>
      <c r="J335">
        <v>77658407</v>
      </c>
      <c r="K335" s="5">
        <v>46014</v>
      </c>
      <c r="L335" s="3">
        <v>2000</v>
      </c>
      <c r="M335" t="s">
        <v>762</v>
      </c>
      <c r="N335" t="s">
        <v>26</v>
      </c>
      <c r="O335" t="s">
        <v>786</v>
      </c>
      <c r="P335" s="3">
        <v>1650</v>
      </c>
      <c r="Q335">
        <v>14</v>
      </c>
      <c r="R335" t="s">
        <v>788</v>
      </c>
      <c r="S335" t="s">
        <v>765</v>
      </c>
      <c r="T335" t="s">
        <v>766</v>
      </c>
      <c r="U335" t="s">
        <v>188</v>
      </c>
      <c r="V335" s="3">
        <f>Tabla1[[#This Row],[OS-Valor Unitario]]-Tabla1[[#This Row],[costo_antes_iva]]</f>
        <v>-350</v>
      </c>
      <c r="W335" s="3">
        <f>Tabla1[[#This Row],[OS-Valor Unitario]]*Tabla1[[#This Row],[OS-Cantidad]]</f>
        <v>23100</v>
      </c>
      <c r="X335" s="3">
        <f>Tabla1[[#This Row],[costo_antes_iva]]*Tabla1[[#This Row],[OS-Cantidad]]</f>
        <v>28000</v>
      </c>
      <c r="Y335" s="3">
        <f>Tabla1[[#This Row],[Valor total OS]]-Tabla1[[#This Row],[valor total op]]</f>
        <v>-4900</v>
      </c>
    </row>
    <row r="336" spans="1:25" x14ac:dyDescent="0.3">
      <c r="A336">
        <v>6452</v>
      </c>
      <c r="B336">
        <v>1</v>
      </c>
      <c r="C336" t="s">
        <v>789</v>
      </c>
      <c r="D336">
        <v>11</v>
      </c>
      <c r="E336" s="5">
        <v>45996.474999999999</v>
      </c>
      <c r="F336" t="s">
        <v>790</v>
      </c>
      <c r="G336" t="s">
        <v>791</v>
      </c>
      <c r="H336" t="s">
        <v>792</v>
      </c>
      <c r="I336">
        <v>11</v>
      </c>
      <c r="J336">
        <v>75989815</v>
      </c>
      <c r="K336" s="5">
        <v>45986</v>
      </c>
      <c r="L336" s="3">
        <v>20000</v>
      </c>
      <c r="M336" t="s">
        <v>793</v>
      </c>
      <c r="N336" t="s">
        <v>56</v>
      </c>
      <c r="O336" t="s">
        <v>794</v>
      </c>
      <c r="P336" s="3">
        <v>20000</v>
      </c>
      <c r="Q336">
        <v>11</v>
      </c>
      <c r="R336" t="s">
        <v>795</v>
      </c>
      <c r="S336" t="s">
        <v>796</v>
      </c>
      <c r="T336" t="s">
        <v>797</v>
      </c>
      <c r="U336" t="s">
        <v>596</v>
      </c>
      <c r="V336" s="3">
        <f>Tabla1[[#This Row],[OS-Valor Unitario]]-Tabla1[[#This Row],[costo_antes_iva]]</f>
        <v>0</v>
      </c>
      <c r="W336" s="3">
        <f>Tabla1[[#This Row],[OS-Valor Unitario]]*Tabla1[[#This Row],[OS-Cantidad]]</f>
        <v>220000</v>
      </c>
      <c r="X336" s="3">
        <f>Tabla1[[#This Row],[costo_antes_iva]]*Tabla1[[#This Row],[OS-Cantidad]]</f>
        <v>220000</v>
      </c>
      <c r="Y336" s="3">
        <f>Tabla1[[#This Row],[Valor total OS]]-Tabla1[[#This Row],[valor total op]]</f>
        <v>0</v>
      </c>
    </row>
    <row r="337" spans="1:25" x14ac:dyDescent="0.3">
      <c r="A337">
        <v>6452</v>
      </c>
      <c r="B337">
        <v>1</v>
      </c>
      <c r="C337" t="s">
        <v>789</v>
      </c>
      <c r="D337">
        <v>11</v>
      </c>
      <c r="E337" s="5">
        <v>45996.474999999999</v>
      </c>
      <c r="F337" t="s">
        <v>790</v>
      </c>
      <c r="G337" t="s">
        <v>791</v>
      </c>
      <c r="H337" t="s">
        <v>792</v>
      </c>
      <c r="I337">
        <v>11</v>
      </c>
      <c r="J337">
        <v>75989815</v>
      </c>
      <c r="K337" s="5">
        <v>45986</v>
      </c>
      <c r="L337" s="3">
        <v>7500</v>
      </c>
      <c r="M337" t="s">
        <v>793</v>
      </c>
      <c r="N337" t="s">
        <v>72</v>
      </c>
      <c r="O337" t="s">
        <v>794</v>
      </c>
      <c r="P337" s="3">
        <v>2500</v>
      </c>
      <c r="Q337">
        <v>11</v>
      </c>
      <c r="R337" t="s">
        <v>798</v>
      </c>
      <c r="S337" t="s">
        <v>796</v>
      </c>
      <c r="T337" t="s">
        <v>797</v>
      </c>
      <c r="U337" t="s">
        <v>596</v>
      </c>
      <c r="V337" s="3">
        <f>Tabla1[[#This Row],[OS-Valor Unitario]]-Tabla1[[#This Row],[costo_antes_iva]]</f>
        <v>-5000</v>
      </c>
      <c r="W337" s="3">
        <f>Tabla1[[#This Row],[OS-Valor Unitario]]*Tabla1[[#This Row],[OS-Cantidad]]</f>
        <v>27500</v>
      </c>
      <c r="X337" s="3">
        <f>Tabla1[[#This Row],[costo_antes_iva]]*Tabla1[[#This Row],[OS-Cantidad]]</f>
        <v>82500</v>
      </c>
      <c r="Y337" s="3">
        <f>Tabla1[[#This Row],[Valor total OS]]-Tabla1[[#This Row],[valor total op]]</f>
        <v>-55000</v>
      </c>
    </row>
    <row r="338" spans="1:25" x14ac:dyDescent="0.3">
      <c r="A338">
        <v>6439</v>
      </c>
      <c r="B338">
        <v>1</v>
      </c>
      <c r="C338" t="s">
        <v>799</v>
      </c>
      <c r="D338">
        <v>6</v>
      </c>
      <c r="E338" s="5">
        <v>45992.59375</v>
      </c>
      <c r="F338" t="s">
        <v>800</v>
      </c>
      <c r="G338" t="s">
        <v>801</v>
      </c>
      <c r="H338" t="s">
        <v>182</v>
      </c>
      <c r="I338">
        <v>0</v>
      </c>
      <c r="J338">
        <v>76369058</v>
      </c>
      <c r="K338" s="5">
        <v>45989</v>
      </c>
      <c r="L338" s="3">
        <v>7000</v>
      </c>
      <c r="M338" t="s">
        <v>802</v>
      </c>
      <c r="N338" t="s">
        <v>56</v>
      </c>
      <c r="O338" t="s">
        <v>803</v>
      </c>
      <c r="P338" s="3">
        <v>8500</v>
      </c>
      <c r="Q338">
        <v>6</v>
      </c>
      <c r="R338" t="s">
        <v>804</v>
      </c>
      <c r="S338" t="s">
        <v>805</v>
      </c>
      <c r="T338" t="s">
        <v>806</v>
      </c>
      <c r="U338" t="s">
        <v>188</v>
      </c>
      <c r="V338" s="3">
        <f>Tabla1[[#This Row],[OS-Valor Unitario]]-Tabla1[[#This Row],[costo_antes_iva]]</f>
        <v>1500</v>
      </c>
      <c r="W338" s="3">
        <f>Tabla1[[#This Row],[OS-Valor Unitario]]*Tabla1[[#This Row],[OS-Cantidad]]</f>
        <v>51000</v>
      </c>
      <c r="X338" s="3">
        <f>Tabla1[[#This Row],[costo_antes_iva]]*Tabla1[[#This Row],[OS-Cantidad]]</f>
        <v>42000</v>
      </c>
      <c r="Y338" s="3">
        <f>Tabla1[[#This Row],[Valor total OS]]-Tabla1[[#This Row],[valor total op]]</f>
        <v>9000</v>
      </c>
    </row>
    <row r="339" spans="1:25" x14ac:dyDescent="0.3">
      <c r="A339">
        <v>6439</v>
      </c>
      <c r="B339">
        <v>2</v>
      </c>
      <c r="C339" t="s">
        <v>807</v>
      </c>
      <c r="D339">
        <v>12</v>
      </c>
      <c r="E339" s="5">
        <v>45992.59375</v>
      </c>
      <c r="F339" t="s">
        <v>808</v>
      </c>
      <c r="G339" t="s">
        <v>809</v>
      </c>
      <c r="H339" t="s">
        <v>182</v>
      </c>
      <c r="I339">
        <v>0</v>
      </c>
      <c r="J339">
        <v>76369089</v>
      </c>
      <c r="K339" s="5">
        <v>45989</v>
      </c>
      <c r="L339" s="3">
        <v>7000</v>
      </c>
      <c r="M339" t="s">
        <v>802</v>
      </c>
      <c r="N339" t="s">
        <v>56</v>
      </c>
      <c r="O339" t="s">
        <v>810</v>
      </c>
      <c r="P339" s="3">
        <v>5500</v>
      </c>
      <c r="Q339">
        <v>12</v>
      </c>
      <c r="R339" t="s">
        <v>811</v>
      </c>
      <c r="S339" t="s">
        <v>805</v>
      </c>
      <c r="T339" t="s">
        <v>806</v>
      </c>
      <c r="U339" t="s">
        <v>188</v>
      </c>
      <c r="V339" s="3">
        <f>Tabla1[[#This Row],[OS-Valor Unitario]]-Tabla1[[#This Row],[costo_antes_iva]]</f>
        <v>-1500</v>
      </c>
      <c r="W339" s="3">
        <f>Tabla1[[#This Row],[OS-Valor Unitario]]*Tabla1[[#This Row],[OS-Cantidad]]</f>
        <v>66000</v>
      </c>
      <c r="X339" s="3">
        <f>Tabla1[[#This Row],[costo_antes_iva]]*Tabla1[[#This Row],[OS-Cantidad]]</f>
        <v>84000</v>
      </c>
      <c r="Y339" s="3">
        <f>Tabla1[[#This Row],[Valor total OS]]-Tabla1[[#This Row],[valor total op]]</f>
        <v>-18000</v>
      </c>
    </row>
    <row r="340" spans="1:25" x14ac:dyDescent="0.3">
      <c r="A340">
        <v>6439</v>
      </c>
      <c r="B340">
        <v>3</v>
      </c>
      <c r="C340" t="s">
        <v>812</v>
      </c>
      <c r="D340">
        <v>18</v>
      </c>
      <c r="E340" s="5">
        <v>45992.59375</v>
      </c>
      <c r="F340" t="s">
        <v>813</v>
      </c>
      <c r="G340" t="s">
        <v>355</v>
      </c>
      <c r="H340" t="s">
        <v>182</v>
      </c>
      <c r="I340">
        <v>0</v>
      </c>
      <c r="J340">
        <v>76369153</v>
      </c>
      <c r="K340" s="5">
        <v>45989</v>
      </c>
      <c r="L340" s="3">
        <v>6000</v>
      </c>
      <c r="M340" t="s">
        <v>802</v>
      </c>
      <c r="N340" t="s">
        <v>56</v>
      </c>
      <c r="O340" t="s">
        <v>814</v>
      </c>
      <c r="P340" s="3">
        <v>5000</v>
      </c>
      <c r="Q340">
        <v>18</v>
      </c>
      <c r="R340" t="s">
        <v>815</v>
      </c>
      <c r="S340" t="s">
        <v>805</v>
      </c>
      <c r="T340" t="s">
        <v>806</v>
      </c>
      <c r="U340" t="s">
        <v>188</v>
      </c>
      <c r="V340" s="3">
        <f>Tabla1[[#This Row],[OS-Valor Unitario]]-Tabla1[[#This Row],[costo_antes_iva]]</f>
        <v>-1000</v>
      </c>
      <c r="W340" s="3">
        <f>Tabla1[[#This Row],[OS-Valor Unitario]]*Tabla1[[#This Row],[OS-Cantidad]]</f>
        <v>90000</v>
      </c>
      <c r="X340" s="3">
        <f>Tabla1[[#This Row],[costo_antes_iva]]*Tabla1[[#This Row],[OS-Cantidad]]</f>
        <v>108000</v>
      </c>
      <c r="Y340" s="3">
        <f>Tabla1[[#This Row],[Valor total OS]]-Tabla1[[#This Row],[valor total op]]</f>
        <v>-18000</v>
      </c>
    </row>
    <row r="341" spans="1:25" x14ac:dyDescent="0.3">
      <c r="A341">
        <v>6439</v>
      </c>
      <c r="B341">
        <v>4</v>
      </c>
      <c r="C341" t="s">
        <v>816</v>
      </c>
      <c r="D341">
        <v>2</v>
      </c>
      <c r="E341" s="5">
        <v>45992.59375</v>
      </c>
      <c r="F341" t="s">
        <v>817</v>
      </c>
      <c r="G341" t="s">
        <v>818</v>
      </c>
      <c r="H341" t="s">
        <v>182</v>
      </c>
      <c r="I341">
        <v>0</v>
      </c>
      <c r="J341">
        <v>76369204</v>
      </c>
      <c r="K341" s="5">
        <v>45989</v>
      </c>
      <c r="L341" s="3">
        <v>17000</v>
      </c>
      <c r="M341" t="s">
        <v>802</v>
      </c>
      <c r="N341" t="s">
        <v>56</v>
      </c>
      <c r="O341" t="s">
        <v>819</v>
      </c>
      <c r="P341" s="3">
        <v>17500</v>
      </c>
      <c r="Q341">
        <v>2</v>
      </c>
      <c r="R341" t="s">
        <v>820</v>
      </c>
      <c r="S341" t="s">
        <v>805</v>
      </c>
      <c r="T341" t="s">
        <v>806</v>
      </c>
      <c r="U341" t="s">
        <v>188</v>
      </c>
      <c r="V341" s="3">
        <f>Tabla1[[#This Row],[OS-Valor Unitario]]-Tabla1[[#This Row],[costo_antes_iva]]</f>
        <v>500</v>
      </c>
      <c r="W341" s="3">
        <f>Tabla1[[#This Row],[OS-Valor Unitario]]*Tabla1[[#This Row],[OS-Cantidad]]</f>
        <v>35000</v>
      </c>
      <c r="X341" s="3">
        <f>Tabla1[[#This Row],[costo_antes_iva]]*Tabla1[[#This Row],[OS-Cantidad]]</f>
        <v>34000</v>
      </c>
      <c r="Y341" s="3">
        <f>Tabla1[[#This Row],[Valor total OS]]-Tabla1[[#This Row],[valor total op]]</f>
        <v>1000</v>
      </c>
    </row>
    <row r="342" spans="1:25" x14ac:dyDescent="0.3">
      <c r="A342">
        <v>6439</v>
      </c>
      <c r="B342">
        <v>4</v>
      </c>
      <c r="C342" t="s">
        <v>816</v>
      </c>
      <c r="D342">
        <v>2</v>
      </c>
      <c r="E342" s="5">
        <v>45992.59375</v>
      </c>
      <c r="F342" t="s">
        <v>817</v>
      </c>
      <c r="G342" t="s">
        <v>818</v>
      </c>
      <c r="H342" t="s">
        <v>182</v>
      </c>
      <c r="I342">
        <v>0</v>
      </c>
      <c r="J342">
        <v>76369204</v>
      </c>
      <c r="K342" s="5">
        <v>45989</v>
      </c>
      <c r="L342" s="3">
        <v>1600</v>
      </c>
      <c r="M342" t="s">
        <v>802</v>
      </c>
      <c r="N342" t="s">
        <v>26</v>
      </c>
      <c r="O342" t="s">
        <v>819</v>
      </c>
      <c r="P342" s="3">
        <v>1400</v>
      </c>
      <c r="Q342">
        <v>2</v>
      </c>
      <c r="R342" t="s">
        <v>821</v>
      </c>
      <c r="S342" t="s">
        <v>805</v>
      </c>
      <c r="T342" t="s">
        <v>806</v>
      </c>
      <c r="U342" t="s">
        <v>188</v>
      </c>
      <c r="V342" s="3">
        <f>Tabla1[[#This Row],[OS-Valor Unitario]]-Tabla1[[#This Row],[costo_antes_iva]]</f>
        <v>-200</v>
      </c>
      <c r="W342" s="3">
        <f>Tabla1[[#This Row],[OS-Valor Unitario]]*Tabla1[[#This Row],[OS-Cantidad]]</f>
        <v>2800</v>
      </c>
      <c r="X342" s="3">
        <f>Tabla1[[#This Row],[costo_antes_iva]]*Tabla1[[#This Row],[OS-Cantidad]]</f>
        <v>3200</v>
      </c>
      <c r="Y342" s="3">
        <f>Tabla1[[#This Row],[Valor total OS]]-Tabla1[[#This Row],[valor total op]]</f>
        <v>-400</v>
      </c>
    </row>
    <row r="343" spans="1:25" x14ac:dyDescent="0.3">
      <c r="A343">
        <v>6439</v>
      </c>
      <c r="B343">
        <v>5</v>
      </c>
      <c r="C343" t="s">
        <v>822</v>
      </c>
      <c r="D343">
        <v>70</v>
      </c>
      <c r="E343" s="5">
        <v>45992.59375</v>
      </c>
      <c r="F343" t="s">
        <v>823</v>
      </c>
      <c r="G343" t="s">
        <v>824</v>
      </c>
      <c r="H343" t="s">
        <v>182</v>
      </c>
      <c r="I343">
        <v>0</v>
      </c>
      <c r="J343">
        <v>76369395</v>
      </c>
      <c r="K343" s="5">
        <v>45989</v>
      </c>
      <c r="L343" s="3">
        <v>3500</v>
      </c>
      <c r="M343" t="s">
        <v>802</v>
      </c>
      <c r="N343" t="s">
        <v>56</v>
      </c>
      <c r="O343" t="s">
        <v>825</v>
      </c>
      <c r="P343" s="3">
        <v>3000</v>
      </c>
      <c r="Q343">
        <v>72</v>
      </c>
      <c r="R343" t="s">
        <v>826</v>
      </c>
      <c r="S343" t="s">
        <v>805</v>
      </c>
      <c r="T343" t="s">
        <v>806</v>
      </c>
      <c r="U343" t="s">
        <v>188</v>
      </c>
      <c r="V343" s="3">
        <f>Tabla1[[#This Row],[OS-Valor Unitario]]-Tabla1[[#This Row],[costo_antes_iva]]</f>
        <v>-500</v>
      </c>
      <c r="W343" s="3">
        <f>Tabla1[[#This Row],[OS-Valor Unitario]]*Tabla1[[#This Row],[OS-Cantidad]]</f>
        <v>216000</v>
      </c>
      <c r="X343" s="3">
        <f>Tabla1[[#This Row],[costo_antes_iva]]*Tabla1[[#This Row],[OS-Cantidad]]</f>
        <v>252000</v>
      </c>
      <c r="Y343" s="3">
        <f>Tabla1[[#This Row],[Valor total OS]]-Tabla1[[#This Row],[valor total op]]</f>
        <v>-36000</v>
      </c>
    </row>
    <row r="344" spans="1:25" x14ac:dyDescent="0.3">
      <c r="A344">
        <v>6439</v>
      </c>
      <c r="B344">
        <v>6</v>
      </c>
      <c r="C344" t="s">
        <v>827</v>
      </c>
      <c r="D344">
        <v>21</v>
      </c>
      <c r="E344" s="5">
        <v>45992.59375</v>
      </c>
      <c r="F344" t="s">
        <v>828</v>
      </c>
      <c r="G344" t="s">
        <v>368</v>
      </c>
      <c r="H344" t="s">
        <v>182</v>
      </c>
      <c r="I344">
        <v>0</v>
      </c>
      <c r="J344">
        <v>76369423</v>
      </c>
      <c r="K344" s="5">
        <v>45989</v>
      </c>
      <c r="L344" s="3">
        <v>1500</v>
      </c>
      <c r="M344" t="s">
        <v>802</v>
      </c>
      <c r="N344" t="s">
        <v>56</v>
      </c>
      <c r="O344" t="s">
        <v>829</v>
      </c>
      <c r="P344" s="3">
        <v>1500</v>
      </c>
      <c r="Q344">
        <v>23</v>
      </c>
      <c r="R344" t="s">
        <v>830</v>
      </c>
      <c r="S344" t="s">
        <v>805</v>
      </c>
      <c r="T344" t="s">
        <v>806</v>
      </c>
      <c r="U344" t="s">
        <v>188</v>
      </c>
      <c r="V344" s="3">
        <f>Tabla1[[#This Row],[OS-Valor Unitario]]-Tabla1[[#This Row],[costo_antes_iva]]</f>
        <v>0</v>
      </c>
      <c r="W344" s="3">
        <f>Tabla1[[#This Row],[OS-Valor Unitario]]*Tabla1[[#This Row],[OS-Cantidad]]</f>
        <v>34500</v>
      </c>
      <c r="X344" s="3">
        <f>Tabla1[[#This Row],[costo_antes_iva]]*Tabla1[[#This Row],[OS-Cantidad]]</f>
        <v>34500</v>
      </c>
      <c r="Y344" s="3">
        <f>Tabla1[[#This Row],[Valor total OS]]-Tabla1[[#This Row],[valor total op]]</f>
        <v>0</v>
      </c>
    </row>
    <row r="345" spans="1:25" x14ac:dyDescent="0.3">
      <c r="A345">
        <v>6439</v>
      </c>
      <c r="B345">
        <v>7</v>
      </c>
      <c r="C345" t="s">
        <v>831</v>
      </c>
      <c r="D345">
        <v>70</v>
      </c>
      <c r="E345" s="5">
        <v>45992.59375</v>
      </c>
      <c r="F345" t="s">
        <v>832</v>
      </c>
      <c r="G345" t="s">
        <v>833</v>
      </c>
      <c r="H345" t="s">
        <v>182</v>
      </c>
      <c r="I345">
        <v>0</v>
      </c>
      <c r="J345">
        <v>76369464</v>
      </c>
      <c r="K345" s="5">
        <v>45989</v>
      </c>
      <c r="L345" s="3">
        <v>2000</v>
      </c>
      <c r="M345" t="s">
        <v>802</v>
      </c>
      <c r="N345" t="s">
        <v>56</v>
      </c>
      <c r="O345" t="s">
        <v>834</v>
      </c>
      <c r="P345" s="3">
        <v>5500</v>
      </c>
      <c r="Q345">
        <v>80</v>
      </c>
      <c r="R345" t="s">
        <v>835</v>
      </c>
      <c r="S345" t="s">
        <v>805</v>
      </c>
      <c r="T345" t="s">
        <v>806</v>
      </c>
      <c r="U345" t="s">
        <v>188</v>
      </c>
      <c r="V345" s="3">
        <f>Tabla1[[#This Row],[OS-Valor Unitario]]-Tabla1[[#This Row],[costo_antes_iva]]</f>
        <v>3500</v>
      </c>
      <c r="W345" s="3">
        <f>Tabla1[[#This Row],[OS-Valor Unitario]]*Tabla1[[#This Row],[OS-Cantidad]]</f>
        <v>440000</v>
      </c>
      <c r="X345" s="3">
        <f>Tabla1[[#This Row],[costo_antes_iva]]*Tabla1[[#This Row],[OS-Cantidad]]</f>
        <v>160000</v>
      </c>
      <c r="Y345" s="3">
        <f>Tabla1[[#This Row],[Valor total OS]]-Tabla1[[#This Row],[valor total op]]</f>
        <v>280000</v>
      </c>
    </row>
    <row r="346" spans="1:25" x14ac:dyDescent="0.3">
      <c r="A346">
        <v>6439</v>
      </c>
      <c r="B346">
        <v>8</v>
      </c>
      <c r="C346" t="s">
        <v>836</v>
      </c>
      <c r="D346">
        <v>18</v>
      </c>
      <c r="E346" s="5">
        <v>45992.59375</v>
      </c>
      <c r="F346" t="s">
        <v>837</v>
      </c>
      <c r="G346" t="s">
        <v>181</v>
      </c>
      <c r="H346" t="s">
        <v>182</v>
      </c>
      <c r="I346">
        <v>0</v>
      </c>
      <c r="J346">
        <v>76369558</v>
      </c>
      <c r="K346" s="5">
        <v>45989</v>
      </c>
      <c r="L346" s="3">
        <v>700</v>
      </c>
      <c r="M346" t="s">
        <v>802</v>
      </c>
      <c r="N346" t="s">
        <v>26</v>
      </c>
      <c r="O346" t="s">
        <v>838</v>
      </c>
      <c r="P346" s="3">
        <v>700</v>
      </c>
      <c r="Q346">
        <v>18</v>
      </c>
      <c r="R346" t="s">
        <v>839</v>
      </c>
      <c r="S346" t="s">
        <v>805</v>
      </c>
      <c r="T346" t="s">
        <v>806</v>
      </c>
      <c r="U346" t="s">
        <v>188</v>
      </c>
      <c r="V346" s="3">
        <f>Tabla1[[#This Row],[OS-Valor Unitario]]-Tabla1[[#This Row],[costo_antes_iva]]</f>
        <v>0</v>
      </c>
      <c r="W346" s="3">
        <f>Tabla1[[#This Row],[OS-Valor Unitario]]*Tabla1[[#This Row],[OS-Cantidad]]</f>
        <v>12600</v>
      </c>
      <c r="X346" s="3">
        <f>Tabla1[[#This Row],[costo_antes_iva]]*Tabla1[[#This Row],[OS-Cantidad]]</f>
        <v>12600</v>
      </c>
      <c r="Y346" s="3">
        <f>Tabla1[[#This Row],[Valor total OS]]-Tabla1[[#This Row],[valor total op]]</f>
        <v>0</v>
      </c>
    </row>
    <row r="347" spans="1:25" x14ac:dyDescent="0.3">
      <c r="A347">
        <v>6439</v>
      </c>
      <c r="B347">
        <v>8</v>
      </c>
      <c r="C347" t="s">
        <v>836</v>
      </c>
      <c r="D347">
        <v>18</v>
      </c>
      <c r="E347" s="5">
        <v>45992.59375</v>
      </c>
      <c r="F347" t="s">
        <v>837</v>
      </c>
      <c r="G347" t="s">
        <v>181</v>
      </c>
      <c r="H347" t="s">
        <v>182</v>
      </c>
      <c r="I347">
        <v>0</v>
      </c>
      <c r="J347">
        <v>76369558</v>
      </c>
      <c r="K347" s="5">
        <v>45989</v>
      </c>
      <c r="L347" s="3">
        <v>4500</v>
      </c>
      <c r="M347" t="s">
        <v>802</v>
      </c>
      <c r="N347" t="s">
        <v>56</v>
      </c>
      <c r="O347" t="s">
        <v>838</v>
      </c>
      <c r="P347" s="3">
        <v>5000</v>
      </c>
      <c r="Q347">
        <v>18</v>
      </c>
      <c r="R347" t="s">
        <v>840</v>
      </c>
      <c r="S347" t="s">
        <v>805</v>
      </c>
      <c r="T347" t="s">
        <v>806</v>
      </c>
      <c r="U347" t="s">
        <v>188</v>
      </c>
      <c r="V347" s="3">
        <f>Tabla1[[#This Row],[OS-Valor Unitario]]-Tabla1[[#This Row],[costo_antes_iva]]</f>
        <v>500</v>
      </c>
      <c r="W347" s="3">
        <f>Tabla1[[#This Row],[OS-Valor Unitario]]*Tabla1[[#This Row],[OS-Cantidad]]</f>
        <v>90000</v>
      </c>
      <c r="X347" s="3">
        <f>Tabla1[[#This Row],[costo_antes_iva]]*Tabla1[[#This Row],[OS-Cantidad]]</f>
        <v>81000</v>
      </c>
      <c r="Y347" s="3">
        <f>Tabla1[[#This Row],[Valor total OS]]-Tabla1[[#This Row],[valor total op]]</f>
        <v>9000</v>
      </c>
    </row>
    <row r="348" spans="1:25" x14ac:dyDescent="0.3">
      <c r="A348">
        <v>6439</v>
      </c>
      <c r="B348">
        <v>9</v>
      </c>
      <c r="C348" t="s">
        <v>841</v>
      </c>
      <c r="D348">
        <v>35</v>
      </c>
      <c r="E348" s="5">
        <v>45992.59375</v>
      </c>
      <c r="F348" t="s">
        <v>842</v>
      </c>
      <c r="G348" t="s">
        <v>294</v>
      </c>
      <c r="H348" t="s">
        <v>182</v>
      </c>
      <c r="I348">
        <v>0</v>
      </c>
      <c r="J348">
        <v>76369581</v>
      </c>
      <c r="K348" s="5">
        <v>45989</v>
      </c>
      <c r="L348" s="3">
        <v>4500</v>
      </c>
      <c r="M348" t="s">
        <v>802</v>
      </c>
      <c r="N348" t="s">
        <v>56</v>
      </c>
      <c r="O348" t="s">
        <v>843</v>
      </c>
      <c r="P348" s="3">
        <v>5500</v>
      </c>
      <c r="Q348">
        <v>35</v>
      </c>
      <c r="R348" t="s">
        <v>844</v>
      </c>
      <c r="S348" t="s">
        <v>805</v>
      </c>
      <c r="T348" t="s">
        <v>806</v>
      </c>
      <c r="U348" t="s">
        <v>188</v>
      </c>
      <c r="V348" s="3">
        <f>Tabla1[[#This Row],[OS-Valor Unitario]]-Tabla1[[#This Row],[costo_antes_iva]]</f>
        <v>1000</v>
      </c>
      <c r="W348" s="3">
        <f>Tabla1[[#This Row],[OS-Valor Unitario]]*Tabla1[[#This Row],[OS-Cantidad]]</f>
        <v>192500</v>
      </c>
      <c r="X348" s="3">
        <f>Tabla1[[#This Row],[costo_antes_iva]]*Tabla1[[#This Row],[OS-Cantidad]]</f>
        <v>157500</v>
      </c>
      <c r="Y348" s="3">
        <f>Tabla1[[#This Row],[Valor total OS]]-Tabla1[[#This Row],[valor total op]]</f>
        <v>35000</v>
      </c>
    </row>
    <row r="349" spans="1:25" x14ac:dyDescent="0.3">
      <c r="A349">
        <v>6439</v>
      </c>
      <c r="B349">
        <v>11</v>
      </c>
      <c r="C349" t="s">
        <v>845</v>
      </c>
      <c r="D349">
        <v>2</v>
      </c>
      <c r="E349" s="5">
        <v>45992.59375</v>
      </c>
      <c r="F349" t="s">
        <v>846</v>
      </c>
      <c r="G349" t="s">
        <v>818</v>
      </c>
      <c r="H349" t="s">
        <v>182</v>
      </c>
      <c r="I349">
        <v>0</v>
      </c>
      <c r="J349">
        <v>76369814</v>
      </c>
      <c r="K349" s="5">
        <v>45989</v>
      </c>
      <c r="L349" s="3">
        <v>1600</v>
      </c>
      <c r="M349" t="s">
        <v>802</v>
      </c>
      <c r="N349" t="s">
        <v>26</v>
      </c>
      <c r="O349" t="s">
        <v>847</v>
      </c>
      <c r="P349" s="3">
        <v>1400</v>
      </c>
      <c r="Q349">
        <v>2</v>
      </c>
      <c r="R349" t="s">
        <v>848</v>
      </c>
      <c r="S349" t="s">
        <v>805</v>
      </c>
      <c r="T349" t="s">
        <v>806</v>
      </c>
      <c r="U349" t="s">
        <v>188</v>
      </c>
      <c r="V349" s="3">
        <f>Tabla1[[#This Row],[OS-Valor Unitario]]-Tabla1[[#This Row],[costo_antes_iva]]</f>
        <v>-200</v>
      </c>
      <c r="W349" s="3">
        <f>Tabla1[[#This Row],[OS-Valor Unitario]]*Tabla1[[#This Row],[OS-Cantidad]]</f>
        <v>2800</v>
      </c>
      <c r="X349" s="3">
        <f>Tabla1[[#This Row],[costo_antes_iva]]*Tabla1[[#This Row],[OS-Cantidad]]</f>
        <v>3200</v>
      </c>
      <c r="Y349" s="3">
        <f>Tabla1[[#This Row],[Valor total OS]]-Tabla1[[#This Row],[valor total op]]</f>
        <v>-400</v>
      </c>
    </row>
    <row r="350" spans="1:25" x14ac:dyDescent="0.3">
      <c r="A350">
        <v>6439</v>
      </c>
      <c r="B350">
        <v>12</v>
      </c>
      <c r="C350" t="s">
        <v>849</v>
      </c>
      <c r="D350">
        <v>2</v>
      </c>
      <c r="E350" s="5">
        <v>45992.59375</v>
      </c>
      <c r="F350" t="s">
        <v>850</v>
      </c>
      <c r="G350" t="s">
        <v>818</v>
      </c>
      <c r="H350" t="s">
        <v>182</v>
      </c>
      <c r="I350">
        <v>0</v>
      </c>
      <c r="J350">
        <v>76369864</v>
      </c>
      <c r="K350" s="5">
        <v>45989</v>
      </c>
      <c r="L350" s="3">
        <v>17000</v>
      </c>
      <c r="M350" t="s">
        <v>802</v>
      </c>
      <c r="N350" t="s">
        <v>56</v>
      </c>
      <c r="O350" t="s">
        <v>851</v>
      </c>
      <c r="P350" s="3">
        <v>17500</v>
      </c>
      <c r="Q350">
        <v>2</v>
      </c>
      <c r="R350" t="s">
        <v>852</v>
      </c>
      <c r="S350" t="s">
        <v>805</v>
      </c>
      <c r="T350" t="s">
        <v>806</v>
      </c>
      <c r="U350" t="s">
        <v>188</v>
      </c>
      <c r="V350" s="3">
        <f>Tabla1[[#This Row],[OS-Valor Unitario]]-Tabla1[[#This Row],[costo_antes_iva]]</f>
        <v>500</v>
      </c>
      <c r="W350" s="3">
        <f>Tabla1[[#This Row],[OS-Valor Unitario]]*Tabla1[[#This Row],[OS-Cantidad]]</f>
        <v>35000</v>
      </c>
      <c r="X350" s="3">
        <f>Tabla1[[#This Row],[costo_antes_iva]]*Tabla1[[#This Row],[OS-Cantidad]]</f>
        <v>34000</v>
      </c>
      <c r="Y350" s="3">
        <f>Tabla1[[#This Row],[Valor total OS]]-Tabla1[[#This Row],[valor total op]]</f>
        <v>1000</v>
      </c>
    </row>
    <row r="351" spans="1:25" x14ac:dyDescent="0.3">
      <c r="A351">
        <v>6439</v>
      </c>
      <c r="B351">
        <v>12</v>
      </c>
      <c r="C351" t="s">
        <v>849</v>
      </c>
      <c r="D351">
        <v>2</v>
      </c>
      <c r="E351" s="5">
        <v>45992.59375</v>
      </c>
      <c r="F351" t="s">
        <v>850</v>
      </c>
      <c r="G351" t="s">
        <v>818</v>
      </c>
      <c r="H351" t="s">
        <v>182</v>
      </c>
      <c r="I351">
        <v>0</v>
      </c>
      <c r="J351">
        <v>76369864</v>
      </c>
      <c r="K351" s="5">
        <v>45989</v>
      </c>
      <c r="L351" s="3">
        <v>1600</v>
      </c>
      <c r="M351" t="s">
        <v>802</v>
      </c>
      <c r="N351" t="s">
        <v>26</v>
      </c>
      <c r="O351" t="s">
        <v>851</v>
      </c>
      <c r="P351" s="3">
        <v>1400</v>
      </c>
      <c r="Q351">
        <v>2</v>
      </c>
      <c r="R351" t="s">
        <v>853</v>
      </c>
      <c r="S351" t="s">
        <v>805</v>
      </c>
      <c r="T351" t="s">
        <v>806</v>
      </c>
      <c r="U351" t="s">
        <v>188</v>
      </c>
      <c r="V351" s="3">
        <f>Tabla1[[#This Row],[OS-Valor Unitario]]-Tabla1[[#This Row],[costo_antes_iva]]</f>
        <v>-200</v>
      </c>
      <c r="W351" s="3">
        <f>Tabla1[[#This Row],[OS-Valor Unitario]]*Tabla1[[#This Row],[OS-Cantidad]]</f>
        <v>2800</v>
      </c>
      <c r="X351" s="3">
        <f>Tabla1[[#This Row],[costo_antes_iva]]*Tabla1[[#This Row],[OS-Cantidad]]</f>
        <v>3200</v>
      </c>
      <c r="Y351" s="3">
        <f>Tabla1[[#This Row],[Valor total OS]]-Tabla1[[#This Row],[valor total op]]</f>
        <v>-400</v>
      </c>
    </row>
    <row r="352" spans="1:25" x14ac:dyDescent="0.3">
      <c r="A352">
        <v>6439</v>
      </c>
      <c r="B352">
        <v>13</v>
      </c>
      <c r="C352" t="s">
        <v>854</v>
      </c>
      <c r="D352">
        <v>25</v>
      </c>
      <c r="E352" s="5">
        <v>45992.59375</v>
      </c>
      <c r="F352" t="s">
        <v>855</v>
      </c>
      <c r="G352" t="s">
        <v>368</v>
      </c>
      <c r="H352" t="s">
        <v>182</v>
      </c>
      <c r="I352">
        <v>0</v>
      </c>
      <c r="J352">
        <v>76369928</v>
      </c>
      <c r="K352" s="5">
        <v>45989</v>
      </c>
      <c r="L352" s="3">
        <v>2500</v>
      </c>
      <c r="M352" t="s">
        <v>802</v>
      </c>
      <c r="N352" t="s">
        <v>56</v>
      </c>
      <c r="O352" t="s">
        <v>856</v>
      </c>
      <c r="P352" s="3">
        <v>3000</v>
      </c>
      <c r="Q352">
        <v>25</v>
      </c>
      <c r="R352" t="s">
        <v>857</v>
      </c>
      <c r="S352" t="s">
        <v>805</v>
      </c>
      <c r="T352" t="s">
        <v>806</v>
      </c>
      <c r="U352" t="s">
        <v>188</v>
      </c>
      <c r="V352" s="3">
        <f>Tabla1[[#This Row],[OS-Valor Unitario]]-Tabla1[[#This Row],[costo_antes_iva]]</f>
        <v>500</v>
      </c>
      <c r="W352" s="3">
        <f>Tabla1[[#This Row],[OS-Valor Unitario]]*Tabla1[[#This Row],[OS-Cantidad]]</f>
        <v>75000</v>
      </c>
      <c r="X352" s="3">
        <f>Tabla1[[#This Row],[costo_antes_iva]]*Tabla1[[#This Row],[OS-Cantidad]]</f>
        <v>62500</v>
      </c>
      <c r="Y352" s="3">
        <f>Tabla1[[#This Row],[Valor total OS]]-Tabla1[[#This Row],[valor total op]]</f>
        <v>12500</v>
      </c>
    </row>
    <row r="353" spans="1:25" x14ac:dyDescent="0.3">
      <c r="A353">
        <v>6439</v>
      </c>
      <c r="B353">
        <v>14</v>
      </c>
      <c r="C353" t="s">
        <v>858</v>
      </c>
      <c r="D353">
        <v>25</v>
      </c>
      <c r="E353" s="5">
        <v>45992.59375</v>
      </c>
      <c r="F353" t="s">
        <v>859</v>
      </c>
      <c r="G353" t="s">
        <v>368</v>
      </c>
      <c r="H353" t="s">
        <v>182</v>
      </c>
      <c r="I353">
        <v>0</v>
      </c>
      <c r="J353">
        <v>76369955</v>
      </c>
      <c r="K353" s="5">
        <v>45989</v>
      </c>
      <c r="L353" s="3">
        <v>2500</v>
      </c>
      <c r="M353" t="s">
        <v>802</v>
      </c>
      <c r="N353" t="s">
        <v>56</v>
      </c>
      <c r="O353" t="s">
        <v>860</v>
      </c>
      <c r="P353" s="3">
        <v>3000</v>
      </c>
      <c r="Q353">
        <v>25</v>
      </c>
      <c r="R353" t="s">
        <v>861</v>
      </c>
      <c r="S353" t="s">
        <v>805</v>
      </c>
      <c r="T353" t="s">
        <v>806</v>
      </c>
      <c r="U353" t="s">
        <v>188</v>
      </c>
      <c r="V353" s="3">
        <f>Tabla1[[#This Row],[OS-Valor Unitario]]-Tabla1[[#This Row],[costo_antes_iva]]</f>
        <v>500</v>
      </c>
      <c r="W353" s="3">
        <f>Tabla1[[#This Row],[OS-Valor Unitario]]*Tabla1[[#This Row],[OS-Cantidad]]</f>
        <v>75000</v>
      </c>
      <c r="X353" s="3">
        <f>Tabla1[[#This Row],[costo_antes_iva]]*Tabla1[[#This Row],[OS-Cantidad]]</f>
        <v>62500</v>
      </c>
      <c r="Y353" s="3">
        <f>Tabla1[[#This Row],[Valor total OS]]-Tabla1[[#This Row],[valor total op]]</f>
        <v>12500</v>
      </c>
    </row>
    <row r="354" spans="1:25" x14ac:dyDescent="0.3">
      <c r="A354">
        <v>6439</v>
      </c>
      <c r="B354">
        <v>15</v>
      </c>
      <c r="C354" t="s">
        <v>862</v>
      </c>
      <c r="D354">
        <v>25</v>
      </c>
      <c r="E354" s="5">
        <v>45992.59375</v>
      </c>
      <c r="F354" t="s">
        <v>863</v>
      </c>
      <c r="G354" t="s">
        <v>368</v>
      </c>
      <c r="H354" t="s">
        <v>182</v>
      </c>
      <c r="I354">
        <v>0</v>
      </c>
      <c r="J354">
        <v>76369978</v>
      </c>
      <c r="K354" s="5">
        <v>45989</v>
      </c>
      <c r="L354" s="3">
        <v>2500</v>
      </c>
      <c r="M354" t="s">
        <v>802</v>
      </c>
      <c r="N354" t="s">
        <v>56</v>
      </c>
      <c r="O354" t="s">
        <v>864</v>
      </c>
      <c r="P354" s="3">
        <v>3000</v>
      </c>
      <c r="Q354">
        <v>25</v>
      </c>
      <c r="R354" t="s">
        <v>865</v>
      </c>
      <c r="S354" t="s">
        <v>805</v>
      </c>
      <c r="T354" t="s">
        <v>806</v>
      </c>
      <c r="U354" t="s">
        <v>188</v>
      </c>
      <c r="V354" s="3">
        <f>Tabla1[[#This Row],[OS-Valor Unitario]]-Tabla1[[#This Row],[costo_antes_iva]]</f>
        <v>500</v>
      </c>
      <c r="W354" s="3">
        <f>Tabla1[[#This Row],[OS-Valor Unitario]]*Tabla1[[#This Row],[OS-Cantidad]]</f>
        <v>75000</v>
      </c>
      <c r="X354" s="3">
        <f>Tabla1[[#This Row],[costo_antes_iva]]*Tabla1[[#This Row],[OS-Cantidad]]</f>
        <v>62500</v>
      </c>
      <c r="Y354" s="3">
        <f>Tabla1[[#This Row],[Valor total OS]]-Tabla1[[#This Row],[valor total op]]</f>
        <v>12500</v>
      </c>
    </row>
    <row r="355" spans="1:25" x14ac:dyDescent="0.3">
      <c r="A355">
        <v>6436</v>
      </c>
      <c r="B355">
        <v>1</v>
      </c>
      <c r="C355" t="s">
        <v>866</v>
      </c>
      <c r="D355">
        <v>15</v>
      </c>
      <c r="E355" s="5">
        <v>45989.658333333333</v>
      </c>
      <c r="F355" t="s">
        <v>867</v>
      </c>
      <c r="G355" t="s">
        <v>589</v>
      </c>
      <c r="H355" t="s">
        <v>182</v>
      </c>
      <c r="I355">
        <v>15</v>
      </c>
      <c r="J355">
        <v>76366653</v>
      </c>
      <c r="K355" s="5">
        <v>45989</v>
      </c>
      <c r="L355" s="3">
        <v>15000</v>
      </c>
      <c r="M355" t="s">
        <v>868</v>
      </c>
      <c r="N355" t="s">
        <v>56</v>
      </c>
      <c r="O355" t="s">
        <v>869</v>
      </c>
      <c r="P355" s="3">
        <v>15000</v>
      </c>
      <c r="Q355">
        <v>15</v>
      </c>
      <c r="R355" t="s">
        <v>870</v>
      </c>
      <c r="S355" t="s">
        <v>871</v>
      </c>
      <c r="T355" t="s">
        <v>872</v>
      </c>
      <c r="U355" t="s">
        <v>188</v>
      </c>
      <c r="V355" s="3">
        <f>Tabla1[[#This Row],[OS-Valor Unitario]]-Tabla1[[#This Row],[costo_antes_iva]]</f>
        <v>0</v>
      </c>
      <c r="W355" s="3">
        <f>Tabla1[[#This Row],[OS-Valor Unitario]]*Tabla1[[#This Row],[OS-Cantidad]]</f>
        <v>225000</v>
      </c>
      <c r="X355" s="3">
        <f>Tabla1[[#This Row],[costo_antes_iva]]*Tabla1[[#This Row],[OS-Cantidad]]</f>
        <v>225000</v>
      </c>
      <c r="Y355" s="3">
        <f>Tabla1[[#This Row],[Valor total OS]]-Tabla1[[#This Row],[valor total op]]</f>
        <v>0</v>
      </c>
    </row>
    <row r="356" spans="1:25" x14ac:dyDescent="0.3">
      <c r="A356">
        <v>6436</v>
      </c>
      <c r="B356">
        <v>1</v>
      </c>
      <c r="C356" t="s">
        <v>866</v>
      </c>
      <c r="D356">
        <v>15</v>
      </c>
      <c r="E356" s="5">
        <v>45989.658333333333</v>
      </c>
      <c r="F356" t="s">
        <v>867</v>
      </c>
      <c r="G356" t="s">
        <v>589</v>
      </c>
      <c r="H356" t="s">
        <v>182</v>
      </c>
      <c r="I356">
        <v>15</v>
      </c>
      <c r="J356">
        <v>76366653</v>
      </c>
      <c r="K356" s="5">
        <v>45989</v>
      </c>
      <c r="L356" s="3">
        <v>1800</v>
      </c>
      <c r="M356" t="s">
        <v>868</v>
      </c>
      <c r="N356" t="s">
        <v>26</v>
      </c>
      <c r="O356" t="s">
        <v>869</v>
      </c>
      <c r="P356" s="3">
        <v>1650</v>
      </c>
      <c r="Q356">
        <v>15</v>
      </c>
      <c r="R356" t="s">
        <v>873</v>
      </c>
      <c r="S356" t="s">
        <v>871</v>
      </c>
      <c r="T356" t="s">
        <v>872</v>
      </c>
      <c r="U356" t="s">
        <v>188</v>
      </c>
      <c r="V356" s="3">
        <f>Tabla1[[#This Row],[OS-Valor Unitario]]-Tabla1[[#This Row],[costo_antes_iva]]</f>
        <v>-150</v>
      </c>
      <c r="W356" s="3">
        <f>Tabla1[[#This Row],[OS-Valor Unitario]]*Tabla1[[#This Row],[OS-Cantidad]]</f>
        <v>24750</v>
      </c>
      <c r="X356" s="3">
        <f>Tabla1[[#This Row],[costo_antes_iva]]*Tabla1[[#This Row],[OS-Cantidad]]</f>
        <v>27000</v>
      </c>
      <c r="Y356" s="3">
        <f>Tabla1[[#This Row],[Valor total OS]]-Tabla1[[#This Row],[valor total op]]</f>
        <v>-2250</v>
      </c>
    </row>
    <row r="357" spans="1:25" x14ac:dyDescent="0.3">
      <c r="A357">
        <v>6436</v>
      </c>
      <c r="B357">
        <v>2</v>
      </c>
      <c r="C357" t="s">
        <v>874</v>
      </c>
      <c r="D357">
        <v>50</v>
      </c>
      <c r="E357" s="5">
        <v>45989.658333333333</v>
      </c>
      <c r="F357" t="s">
        <v>875</v>
      </c>
      <c r="G357" t="s">
        <v>589</v>
      </c>
      <c r="H357" t="s">
        <v>182</v>
      </c>
      <c r="I357">
        <v>50</v>
      </c>
      <c r="J357">
        <v>76366666</v>
      </c>
      <c r="K357" s="5">
        <v>45989</v>
      </c>
      <c r="L357" s="3">
        <v>15000</v>
      </c>
      <c r="M357" t="s">
        <v>868</v>
      </c>
      <c r="N357" t="s">
        <v>56</v>
      </c>
      <c r="O357" t="s">
        <v>876</v>
      </c>
      <c r="P357" s="3">
        <v>15000</v>
      </c>
      <c r="Q357">
        <v>50</v>
      </c>
      <c r="R357" t="s">
        <v>877</v>
      </c>
      <c r="S357" t="s">
        <v>871</v>
      </c>
      <c r="T357" t="s">
        <v>872</v>
      </c>
      <c r="U357" t="s">
        <v>188</v>
      </c>
      <c r="V357" s="3">
        <f>Tabla1[[#This Row],[OS-Valor Unitario]]-Tabla1[[#This Row],[costo_antes_iva]]</f>
        <v>0</v>
      </c>
      <c r="W357" s="3">
        <f>Tabla1[[#This Row],[OS-Valor Unitario]]*Tabla1[[#This Row],[OS-Cantidad]]</f>
        <v>750000</v>
      </c>
      <c r="X357" s="3">
        <f>Tabla1[[#This Row],[costo_antes_iva]]*Tabla1[[#This Row],[OS-Cantidad]]</f>
        <v>750000</v>
      </c>
      <c r="Y357" s="3">
        <f>Tabla1[[#This Row],[Valor total OS]]-Tabla1[[#This Row],[valor total op]]</f>
        <v>0</v>
      </c>
    </row>
    <row r="358" spans="1:25" x14ac:dyDescent="0.3">
      <c r="A358">
        <v>6436</v>
      </c>
      <c r="B358">
        <v>2</v>
      </c>
      <c r="C358" t="s">
        <v>874</v>
      </c>
      <c r="D358">
        <v>50</v>
      </c>
      <c r="E358" s="5">
        <v>45989.658333333333</v>
      </c>
      <c r="F358" t="s">
        <v>875</v>
      </c>
      <c r="G358" t="s">
        <v>589</v>
      </c>
      <c r="H358" t="s">
        <v>182</v>
      </c>
      <c r="I358">
        <v>50</v>
      </c>
      <c r="J358">
        <v>76366666</v>
      </c>
      <c r="K358" s="5">
        <v>45989</v>
      </c>
      <c r="L358" s="3">
        <v>1800</v>
      </c>
      <c r="M358" t="s">
        <v>868</v>
      </c>
      <c r="N358" t="s">
        <v>26</v>
      </c>
      <c r="O358" t="s">
        <v>876</v>
      </c>
      <c r="P358" s="3">
        <v>1650</v>
      </c>
      <c r="Q358">
        <v>50</v>
      </c>
      <c r="R358" t="s">
        <v>878</v>
      </c>
      <c r="S358" t="s">
        <v>871</v>
      </c>
      <c r="T358" t="s">
        <v>872</v>
      </c>
      <c r="U358" t="s">
        <v>188</v>
      </c>
      <c r="V358" s="3">
        <f>Tabla1[[#This Row],[OS-Valor Unitario]]-Tabla1[[#This Row],[costo_antes_iva]]</f>
        <v>-150</v>
      </c>
      <c r="W358" s="3">
        <f>Tabla1[[#This Row],[OS-Valor Unitario]]*Tabla1[[#This Row],[OS-Cantidad]]</f>
        <v>82500</v>
      </c>
      <c r="X358" s="3">
        <f>Tabla1[[#This Row],[costo_antes_iva]]*Tabla1[[#This Row],[OS-Cantidad]]</f>
        <v>90000</v>
      </c>
      <c r="Y358" s="3">
        <f>Tabla1[[#This Row],[Valor total OS]]-Tabla1[[#This Row],[valor total op]]</f>
        <v>-7500</v>
      </c>
    </row>
    <row r="359" spans="1:25" x14ac:dyDescent="0.3">
      <c r="A359">
        <v>6436</v>
      </c>
      <c r="B359">
        <v>3</v>
      </c>
      <c r="C359" t="s">
        <v>879</v>
      </c>
      <c r="D359">
        <v>35</v>
      </c>
      <c r="E359" s="5">
        <v>45989.658333333333</v>
      </c>
      <c r="F359" t="s">
        <v>880</v>
      </c>
      <c r="G359" t="s">
        <v>589</v>
      </c>
      <c r="H359" t="s">
        <v>182</v>
      </c>
      <c r="I359">
        <v>35</v>
      </c>
      <c r="J359">
        <v>76366677</v>
      </c>
      <c r="K359" s="5">
        <v>45989</v>
      </c>
      <c r="L359" s="3">
        <v>15000</v>
      </c>
      <c r="M359" t="s">
        <v>868</v>
      </c>
      <c r="N359" t="s">
        <v>56</v>
      </c>
      <c r="O359" t="s">
        <v>881</v>
      </c>
      <c r="P359" s="3">
        <v>15000</v>
      </c>
      <c r="Q359">
        <v>35</v>
      </c>
      <c r="R359" t="s">
        <v>882</v>
      </c>
      <c r="S359" t="s">
        <v>871</v>
      </c>
      <c r="T359" t="s">
        <v>872</v>
      </c>
      <c r="U359" t="s">
        <v>188</v>
      </c>
      <c r="V359" s="3">
        <f>Tabla1[[#This Row],[OS-Valor Unitario]]-Tabla1[[#This Row],[costo_antes_iva]]</f>
        <v>0</v>
      </c>
      <c r="W359" s="3">
        <f>Tabla1[[#This Row],[OS-Valor Unitario]]*Tabla1[[#This Row],[OS-Cantidad]]</f>
        <v>525000</v>
      </c>
      <c r="X359" s="3">
        <f>Tabla1[[#This Row],[costo_antes_iva]]*Tabla1[[#This Row],[OS-Cantidad]]</f>
        <v>525000</v>
      </c>
      <c r="Y359" s="3">
        <f>Tabla1[[#This Row],[Valor total OS]]-Tabla1[[#This Row],[valor total op]]</f>
        <v>0</v>
      </c>
    </row>
    <row r="360" spans="1:25" x14ac:dyDescent="0.3">
      <c r="A360">
        <v>6436</v>
      </c>
      <c r="B360">
        <v>3</v>
      </c>
      <c r="C360" t="s">
        <v>879</v>
      </c>
      <c r="D360">
        <v>35</v>
      </c>
      <c r="E360" s="5">
        <v>45989.658333333333</v>
      </c>
      <c r="F360" t="s">
        <v>880</v>
      </c>
      <c r="G360" t="s">
        <v>589</v>
      </c>
      <c r="H360" t="s">
        <v>182</v>
      </c>
      <c r="I360">
        <v>35</v>
      </c>
      <c r="J360">
        <v>76366677</v>
      </c>
      <c r="K360" s="5">
        <v>45989</v>
      </c>
      <c r="L360" s="3">
        <v>1800</v>
      </c>
      <c r="M360" t="s">
        <v>868</v>
      </c>
      <c r="N360" t="s">
        <v>26</v>
      </c>
      <c r="O360" t="s">
        <v>881</v>
      </c>
      <c r="P360" s="3">
        <v>1650</v>
      </c>
      <c r="Q360">
        <v>35</v>
      </c>
      <c r="R360" t="s">
        <v>883</v>
      </c>
      <c r="S360" t="s">
        <v>871</v>
      </c>
      <c r="T360" t="s">
        <v>872</v>
      </c>
      <c r="U360" t="s">
        <v>188</v>
      </c>
      <c r="V360" s="3">
        <f>Tabla1[[#This Row],[OS-Valor Unitario]]-Tabla1[[#This Row],[costo_antes_iva]]</f>
        <v>-150</v>
      </c>
      <c r="W360" s="3">
        <f>Tabla1[[#This Row],[OS-Valor Unitario]]*Tabla1[[#This Row],[OS-Cantidad]]</f>
        <v>57750</v>
      </c>
      <c r="X360" s="3">
        <f>Tabla1[[#This Row],[costo_antes_iva]]*Tabla1[[#This Row],[OS-Cantidad]]</f>
        <v>63000</v>
      </c>
      <c r="Y360" s="3">
        <f>Tabla1[[#This Row],[Valor total OS]]-Tabla1[[#This Row],[valor total op]]</f>
        <v>-5250</v>
      </c>
    </row>
    <row r="361" spans="1:25" x14ac:dyDescent="0.3">
      <c r="A361">
        <v>6435</v>
      </c>
      <c r="B361">
        <v>1</v>
      </c>
      <c r="C361" t="s">
        <v>884</v>
      </c>
      <c r="D361">
        <v>90</v>
      </c>
      <c r="E361" s="5">
        <v>45989.634722222225</v>
      </c>
      <c r="F361" t="s">
        <v>885</v>
      </c>
      <c r="G361" t="s">
        <v>791</v>
      </c>
      <c r="H361" t="s">
        <v>182</v>
      </c>
      <c r="I361">
        <v>1</v>
      </c>
      <c r="J361">
        <v>76364635</v>
      </c>
      <c r="K361" s="5">
        <v>45989</v>
      </c>
      <c r="L361" s="3">
        <v>15000</v>
      </c>
      <c r="M361" t="s">
        <v>886</v>
      </c>
      <c r="N361" t="s">
        <v>56</v>
      </c>
      <c r="O361" t="s">
        <v>887</v>
      </c>
      <c r="P361" s="3">
        <v>15000</v>
      </c>
      <c r="Q361">
        <v>90</v>
      </c>
      <c r="R361" t="s">
        <v>888</v>
      </c>
      <c r="S361" t="s">
        <v>889</v>
      </c>
      <c r="T361" t="s">
        <v>890</v>
      </c>
      <c r="U361" t="s">
        <v>188</v>
      </c>
      <c r="V361" s="3">
        <f>Tabla1[[#This Row],[OS-Valor Unitario]]-Tabla1[[#This Row],[costo_antes_iva]]</f>
        <v>0</v>
      </c>
      <c r="W361" s="3">
        <f>Tabla1[[#This Row],[OS-Valor Unitario]]*Tabla1[[#This Row],[OS-Cantidad]]</f>
        <v>1350000</v>
      </c>
      <c r="X361" s="3">
        <f>Tabla1[[#This Row],[costo_antes_iva]]*Tabla1[[#This Row],[OS-Cantidad]]</f>
        <v>1350000</v>
      </c>
      <c r="Y361" s="3">
        <f>Tabla1[[#This Row],[Valor total OS]]-Tabla1[[#This Row],[valor total op]]</f>
        <v>0</v>
      </c>
    </row>
    <row r="362" spans="1:25" x14ac:dyDescent="0.3">
      <c r="A362">
        <v>6435</v>
      </c>
      <c r="B362">
        <v>1</v>
      </c>
      <c r="C362" t="s">
        <v>884</v>
      </c>
      <c r="D362">
        <v>90</v>
      </c>
      <c r="E362" s="5">
        <v>45989.634722222225</v>
      </c>
      <c r="F362" t="s">
        <v>885</v>
      </c>
      <c r="G362" t="s">
        <v>791</v>
      </c>
      <c r="H362" t="s">
        <v>182</v>
      </c>
      <c r="I362">
        <v>1</v>
      </c>
      <c r="J362">
        <v>76364635</v>
      </c>
      <c r="K362" s="5">
        <v>45989</v>
      </c>
      <c r="L362" s="3">
        <v>2000</v>
      </c>
      <c r="M362" t="s">
        <v>886</v>
      </c>
      <c r="N362" t="s">
        <v>26</v>
      </c>
      <c r="O362" t="s">
        <v>887</v>
      </c>
      <c r="P362" s="3">
        <v>1650</v>
      </c>
      <c r="Q362">
        <v>90</v>
      </c>
      <c r="R362" t="s">
        <v>891</v>
      </c>
      <c r="S362" t="s">
        <v>889</v>
      </c>
      <c r="T362" t="s">
        <v>890</v>
      </c>
      <c r="U362" t="s">
        <v>188</v>
      </c>
      <c r="V362" s="3">
        <f>Tabla1[[#This Row],[OS-Valor Unitario]]-Tabla1[[#This Row],[costo_antes_iva]]</f>
        <v>-350</v>
      </c>
      <c r="W362" s="3">
        <f>Tabla1[[#This Row],[OS-Valor Unitario]]*Tabla1[[#This Row],[OS-Cantidad]]</f>
        <v>148500</v>
      </c>
      <c r="X362" s="3">
        <f>Tabla1[[#This Row],[costo_antes_iva]]*Tabla1[[#This Row],[OS-Cantidad]]</f>
        <v>180000</v>
      </c>
      <c r="Y362" s="3">
        <f>Tabla1[[#This Row],[Valor total OS]]-Tabla1[[#This Row],[valor total op]]</f>
        <v>-31500</v>
      </c>
    </row>
    <row r="363" spans="1:25" x14ac:dyDescent="0.3">
      <c r="A363">
        <v>6433</v>
      </c>
      <c r="B363">
        <v>1</v>
      </c>
      <c r="C363" t="s">
        <v>892</v>
      </c>
      <c r="D363">
        <v>6</v>
      </c>
      <c r="E363" s="5">
        <v>45988.706250000003</v>
      </c>
      <c r="F363" t="s">
        <v>893</v>
      </c>
      <c r="G363" t="s">
        <v>894</v>
      </c>
      <c r="H363" t="s">
        <v>182</v>
      </c>
      <c r="I363">
        <v>0</v>
      </c>
      <c r="J363">
        <v>76289288</v>
      </c>
      <c r="K363" s="5">
        <v>45988</v>
      </c>
      <c r="L363" s="3">
        <v>8500</v>
      </c>
      <c r="M363" t="s">
        <v>895</v>
      </c>
      <c r="N363" t="s">
        <v>56</v>
      </c>
      <c r="O363" t="s">
        <v>896</v>
      </c>
      <c r="P363" s="3">
        <v>8000</v>
      </c>
      <c r="Q363">
        <v>6</v>
      </c>
      <c r="R363" t="s">
        <v>897</v>
      </c>
      <c r="S363" t="s">
        <v>898</v>
      </c>
      <c r="T363" t="s">
        <v>899</v>
      </c>
      <c r="U363" t="s">
        <v>31</v>
      </c>
      <c r="V363" s="3">
        <f>Tabla1[[#This Row],[OS-Valor Unitario]]-Tabla1[[#This Row],[costo_antes_iva]]</f>
        <v>-500</v>
      </c>
      <c r="W363" s="3">
        <f>Tabla1[[#This Row],[OS-Valor Unitario]]*Tabla1[[#This Row],[OS-Cantidad]]</f>
        <v>48000</v>
      </c>
      <c r="X363" s="3">
        <f>Tabla1[[#This Row],[costo_antes_iva]]*Tabla1[[#This Row],[OS-Cantidad]]</f>
        <v>51000</v>
      </c>
      <c r="Y363" s="3">
        <f>Tabla1[[#This Row],[Valor total OS]]-Tabla1[[#This Row],[valor total op]]</f>
        <v>-3000</v>
      </c>
    </row>
    <row r="364" spans="1:25" x14ac:dyDescent="0.3">
      <c r="A364">
        <v>6433</v>
      </c>
      <c r="B364">
        <v>2</v>
      </c>
      <c r="C364" t="s">
        <v>900</v>
      </c>
      <c r="D364">
        <v>6</v>
      </c>
      <c r="E364" s="5">
        <v>45988.706250000003</v>
      </c>
      <c r="F364" t="s">
        <v>901</v>
      </c>
      <c r="G364" t="s">
        <v>894</v>
      </c>
      <c r="H364" t="s">
        <v>182</v>
      </c>
      <c r="I364">
        <v>0</v>
      </c>
      <c r="J364">
        <v>76289326</v>
      </c>
      <c r="K364" s="5">
        <v>45988</v>
      </c>
      <c r="L364" s="3">
        <v>8500</v>
      </c>
      <c r="M364" t="s">
        <v>895</v>
      </c>
      <c r="N364" t="s">
        <v>56</v>
      </c>
      <c r="O364" t="s">
        <v>902</v>
      </c>
      <c r="P364" s="3">
        <v>8000</v>
      </c>
      <c r="Q364">
        <v>6</v>
      </c>
      <c r="R364" t="s">
        <v>903</v>
      </c>
      <c r="S364" t="s">
        <v>898</v>
      </c>
      <c r="T364" t="s">
        <v>899</v>
      </c>
      <c r="U364" t="s">
        <v>31</v>
      </c>
      <c r="V364" s="3">
        <f>Tabla1[[#This Row],[OS-Valor Unitario]]-Tabla1[[#This Row],[costo_antes_iva]]</f>
        <v>-500</v>
      </c>
      <c r="W364" s="3">
        <f>Tabla1[[#This Row],[OS-Valor Unitario]]*Tabla1[[#This Row],[OS-Cantidad]]</f>
        <v>48000</v>
      </c>
      <c r="X364" s="3">
        <f>Tabla1[[#This Row],[costo_antes_iva]]*Tabla1[[#This Row],[OS-Cantidad]]</f>
        <v>51000</v>
      </c>
      <c r="Y364" s="3">
        <f>Tabla1[[#This Row],[Valor total OS]]-Tabla1[[#This Row],[valor total op]]</f>
        <v>-3000</v>
      </c>
    </row>
    <row r="365" spans="1:25" x14ac:dyDescent="0.3">
      <c r="A365">
        <v>6433</v>
      </c>
      <c r="B365">
        <v>3</v>
      </c>
      <c r="C365" t="s">
        <v>904</v>
      </c>
      <c r="D365">
        <v>18</v>
      </c>
      <c r="E365" s="5">
        <v>45988.706250000003</v>
      </c>
      <c r="F365" t="s">
        <v>905</v>
      </c>
      <c r="G365" t="s">
        <v>801</v>
      </c>
      <c r="H365" t="s">
        <v>182</v>
      </c>
      <c r="I365">
        <v>0</v>
      </c>
      <c r="J365">
        <v>76289370</v>
      </c>
      <c r="K365" s="5">
        <v>45988</v>
      </c>
      <c r="L365" s="3">
        <v>7000</v>
      </c>
      <c r="M365" t="s">
        <v>895</v>
      </c>
      <c r="N365" t="s">
        <v>56</v>
      </c>
      <c r="O365" t="s">
        <v>906</v>
      </c>
      <c r="P365" s="3">
        <v>8500</v>
      </c>
      <c r="Q365">
        <v>18</v>
      </c>
      <c r="R365" t="s">
        <v>907</v>
      </c>
      <c r="S365" t="s">
        <v>898</v>
      </c>
      <c r="T365" t="s">
        <v>899</v>
      </c>
      <c r="U365" t="s">
        <v>31</v>
      </c>
      <c r="V365" s="3">
        <f>Tabla1[[#This Row],[OS-Valor Unitario]]-Tabla1[[#This Row],[costo_antes_iva]]</f>
        <v>1500</v>
      </c>
      <c r="W365" s="3">
        <f>Tabla1[[#This Row],[OS-Valor Unitario]]*Tabla1[[#This Row],[OS-Cantidad]]</f>
        <v>153000</v>
      </c>
      <c r="X365" s="3">
        <f>Tabla1[[#This Row],[costo_antes_iva]]*Tabla1[[#This Row],[OS-Cantidad]]</f>
        <v>126000</v>
      </c>
      <c r="Y365" s="3">
        <f>Tabla1[[#This Row],[Valor total OS]]-Tabla1[[#This Row],[valor total op]]</f>
        <v>27000</v>
      </c>
    </row>
    <row r="366" spans="1:25" x14ac:dyDescent="0.3">
      <c r="A366">
        <v>6433</v>
      </c>
      <c r="B366">
        <v>4</v>
      </c>
      <c r="C366" t="s">
        <v>908</v>
      </c>
      <c r="D366">
        <v>7</v>
      </c>
      <c r="E366" s="5">
        <v>45988.706250000003</v>
      </c>
      <c r="F366" t="s">
        <v>909</v>
      </c>
      <c r="G366" t="s">
        <v>809</v>
      </c>
      <c r="H366" t="s">
        <v>182</v>
      </c>
      <c r="I366">
        <v>0</v>
      </c>
      <c r="J366">
        <v>76289390</v>
      </c>
      <c r="K366" s="5">
        <v>45988</v>
      </c>
      <c r="L366" s="3">
        <v>7000</v>
      </c>
      <c r="M366" t="s">
        <v>895</v>
      </c>
      <c r="N366" t="s">
        <v>56</v>
      </c>
      <c r="O366" t="s">
        <v>910</v>
      </c>
      <c r="P366" s="3">
        <v>5500</v>
      </c>
      <c r="Q366">
        <v>7</v>
      </c>
      <c r="R366" t="s">
        <v>911</v>
      </c>
      <c r="S366" t="s">
        <v>898</v>
      </c>
      <c r="T366" t="s">
        <v>899</v>
      </c>
      <c r="U366" t="s">
        <v>31</v>
      </c>
      <c r="V366" s="3">
        <f>Tabla1[[#This Row],[OS-Valor Unitario]]-Tabla1[[#This Row],[costo_antes_iva]]</f>
        <v>-1500</v>
      </c>
      <c r="W366" s="3">
        <f>Tabla1[[#This Row],[OS-Valor Unitario]]*Tabla1[[#This Row],[OS-Cantidad]]</f>
        <v>38500</v>
      </c>
      <c r="X366" s="3">
        <f>Tabla1[[#This Row],[costo_antes_iva]]*Tabla1[[#This Row],[OS-Cantidad]]</f>
        <v>49000</v>
      </c>
      <c r="Y366" s="3">
        <f>Tabla1[[#This Row],[Valor total OS]]-Tabla1[[#This Row],[valor total op]]</f>
        <v>-10500</v>
      </c>
    </row>
    <row r="367" spans="1:25" x14ac:dyDescent="0.3">
      <c r="A367">
        <v>6433</v>
      </c>
      <c r="B367">
        <v>4</v>
      </c>
      <c r="C367" t="s">
        <v>908</v>
      </c>
      <c r="D367">
        <v>7</v>
      </c>
      <c r="E367" s="5">
        <v>45988.706250000003</v>
      </c>
      <c r="F367" t="s">
        <v>909</v>
      </c>
      <c r="G367" t="s">
        <v>809</v>
      </c>
      <c r="H367" t="s">
        <v>182</v>
      </c>
      <c r="I367">
        <v>0</v>
      </c>
      <c r="J367">
        <v>76289390</v>
      </c>
      <c r="K367" s="5">
        <v>45988</v>
      </c>
      <c r="L367" s="3">
        <v>1600</v>
      </c>
      <c r="M367" t="s">
        <v>895</v>
      </c>
      <c r="N367" t="s">
        <v>26</v>
      </c>
      <c r="O367" t="s">
        <v>910</v>
      </c>
      <c r="P367" s="3">
        <v>1400</v>
      </c>
      <c r="Q367">
        <v>7</v>
      </c>
      <c r="R367" t="s">
        <v>912</v>
      </c>
      <c r="S367" t="s">
        <v>898</v>
      </c>
      <c r="T367" t="s">
        <v>899</v>
      </c>
      <c r="U367" t="s">
        <v>31</v>
      </c>
      <c r="V367" s="3">
        <f>Tabla1[[#This Row],[OS-Valor Unitario]]-Tabla1[[#This Row],[costo_antes_iva]]</f>
        <v>-200</v>
      </c>
      <c r="W367" s="3">
        <f>Tabla1[[#This Row],[OS-Valor Unitario]]*Tabla1[[#This Row],[OS-Cantidad]]</f>
        <v>9800</v>
      </c>
      <c r="X367" s="3">
        <f>Tabla1[[#This Row],[costo_antes_iva]]*Tabla1[[#This Row],[OS-Cantidad]]</f>
        <v>11200</v>
      </c>
      <c r="Y367" s="3">
        <f>Tabla1[[#This Row],[Valor total OS]]-Tabla1[[#This Row],[valor total op]]</f>
        <v>-1400</v>
      </c>
    </row>
    <row r="368" spans="1:25" x14ac:dyDescent="0.3">
      <c r="A368">
        <v>6433</v>
      </c>
      <c r="B368">
        <v>4</v>
      </c>
      <c r="C368" t="s">
        <v>908</v>
      </c>
      <c r="D368">
        <v>7</v>
      </c>
      <c r="E368" s="5">
        <v>45988.706250000003</v>
      </c>
      <c r="F368" t="s">
        <v>909</v>
      </c>
      <c r="G368" t="s">
        <v>809</v>
      </c>
      <c r="H368" t="s">
        <v>182</v>
      </c>
      <c r="I368">
        <v>0</v>
      </c>
      <c r="J368">
        <v>76289390</v>
      </c>
      <c r="K368" s="5">
        <v>45988</v>
      </c>
      <c r="L368" s="3">
        <v>700</v>
      </c>
      <c r="M368" t="s">
        <v>895</v>
      </c>
      <c r="N368" t="s">
        <v>26</v>
      </c>
      <c r="O368" t="s">
        <v>910</v>
      </c>
      <c r="P368" s="3">
        <v>1400</v>
      </c>
      <c r="Q368">
        <v>7</v>
      </c>
      <c r="R368" t="s">
        <v>912</v>
      </c>
      <c r="S368" t="s">
        <v>898</v>
      </c>
      <c r="T368" t="s">
        <v>899</v>
      </c>
      <c r="U368" t="s">
        <v>31</v>
      </c>
      <c r="V368" s="3">
        <f>Tabla1[[#This Row],[OS-Valor Unitario]]-Tabla1[[#This Row],[costo_antes_iva]]</f>
        <v>700</v>
      </c>
      <c r="W368" s="3">
        <f>Tabla1[[#This Row],[OS-Valor Unitario]]*Tabla1[[#This Row],[OS-Cantidad]]</f>
        <v>9800</v>
      </c>
      <c r="X368" s="3">
        <f>Tabla1[[#This Row],[costo_antes_iva]]*Tabla1[[#This Row],[OS-Cantidad]]</f>
        <v>4900</v>
      </c>
      <c r="Y368" s="3">
        <f>Tabla1[[#This Row],[Valor total OS]]-Tabla1[[#This Row],[valor total op]]</f>
        <v>4900</v>
      </c>
    </row>
    <row r="369" spans="1:25" x14ac:dyDescent="0.3">
      <c r="A369">
        <v>6433</v>
      </c>
      <c r="B369">
        <v>5</v>
      </c>
      <c r="C369" t="s">
        <v>913</v>
      </c>
      <c r="D369">
        <v>18</v>
      </c>
      <c r="E369" s="5">
        <v>45988.706250000003</v>
      </c>
      <c r="F369" t="s">
        <v>914</v>
      </c>
      <c r="G369" t="s">
        <v>355</v>
      </c>
      <c r="H369" t="s">
        <v>182</v>
      </c>
      <c r="I369">
        <v>0</v>
      </c>
      <c r="J369">
        <v>76289435</v>
      </c>
      <c r="K369" s="5">
        <v>45988</v>
      </c>
      <c r="L369" s="3">
        <v>6000</v>
      </c>
      <c r="M369" t="s">
        <v>895</v>
      </c>
      <c r="N369" t="s">
        <v>56</v>
      </c>
      <c r="O369" t="s">
        <v>915</v>
      </c>
      <c r="P369" s="3">
        <v>5000</v>
      </c>
      <c r="Q369">
        <v>18</v>
      </c>
      <c r="R369" t="s">
        <v>916</v>
      </c>
      <c r="S369" t="s">
        <v>898</v>
      </c>
      <c r="T369" t="s">
        <v>899</v>
      </c>
      <c r="U369" t="s">
        <v>31</v>
      </c>
      <c r="V369" s="3">
        <f>Tabla1[[#This Row],[OS-Valor Unitario]]-Tabla1[[#This Row],[costo_antes_iva]]</f>
        <v>-1000</v>
      </c>
      <c r="W369" s="3">
        <f>Tabla1[[#This Row],[OS-Valor Unitario]]*Tabla1[[#This Row],[OS-Cantidad]]</f>
        <v>90000</v>
      </c>
      <c r="X369" s="3">
        <f>Tabla1[[#This Row],[costo_antes_iva]]*Tabla1[[#This Row],[OS-Cantidad]]</f>
        <v>108000</v>
      </c>
      <c r="Y369" s="3">
        <f>Tabla1[[#This Row],[Valor total OS]]-Tabla1[[#This Row],[valor total op]]</f>
        <v>-18000</v>
      </c>
    </row>
    <row r="370" spans="1:25" x14ac:dyDescent="0.3">
      <c r="A370">
        <v>6433</v>
      </c>
      <c r="B370">
        <v>6</v>
      </c>
      <c r="C370" t="s">
        <v>917</v>
      </c>
      <c r="D370">
        <v>24</v>
      </c>
      <c r="E370" s="5">
        <v>45988.706250000003</v>
      </c>
      <c r="F370" t="s">
        <v>918</v>
      </c>
      <c r="G370" t="s">
        <v>355</v>
      </c>
      <c r="H370" t="s">
        <v>182</v>
      </c>
      <c r="I370">
        <v>0</v>
      </c>
      <c r="J370">
        <v>76289454</v>
      </c>
      <c r="K370" s="5">
        <v>45988</v>
      </c>
      <c r="L370" s="3">
        <v>6000</v>
      </c>
      <c r="M370" t="s">
        <v>895</v>
      </c>
      <c r="N370" t="s">
        <v>56</v>
      </c>
      <c r="O370" t="s">
        <v>919</v>
      </c>
      <c r="P370" s="3">
        <v>5000</v>
      </c>
      <c r="Q370">
        <v>24</v>
      </c>
      <c r="R370" t="s">
        <v>920</v>
      </c>
      <c r="S370" t="s">
        <v>898</v>
      </c>
      <c r="T370" t="s">
        <v>899</v>
      </c>
      <c r="U370" t="s">
        <v>31</v>
      </c>
      <c r="V370" s="3">
        <f>Tabla1[[#This Row],[OS-Valor Unitario]]-Tabla1[[#This Row],[costo_antes_iva]]</f>
        <v>-1000</v>
      </c>
      <c r="W370" s="3">
        <f>Tabla1[[#This Row],[OS-Valor Unitario]]*Tabla1[[#This Row],[OS-Cantidad]]</f>
        <v>120000</v>
      </c>
      <c r="X370" s="3">
        <f>Tabla1[[#This Row],[costo_antes_iva]]*Tabla1[[#This Row],[OS-Cantidad]]</f>
        <v>144000</v>
      </c>
      <c r="Y370" s="3">
        <f>Tabla1[[#This Row],[Valor total OS]]-Tabla1[[#This Row],[valor total op]]</f>
        <v>-24000</v>
      </c>
    </row>
    <row r="371" spans="1:25" x14ac:dyDescent="0.3">
      <c r="A371">
        <v>6433</v>
      </c>
      <c r="B371">
        <v>7</v>
      </c>
      <c r="C371" t="s">
        <v>921</v>
      </c>
      <c r="D371">
        <v>7</v>
      </c>
      <c r="E371" s="5">
        <v>45988.706250000003</v>
      </c>
      <c r="F371" t="s">
        <v>922</v>
      </c>
      <c r="G371" t="s">
        <v>824</v>
      </c>
      <c r="H371" t="s">
        <v>182</v>
      </c>
      <c r="I371">
        <v>0</v>
      </c>
      <c r="J371">
        <v>76289745</v>
      </c>
      <c r="K371" s="5">
        <v>45988</v>
      </c>
      <c r="L371" s="3">
        <v>3500</v>
      </c>
      <c r="M371" t="s">
        <v>895</v>
      </c>
      <c r="N371" t="s">
        <v>56</v>
      </c>
      <c r="O371" t="s">
        <v>923</v>
      </c>
      <c r="P371" s="3">
        <v>2500</v>
      </c>
      <c r="Q371">
        <v>7</v>
      </c>
      <c r="R371" t="s">
        <v>924</v>
      </c>
      <c r="S371" t="s">
        <v>898</v>
      </c>
      <c r="T371" t="s">
        <v>899</v>
      </c>
      <c r="U371" t="s">
        <v>31</v>
      </c>
      <c r="V371" s="3">
        <f>Tabla1[[#This Row],[OS-Valor Unitario]]-Tabla1[[#This Row],[costo_antes_iva]]</f>
        <v>-1000</v>
      </c>
      <c r="W371" s="3">
        <f>Tabla1[[#This Row],[OS-Valor Unitario]]*Tabla1[[#This Row],[OS-Cantidad]]</f>
        <v>17500</v>
      </c>
      <c r="X371" s="3">
        <f>Tabla1[[#This Row],[costo_antes_iva]]*Tabla1[[#This Row],[OS-Cantidad]]</f>
        <v>24500</v>
      </c>
      <c r="Y371" s="3">
        <f>Tabla1[[#This Row],[Valor total OS]]-Tabla1[[#This Row],[valor total op]]</f>
        <v>-7000</v>
      </c>
    </row>
    <row r="372" spans="1:25" x14ac:dyDescent="0.3">
      <c r="A372">
        <v>6433</v>
      </c>
      <c r="B372">
        <v>8</v>
      </c>
      <c r="C372" t="s">
        <v>925</v>
      </c>
      <c r="D372">
        <v>7</v>
      </c>
      <c r="E372" s="5">
        <v>45988.706250000003</v>
      </c>
      <c r="F372" t="s">
        <v>926</v>
      </c>
      <c r="G372" t="s">
        <v>368</v>
      </c>
      <c r="H372" t="s">
        <v>182</v>
      </c>
      <c r="I372">
        <v>0</v>
      </c>
      <c r="J372">
        <v>76289771</v>
      </c>
      <c r="K372" s="5">
        <v>45988</v>
      </c>
      <c r="L372" s="3">
        <v>1500</v>
      </c>
      <c r="M372" t="s">
        <v>895</v>
      </c>
      <c r="N372" t="s">
        <v>56</v>
      </c>
      <c r="O372" t="s">
        <v>927</v>
      </c>
      <c r="P372" s="3">
        <v>1500</v>
      </c>
      <c r="Q372">
        <v>7</v>
      </c>
      <c r="R372" t="s">
        <v>928</v>
      </c>
      <c r="S372" t="s">
        <v>898</v>
      </c>
      <c r="T372" t="s">
        <v>899</v>
      </c>
      <c r="U372" t="s">
        <v>31</v>
      </c>
      <c r="V372" s="3">
        <f>Tabla1[[#This Row],[OS-Valor Unitario]]-Tabla1[[#This Row],[costo_antes_iva]]</f>
        <v>0</v>
      </c>
      <c r="W372" s="3">
        <f>Tabla1[[#This Row],[OS-Valor Unitario]]*Tabla1[[#This Row],[OS-Cantidad]]</f>
        <v>10500</v>
      </c>
      <c r="X372" s="3">
        <f>Tabla1[[#This Row],[costo_antes_iva]]*Tabla1[[#This Row],[OS-Cantidad]]</f>
        <v>10500</v>
      </c>
      <c r="Y372" s="3">
        <f>Tabla1[[#This Row],[Valor total OS]]-Tabla1[[#This Row],[valor total op]]</f>
        <v>0</v>
      </c>
    </row>
    <row r="373" spans="1:25" x14ac:dyDescent="0.3">
      <c r="A373">
        <v>6433</v>
      </c>
      <c r="B373">
        <v>9</v>
      </c>
      <c r="C373" t="s">
        <v>929</v>
      </c>
      <c r="D373">
        <v>9</v>
      </c>
      <c r="E373" s="5">
        <v>45988.706250000003</v>
      </c>
      <c r="F373" t="s">
        <v>930</v>
      </c>
      <c r="G373" t="s">
        <v>833</v>
      </c>
      <c r="H373" t="s">
        <v>182</v>
      </c>
      <c r="I373">
        <v>0</v>
      </c>
      <c r="J373">
        <v>76289809</v>
      </c>
      <c r="K373" s="5">
        <v>45988</v>
      </c>
      <c r="L373" s="3">
        <v>2000</v>
      </c>
      <c r="M373" t="s">
        <v>895</v>
      </c>
      <c r="N373" t="s">
        <v>56</v>
      </c>
      <c r="O373" t="s">
        <v>931</v>
      </c>
      <c r="P373" s="3">
        <v>5500</v>
      </c>
      <c r="Q373">
        <v>9</v>
      </c>
      <c r="R373" t="s">
        <v>932</v>
      </c>
      <c r="S373" t="s">
        <v>898</v>
      </c>
      <c r="T373" t="s">
        <v>899</v>
      </c>
      <c r="U373" t="s">
        <v>31</v>
      </c>
      <c r="V373" s="3">
        <f>Tabla1[[#This Row],[OS-Valor Unitario]]-Tabla1[[#This Row],[costo_antes_iva]]</f>
        <v>3500</v>
      </c>
      <c r="W373" s="3">
        <f>Tabla1[[#This Row],[OS-Valor Unitario]]*Tabla1[[#This Row],[OS-Cantidad]]</f>
        <v>49500</v>
      </c>
      <c r="X373" s="3">
        <f>Tabla1[[#This Row],[costo_antes_iva]]*Tabla1[[#This Row],[OS-Cantidad]]</f>
        <v>18000</v>
      </c>
      <c r="Y373" s="3">
        <f>Tabla1[[#This Row],[Valor total OS]]-Tabla1[[#This Row],[valor total op]]</f>
        <v>31500</v>
      </c>
    </row>
    <row r="374" spans="1:25" x14ac:dyDescent="0.3">
      <c r="A374">
        <v>6433</v>
      </c>
      <c r="B374">
        <v>10</v>
      </c>
      <c r="C374" t="s">
        <v>933</v>
      </c>
      <c r="D374">
        <v>51</v>
      </c>
      <c r="E374" s="5">
        <v>45988.706250000003</v>
      </c>
      <c r="F374" t="s">
        <v>934</v>
      </c>
      <c r="G374" t="s">
        <v>294</v>
      </c>
      <c r="H374" t="s">
        <v>182</v>
      </c>
      <c r="I374">
        <v>0</v>
      </c>
      <c r="J374">
        <v>76289933</v>
      </c>
      <c r="K374" s="5">
        <v>45988</v>
      </c>
      <c r="L374" s="3">
        <v>4500</v>
      </c>
      <c r="M374" t="s">
        <v>895</v>
      </c>
      <c r="N374" t="s">
        <v>56</v>
      </c>
      <c r="O374" t="s">
        <v>935</v>
      </c>
      <c r="P374" s="3">
        <v>5500</v>
      </c>
      <c r="Q374">
        <v>51</v>
      </c>
      <c r="R374" t="s">
        <v>936</v>
      </c>
      <c r="S374" t="s">
        <v>898</v>
      </c>
      <c r="T374" t="s">
        <v>899</v>
      </c>
      <c r="U374" t="s">
        <v>31</v>
      </c>
      <c r="V374" s="3">
        <f>Tabla1[[#This Row],[OS-Valor Unitario]]-Tabla1[[#This Row],[costo_antes_iva]]</f>
        <v>1000</v>
      </c>
      <c r="W374" s="3">
        <f>Tabla1[[#This Row],[OS-Valor Unitario]]*Tabla1[[#This Row],[OS-Cantidad]]</f>
        <v>280500</v>
      </c>
      <c r="X374" s="3">
        <f>Tabla1[[#This Row],[costo_antes_iva]]*Tabla1[[#This Row],[OS-Cantidad]]</f>
        <v>229500</v>
      </c>
      <c r="Y374" s="3">
        <f>Tabla1[[#This Row],[Valor total OS]]-Tabla1[[#This Row],[valor total op]]</f>
        <v>51000</v>
      </c>
    </row>
    <row r="375" spans="1:25" x14ac:dyDescent="0.3">
      <c r="A375">
        <v>6433</v>
      </c>
      <c r="B375">
        <v>10</v>
      </c>
      <c r="C375" t="s">
        <v>933</v>
      </c>
      <c r="D375">
        <v>51</v>
      </c>
      <c r="E375" s="5">
        <v>45988.706250000003</v>
      </c>
      <c r="F375" t="s">
        <v>934</v>
      </c>
      <c r="G375" t="s">
        <v>294</v>
      </c>
      <c r="H375" t="s">
        <v>182</v>
      </c>
      <c r="I375">
        <v>0</v>
      </c>
      <c r="J375">
        <v>76289933</v>
      </c>
      <c r="K375" s="5">
        <v>45988</v>
      </c>
      <c r="L375" s="3">
        <v>700</v>
      </c>
      <c r="M375" t="s">
        <v>895</v>
      </c>
      <c r="N375" t="s">
        <v>26</v>
      </c>
      <c r="O375" t="s">
        <v>935</v>
      </c>
      <c r="P375" s="3">
        <v>700</v>
      </c>
      <c r="Q375">
        <v>51</v>
      </c>
      <c r="R375" t="s">
        <v>937</v>
      </c>
      <c r="S375" t="s">
        <v>898</v>
      </c>
      <c r="T375" t="s">
        <v>899</v>
      </c>
      <c r="U375" t="s">
        <v>31</v>
      </c>
      <c r="V375" s="3">
        <f>Tabla1[[#This Row],[OS-Valor Unitario]]-Tabla1[[#This Row],[costo_antes_iva]]</f>
        <v>0</v>
      </c>
      <c r="W375" s="3">
        <f>Tabla1[[#This Row],[OS-Valor Unitario]]*Tabla1[[#This Row],[OS-Cantidad]]</f>
        <v>35700</v>
      </c>
      <c r="X375" s="3">
        <f>Tabla1[[#This Row],[costo_antes_iva]]*Tabla1[[#This Row],[OS-Cantidad]]</f>
        <v>35700</v>
      </c>
      <c r="Y375" s="3">
        <f>Tabla1[[#This Row],[Valor total OS]]-Tabla1[[#This Row],[valor total op]]</f>
        <v>0</v>
      </c>
    </row>
    <row r="376" spans="1:25" x14ac:dyDescent="0.3">
      <c r="A376">
        <v>6433</v>
      </c>
      <c r="B376">
        <v>12</v>
      </c>
      <c r="C376" t="s">
        <v>938</v>
      </c>
      <c r="D376">
        <v>14</v>
      </c>
      <c r="E376" s="5">
        <v>45988.706250000003</v>
      </c>
      <c r="F376" t="s">
        <v>939</v>
      </c>
      <c r="G376" t="s">
        <v>368</v>
      </c>
      <c r="H376" t="s">
        <v>182</v>
      </c>
      <c r="I376">
        <v>0</v>
      </c>
      <c r="J376">
        <v>76290295</v>
      </c>
      <c r="K376" s="5">
        <v>45988</v>
      </c>
      <c r="L376" s="3">
        <v>2500</v>
      </c>
      <c r="M376" t="s">
        <v>895</v>
      </c>
      <c r="N376" t="s">
        <v>56</v>
      </c>
      <c r="O376" t="s">
        <v>940</v>
      </c>
      <c r="P376" s="3">
        <v>3000</v>
      </c>
      <c r="Q376">
        <v>15</v>
      </c>
      <c r="R376" t="s">
        <v>941</v>
      </c>
      <c r="S376" t="s">
        <v>898</v>
      </c>
      <c r="T376" t="s">
        <v>899</v>
      </c>
      <c r="U376" t="s">
        <v>31</v>
      </c>
      <c r="V376" s="3">
        <f>Tabla1[[#This Row],[OS-Valor Unitario]]-Tabla1[[#This Row],[costo_antes_iva]]</f>
        <v>500</v>
      </c>
      <c r="W376" s="3">
        <f>Tabla1[[#This Row],[OS-Valor Unitario]]*Tabla1[[#This Row],[OS-Cantidad]]</f>
        <v>45000</v>
      </c>
      <c r="X376" s="3">
        <f>Tabla1[[#This Row],[costo_antes_iva]]*Tabla1[[#This Row],[OS-Cantidad]]</f>
        <v>37500</v>
      </c>
      <c r="Y376" s="3">
        <f>Tabla1[[#This Row],[Valor total OS]]-Tabla1[[#This Row],[valor total op]]</f>
        <v>7500</v>
      </c>
    </row>
    <row r="377" spans="1:25" x14ac:dyDescent="0.3">
      <c r="A377">
        <v>6433</v>
      </c>
      <c r="B377">
        <v>13</v>
      </c>
      <c r="C377" t="s">
        <v>942</v>
      </c>
      <c r="D377">
        <v>14</v>
      </c>
      <c r="E377" s="5">
        <v>45988.706250000003</v>
      </c>
      <c r="F377" t="s">
        <v>943</v>
      </c>
      <c r="G377" t="s">
        <v>368</v>
      </c>
      <c r="H377" t="s">
        <v>182</v>
      </c>
      <c r="I377">
        <v>0</v>
      </c>
      <c r="J377">
        <v>76290326</v>
      </c>
      <c r="K377" s="5">
        <v>45988</v>
      </c>
      <c r="L377" s="3">
        <v>2500</v>
      </c>
      <c r="M377" t="s">
        <v>895</v>
      </c>
      <c r="N377" t="s">
        <v>56</v>
      </c>
      <c r="O377" t="s">
        <v>944</v>
      </c>
      <c r="P377" s="3">
        <v>3000</v>
      </c>
      <c r="Q377">
        <v>15</v>
      </c>
      <c r="R377" t="s">
        <v>945</v>
      </c>
      <c r="S377" t="s">
        <v>898</v>
      </c>
      <c r="T377" t="s">
        <v>899</v>
      </c>
      <c r="U377" t="s">
        <v>31</v>
      </c>
      <c r="V377" s="3">
        <f>Tabla1[[#This Row],[OS-Valor Unitario]]-Tabla1[[#This Row],[costo_antes_iva]]</f>
        <v>500</v>
      </c>
      <c r="W377" s="3">
        <f>Tabla1[[#This Row],[OS-Valor Unitario]]*Tabla1[[#This Row],[OS-Cantidad]]</f>
        <v>45000</v>
      </c>
      <c r="X377" s="3">
        <f>Tabla1[[#This Row],[costo_antes_iva]]*Tabla1[[#This Row],[OS-Cantidad]]</f>
        <v>37500</v>
      </c>
      <c r="Y377" s="3">
        <f>Tabla1[[#This Row],[Valor total OS]]-Tabla1[[#This Row],[valor total op]]</f>
        <v>7500</v>
      </c>
    </row>
    <row r="378" spans="1:25" x14ac:dyDescent="0.3">
      <c r="A378">
        <v>6433</v>
      </c>
      <c r="B378">
        <v>14</v>
      </c>
      <c r="C378" t="s">
        <v>946</v>
      </c>
      <c r="D378">
        <v>14</v>
      </c>
      <c r="E378" s="5">
        <v>45988.706250000003</v>
      </c>
      <c r="F378" t="s">
        <v>947</v>
      </c>
      <c r="G378" t="s">
        <v>368</v>
      </c>
      <c r="H378" t="s">
        <v>182</v>
      </c>
      <c r="I378">
        <v>0</v>
      </c>
      <c r="J378">
        <v>76290364</v>
      </c>
      <c r="K378" s="5">
        <v>45988</v>
      </c>
      <c r="L378" s="3">
        <v>2500</v>
      </c>
      <c r="M378" t="s">
        <v>895</v>
      </c>
      <c r="N378" t="s">
        <v>56</v>
      </c>
      <c r="O378" t="s">
        <v>948</v>
      </c>
      <c r="P378" s="3">
        <v>3000</v>
      </c>
      <c r="Q378">
        <v>15</v>
      </c>
      <c r="R378" t="s">
        <v>949</v>
      </c>
      <c r="S378" t="s">
        <v>898</v>
      </c>
      <c r="T378" t="s">
        <v>899</v>
      </c>
      <c r="U378" t="s">
        <v>31</v>
      </c>
      <c r="V378" s="3">
        <f>Tabla1[[#This Row],[OS-Valor Unitario]]-Tabla1[[#This Row],[costo_antes_iva]]</f>
        <v>500</v>
      </c>
      <c r="W378" s="3">
        <f>Tabla1[[#This Row],[OS-Valor Unitario]]*Tabla1[[#This Row],[OS-Cantidad]]</f>
        <v>45000</v>
      </c>
      <c r="X378" s="3">
        <f>Tabla1[[#This Row],[costo_antes_iva]]*Tabla1[[#This Row],[OS-Cantidad]]</f>
        <v>37500</v>
      </c>
      <c r="Y378" s="3">
        <f>Tabla1[[#This Row],[Valor total OS]]-Tabla1[[#This Row],[valor total op]]</f>
        <v>7500</v>
      </c>
    </row>
    <row r="379" spans="1:25" x14ac:dyDescent="0.3">
      <c r="A379">
        <v>6430</v>
      </c>
      <c r="B379">
        <v>1</v>
      </c>
      <c r="C379" t="s">
        <v>950</v>
      </c>
      <c r="D379">
        <v>1310</v>
      </c>
      <c r="E379" s="5">
        <v>45987.943055555559</v>
      </c>
      <c r="F379" t="s">
        <v>428</v>
      </c>
      <c r="G379" t="s">
        <v>429</v>
      </c>
      <c r="H379" t="s">
        <v>346</v>
      </c>
      <c r="I379">
        <v>50</v>
      </c>
      <c r="J379">
        <v>77869395</v>
      </c>
      <c r="K379" s="5">
        <v>46020</v>
      </c>
      <c r="L379" s="3">
        <v>11500</v>
      </c>
      <c r="M379" t="s">
        <v>430</v>
      </c>
      <c r="N379" t="s">
        <v>56</v>
      </c>
      <c r="O379" t="s">
        <v>951</v>
      </c>
      <c r="P379" s="3">
        <v>5000</v>
      </c>
      <c r="Q379">
        <v>1310</v>
      </c>
      <c r="R379" t="s">
        <v>952</v>
      </c>
      <c r="S379" t="s">
        <v>433</v>
      </c>
      <c r="T379" t="s">
        <v>434</v>
      </c>
      <c r="U379" t="s">
        <v>177</v>
      </c>
      <c r="V379" s="3">
        <f>Tabla1[[#This Row],[OS-Valor Unitario]]-Tabla1[[#This Row],[costo_antes_iva]]</f>
        <v>-6500</v>
      </c>
      <c r="W379" s="3">
        <f>Tabla1[[#This Row],[OS-Valor Unitario]]*Tabla1[[#This Row],[OS-Cantidad]]</f>
        <v>6550000</v>
      </c>
      <c r="X379" s="3">
        <f>Tabla1[[#This Row],[costo_antes_iva]]*Tabla1[[#This Row],[OS-Cantidad]]</f>
        <v>15065000</v>
      </c>
      <c r="Y379" s="3">
        <f>Tabla1[[#This Row],[Valor total OS]]-Tabla1[[#This Row],[valor total op]]</f>
        <v>-8515000</v>
      </c>
    </row>
    <row r="380" spans="1:25" x14ac:dyDescent="0.3">
      <c r="A380">
        <v>6430</v>
      </c>
      <c r="B380">
        <v>1</v>
      </c>
      <c r="C380" t="s">
        <v>950</v>
      </c>
      <c r="D380">
        <v>1310</v>
      </c>
      <c r="E380" s="5">
        <v>45987.943055555559</v>
      </c>
      <c r="F380" t="s">
        <v>428</v>
      </c>
      <c r="G380" t="s">
        <v>435</v>
      </c>
      <c r="H380" t="s">
        <v>346</v>
      </c>
      <c r="I380">
        <v>200</v>
      </c>
      <c r="J380">
        <v>77935140</v>
      </c>
      <c r="K380" s="5">
        <v>46022</v>
      </c>
      <c r="L380" s="3">
        <v>12500</v>
      </c>
      <c r="M380" t="s">
        <v>436</v>
      </c>
      <c r="N380" t="s">
        <v>437</v>
      </c>
      <c r="O380" t="s">
        <v>951</v>
      </c>
      <c r="P380" s="3">
        <v>10400</v>
      </c>
      <c r="Q380">
        <v>1310</v>
      </c>
      <c r="R380" t="s">
        <v>953</v>
      </c>
      <c r="S380" t="s">
        <v>433</v>
      </c>
      <c r="T380" t="s">
        <v>434</v>
      </c>
      <c r="U380" t="s">
        <v>177</v>
      </c>
      <c r="V380" s="3">
        <f>Tabla1[[#This Row],[OS-Valor Unitario]]-Tabla1[[#This Row],[costo_antes_iva]]</f>
        <v>-2100</v>
      </c>
      <c r="W380" s="3">
        <f>Tabla1[[#This Row],[OS-Valor Unitario]]*Tabla1[[#This Row],[OS-Cantidad]]</f>
        <v>13624000</v>
      </c>
      <c r="X380" s="3">
        <f>Tabla1[[#This Row],[costo_antes_iva]]*Tabla1[[#This Row],[OS-Cantidad]]</f>
        <v>16375000</v>
      </c>
      <c r="Y380" s="3">
        <f>Tabla1[[#This Row],[Valor total OS]]-Tabla1[[#This Row],[valor total op]]</f>
        <v>-2751000</v>
      </c>
    </row>
    <row r="381" spans="1:25" x14ac:dyDescent="0.3">
      <c r="A381">
        <v>6430</v>
      </c>
      <c r="B381">
        <v>1</v>
      </c>
      <c r="C381" t="s">
        <v>950</v>
      </c>
      <c r="D381">
        <v>1310</v>
      </c>
      <c r="E381" s="5">
        <v>45987.943055555559</v>
      </c>
      <c r="F381" t="s">
        <v>428</v>
      </c>
      <c r="G381" t="s">
        <v>435</v>
      </c>
      <c r="H381" t="s">
        <v>346</v>
      </c>
      <c r="I381">
        <v>200</v>
      </c>
      <c r="J381">
        <v>77935140</v>
      </c>
      <c r="K381" s="5">
        <v>46022</v>
      </c>
      <c r="L381" s="3">
        <v>4500</v>
      </c>
      <c r="M381" t="s">
        <v>436</v>
      </c>
      <c r="N381" t="s">
        <v>56</v>
      </c>
      <c r="O381" t="s">
        <v>951</v>
      </c>
      <c r="P381" s="3">
        <v>5000</v>
      </c>
      <c r="Q381">
        <v>1310</v>
      </c>
      <c r="R381" t="s">
        <v>952</v>
      </c>
      <c r="S381" t="s">
        <v>433</v>
      </c>
      <c r="T381" t="s">
        <v>434</v>
      </c>
      <c r="U381" t="s">
        <v>177</v>
      </c>
      <c r="V381" s="3">
        <f>Tabla1[[#This Row],[OS-Valor Unitario]]-Tabla1[[#This Row],[costo_antes_iva]]</f>
        <v>500</v>
      </c>
      <c r="W381" s="3">
        <f>Tabla1[[#This Row],[OS-Valor Unitario]]*Tabla1[[#This Row],[OS-Cantidad]]</f>
        <v>6550000</v>
      </c>
      <c r="X381" s="3">
        <f>Tabla1[[#This Row],[costo_antes_iva]]*Tabla1[[#This Row],[OS-Cantidad]]</f>
        <v>5895000</v>
      </c>
      <c r="Y381" s="3">
        <f>Tabla1[[#This Row],[Valor total OS]]-Tabla1[[#This Row],[valor total op]]</f>
        <v>655000</v>
      </c>
    </row>
    <row r="382" spans="1:25" x14ac:dyDescent="0.3">
      <c r="A382">
        <v>6430</v>
      </c>
      <c r="B382">
        <v>1</v>
      </c>
      <c r="C382" t="s">
        <v>950</v>
      </c>
      <c r="D382">
        <v>1310</v>
      </c>
      <c r="E382" s="5">
        <v>45987.943055555559</v>
      </c>
      <c r="F382" t="s">
        <v>428</v>
      </c>
      <c r="G382" t="s">
        <v>435</v>
      </c>
      <c r="H382" t="s">
        <v>346</v>
      </c>
      <c r="I382">
        <v>1150</v>
      </c>
      <c r="J382">
        <v>76177272</v>
      </c>
      <c r="K382" s="5">
        <v>45987</v>
      </c>
      <c r="L382" s="3">
        <v>12500</v>
      </c>
      <c r="M382" t="s">
        <v>439</v>
      </c>
      <c r="N382" t="s">
        <v>437</v>
      </c>
      <c r="O382" t="s">
        <v>951</v>
      </c>
      <c r="P382" s="3">
        <v>10400</v>
      </c>
      <c r="Q382">
        <v>1310</v>
      </c>
      <c r="R382" t="s">
        <v>953</v>
      </c>
      <c r="S382" t="s">
        <v>433</v>
      </c>
      <c r="T382" t="s">
        <v>434</v>
      </c>
      <c r="U382" t="s">
        <v>177</v>
      </c>
      <c r="V382" s="3">
        <f>Tabla1[[#This Row],[OS-Valor Unitario]]-Tabla1[[#This Row],[costo_antes_iva]]</f>
        <v>-2100</v>
      </c>
      <c r="W382" s="3">
        <f>Tabla1[[#This Row],[OS-Valor Unitario]]*Tabla1[[#This Row],[OS-Cantidad]]</f>
        <v>13624000</v>
      </c>
      <c r="X382" s="3">
        <f>Tabla1[[#This Row],[costo_antes_iva]]*Tabla1[[#This Row],[OS-Cantidad]]</f>
        <v>16375000</v>
      </c>
      <c r="Y382" s="3">
        <f>Tabla1[[#This Row],[Valor total OS]]-Tabla1[[#This Row],[valor total op]]</f>
        <v>-2751000</v>
      </c>
    </row>
    <row r="383" spans="1:25" x14ac:dyDescent="0.3">
      <c r="A383">
        <v>6430</v>
      </c>
      <c r="B383">
        <v>1</v>
      </c>
      <c r="C383" t="s">
        <v>950</v>
      </c>
      <c r="D383">
        <v>1310</v>
      </c>
      <c r="E383" s="5">
        <v>45987.943055555559</v>
      </c>
      <c r="F383" t="s">
        <v>428</v>
      </c>
      <c r="G383" t="s">
        <v>435</v>
      </c>
      <c r="H383" t="s">
        <v>346</v>
      </c>
      <c r="I383">
        <v>1150</v>
      </c>
      <c r="J383">
        <v>76177272</v>
      </c>
      <c r="K383" s="5">
        <v>45987</v>
      </c>
      <c r="L383" s="3">
        <v>4500</v>
      </c>
      <c r="M383" t="s">
        <v>439</v>
      </c>
      <c r="N383" t="s">
        <v>56</v>
      </c>
      <c r="O383" t="s">
        <v>951</v>
      </c>
      <c r="P383" s="3">
        <v>5000</v>
      </c>
      <c r="Q383">
        <v>1310</v>
      </c>
      <c r="R383" t="s">
        <v>952</v>
      </c>
      <c r="S383" t="s">
        <v>433</v>
      </c>
      <c r="T383" t="s">
        <v>434</v>
      </c>
      <c r="U383" t="s">
        <v>177</v>
      </c>
      <c r="V383" s="3">
        <f>Tabla1[[#This Row],[OS-Valor Unitario]]-Tabla1[[#This Row],[costo_antes_iva]]</f>
        <v>500</v>
      </c>
      <c r="W383" s="3">
        <f>Tabla1[[#This Row],[OS-Valor Unitario]]*Tabla1[[#This Row],[OS-Cantidad]]</f>
        <v>6550000</v>
      </c>
      <c r="X383" s="3">
        <f>Tabla1[[#This Row],[costo_antes_iva]]*Tabla1[[#This Row],[OS-Cantidad]]</f>
        <v>5895000</v>
      </c>
      <c r="Y383" s="3">
        <f>Tabla1[[#This Row],[Valor total OS]]-Tabla1[[#This Row],[valor total op]]</f>
        <v>655000</v>
      </c>
    </row>
    <row r="384" spans="1:25" x14ac:dyDescent="0.3">
      <c r="A384">
        <v>6430</v>
      </c>
      <c r="B384">
        <v>1</v>
      </c>
      <c r="C384" t="s">
        <v>950</v>
      </c>
      <c r="D384">
        <v>1310</v>
      </c>
      <c r="E384" s="5">
        <v>45987.943055555559</v>
      </c>
      <c r="F384" t="s">
        <v>428</v>
      </c>
      <c r="G384" t="s">
        <v>435</v>
      </c>
      <c r="H384" t="s">
        <v>346</v>
      </c>
      <c r="I384">
        <v>5</v>
      </c>
      <c r="J384">
        <v>75885191</v>
      </c>
      <c r="K384" s="5">
        <v>45986</v>
      </c>
      <c r="L384" s="3">
        <v>12500</v>
      </c>
      <c r="M384" t="s">
        <v>440</v>
      </c>
      <c r="N384" t="s">
        <v>437</v>
      </c>
      <c r="O384" t="s">
        <v>951</v>
      </c>
      <c r="P384" s="3">
        <v>10400</v>
      </c>
      <c r="Q384">
        <v>1310</v>
      </c>
      <c r="R384" t="s">
        <v>953</v>
      </c>
      <c r="S384" t="s">
        <v>433</v>
      </c>
      <c r="T384" t="s">
        <v>434</v>
      </c>
      <c r="U384" t="s">
        <v>177</v>
      </c>
      <c r="V384" s="3">
        <f>Tabla1[[#This Row],[OS-Valor Unitario]]-Tabla1[[#This Row],[costo_antes_iva]]</f>
        <v>-2100</v>
      </c>
      <c r="W384" s="3">
        <f>Tabla1[[#This Row],[OS-Valor Unitario]]*Tabla1[[#This Row],[OS-Cantidad]]</f>
        <v>13624000</v>
      </c>
      <c r="X384" s="3">
        <f>Tabla1[[#This Row],[costo_antes_iva]]*Tabla1[[#This Row],[OS-Cantidad]]</f>
        <v>16375000</v>
      </c>
      <c r="Y384" s="3">
        <f>Tabla1[[#This Row],[Valor total OS]]-Tabla1[[#This Row],[valor total op]]</f>
        <v>-2751000</v>
      </c>
    </row>
    <row r="385" spans="1:25" x14ac:dyDescent="0.3">
      <c r="A385">
        <v>6430</v>
      </c>
      <c r="B385">
        <v>1</v>
      </c>
      <c r="C385" t="s">
        <v>950</v>
      </c>
      <c r="D385">
        <v>1310</v>
      </c>
      <c r="E385" s="5">
        <v>45987.943055555559</v>
      </c>
      <c r="F385" t="s">
        <v>428</v>
      </c>
      <c r="G385" t="s">
        <v>435</v>
      </c>
      <c r="H385" t="s">
        <v>346</v>
      </c>
      <c r="I385">
        <v>5</v>
      </c>
      <c r="J385">
        <v>75885191</v>
      </c>
      <c r="K385" s="5">
        <v>45986</v>
      </c>
      <c r="L385" s="3">
        <v>4500</v>
      </c>
      <c r="M385" t="s">
        <v>440</v>
      </c>
      <c r="N385" t="s">
        <v>56</v>
      </c>
      <c r="O385" t="s">
        <v>951</v>
      </c>
      <c r="P385" s="3">
        <v>5000</v>
      </c>
      <c r="Q385">
        <v>1310</v>
      </c>
      <c r="R385" t="s">
        <v>952</v>
      </c>
      <c r="S385" t="s">
        <v>433</v>
      </c>
      <c r="T385" t="s">
        <v>434</v>
      </c>
      <c r="U385" t="s">
        <v>177</v>
      </c>
      <c r="V385" s="3">
        <f>Tabla1[[#This Row],[OS-Valor Unitario]]-Tabla1[[#This Row],[costo_antes_iva]]</f>
        <v>500</v>
      </c>
      <c r="W385" s="3">
        <f>Tabla1[[#This Row],[OS-Valor Unitario]]*Tabla1[[#This Row],[OS-Cantidad]]</f>
        <v>6550000</v>
      </c>
      <c r="X385" s="3">
        <f>Tabla1[[#This Row],[costo_antes_iva]]*Tabla1[[#This Row],[OS-Cantidad]]</f>
        <v>5895000</v>
      </c>
      <c r="Y385" s="3">
        <f>Tabla1[[#This Row],[Valor total OS]]-Tabla1[[#This Row],[valor total op]]</f>
        <v>655000</v>
      </c>
    </row>
    <row r="386" spans="1:25" x14ac:dyDescent="0.3">
      <c r="A386">
        <v>6428</v>
      </c>
      <c r="B386">
        <v>1</v>
      </c>
      <c r="C386" t="s">
        <v>954</v>
      </c>
      <c r="D386">
        <v>60</v>
      </c>
      <c r="E386" s="5">
        <v>45986.57708333333</v>
      </c>
      <c r="F386" t="s">
        <v>955</v>
      </c>
      <c r="G386" t="s">
        <v>477</v>
      </c>
      <c r="H386" t="s">
        <v>319</v>
      </c>
      <c r="I386">
        <v>60</v>
      </c>
      <c r="J386">
        <v>75938400</v>
      </c>
      <c r="K386" s="5">
        <v>45986</v>
      </c>
      <c r="L386" s="3">
        <v>1500</v>
      </c>
      <c r="M386" t="s">
        <v>956</v>
      </c>
      <c r="N386" t="s">
        <v>26</v>
      </c>
      <c r="O386" t="s">
        <v>957</v>
      </c>
      <c r="P386" s="3">
        <v>2900</v>
      </c>
      <c r="Q386">
        <v>60</v>
      </c>
      <c r="R386" t="s">
        <v>958</v>
      </c>
      <c r="S386" t="s">
        <v>959</v>
      </c>
      <c r="T386" t="s">
        <v>960</v>
      </c>
      <c r="U386" t="s">
        <v>325</v>
      </c>
      <c r="V386" s="3">
        <f>Tabla1[[#This Row],[OS-Valor Unitario]]-Tabla1[[#This Row],[costo_antes_iva]]</f>
        <v>1400</v>
      </c>
      <c r="W386" s="3">
        <f>Tabla1[[#This Row],[OS-Valor Unitario]]*Tabla1[[#This Row],[OS-Cantidad]]</f>
        <v>174000</v>
      </c>
      <c r="X386" s="3">
        <f>Tabla1[[#This Row],[costo_antes_iva]]*Tabla1[[#This Row],[OS-Cantidad]]</f>
        <v>90000</v>
      </c>
      <c r="Y386" s="3">
        <f>Tabla1[[#This Row],[Valor total OS]]-Tabla1[[#This Row],[valor total op]]</f>
        <v>84000</v>
      </c>
    </row>
    <row r="387" spans="1:25" x14ac:dyDescent="0.3">
      <c r="A387">
        <v>6425</v>
      </c>
      <c r="B387">
        <v>1</v>
      </c>
      <c r="C387" t="s">
        <v>961</v>
      </c>
      <c r="D387">
        <v>680</v>
      </c>
      <c r="E387" s="5">
        <v>45985.668749999997</v>
      </c>
      <c r="F387" t="s">
        <v>962</v>
      </c>
      <c r="G387" t="s">
        <v>87</v>
      </c>
      <c r="H387" t="s">
        <v>182</v>
      </c>
      <c r="I387">
        <v>680</v>
      </c>
      <c r="J387">
        <v>75860551</v>
      </c>
      <c r="K387" s="5">
        <v>45985</v>
      </c>
      <c r="L387" s="3">
        <v>4000</v>
      </c>
      <c r="M387" t="s">
        <v>963</v>
      </c>
      <c r="N387" t="s">
        <v>56</v>
      </c>
      <c r="O387" t="s">
        <v>964</v>
      </c>
      <c r="P387" s="3">
        <v>5000</v>
      </c>
      <c r="Q387">
        <v>680</v>
      </c>
      <c r="R387" t="s">
        <v>965</v>
      </c>
      <c r="S387" t="s">
        <v>966</v>
      </c>
      <c r="T387" t="s">
        <v>967</v>
      </c>
      <c r="U387" t="s">
        <v>31</v>
      </c>
      <c r="V387" s="3">
        <f>Tabla1[[#This Row],[OS-Valor Unitario]]-Tabla1[[#This Row],[costo_antes_iva]]</f>
        <v>1000</v>
      </c>
      <c r="W387" s="3">
        <f>Tabla1[[#This Row],[OS-Valor Unitario]]*Tabla1[[#This Row],[OS-Cantidad]]</f>
        <v>3400000</v>
      </c>
      <c r="X387" s="3">
        <f>Tabla1[[#This Row],[costo_antes_iva]]*Tabla1[[#This Row],[OS-Cantidad]]</f>
        <v>2720000</v>
      </c>
      <c r="Y387" s="3">
        <f>Tabla1[[#This Row],[Valor total OS]]-Tabla1[[#This Row],[valor total op]]</f>
        <v>680000</v>
      </c>
    </row>
    <row r="388" spans="1:25" x14ac:dyDescent="0.3">
      <c r="A388">
        <v>6425</v>
      </c>
      <c r="B388">
        <v>1</v>
      </c>
      <c r="C388" t="s">
        <v>961</v>
      </c>
      <c r="D388">
        <v>680</v>
      </c>
      <c r="E388" s="5">
        <v>45985.668749999997</v>
      </c>
      <c r="F388" t="s">
        <v>962</v>
      </c>
      <c r="G388" t="s">
        <v>87</v>
      </c>
      <c r="H388" t="s">
        <v>182</v>
      </c>
      <c r="I388">
        <v>680</v>
      </c>
      <c r="J388">
        <v>75860551</v>
      </c>
      <c r="K388" s="5">
        <v>45985</v>
      </c>
      <c r="L388" s="3">
        <v>2000</v>
      </c>
      <c r="M388" t="s">
        <v>963</v>
      </c>
      <c r="N388" t="s">
        <v>26</v>
      </c>
      <c r="O388" t="s">
        <v>964</v>
      </c>
      <c r="P388" s="3">
        <v>1650</v>
      </c>
      <c r="Q388">
        <v>680</v>
      </c>
      <c r="R388" t="s">
        <v>968</v>
      </c>
      <c r="S388" t="s">
        <v>966</v>
      </c>
      <c r="T388" t="s">
        <v>967</v>
      </c>
      <c r="U388" t="s">
        <v>31</v>
      </c>
      <c r="V388" s="3">
        <f>Tabla1[[#This Row],[OS-Valor Unitario]]-Tabla1[[#This Row],[costo_antes_iva]]</f>
        <v>-350</v>
      </c>
      <c r="W388" s="3">
        <f>Tabla1[[#This Row],[OS-Valor Unitario]]*Tabla1[[#This Row],[OS-Cantidad]]</f>
        <v>1122000</v>
      </c>
      <c r="X388" s="3">
        <f>Tabla1[[#This Row],[costo_antes_iva]]*Tabla1[[#This Row],[OS-Cantidad]]</f>
        <v>1360000</v>
      </c>
      <c r="Y388" s="3">
        <f>Tabla1[[#This Row],[Valor total OS]]-Tabla1[[#This Row],[valor total op]]</f>
        <v>-238000</v>
      </c>
    </row>
    <row r="389" spans="1:25" x14ac:dyDescent="0.3">
      <c r="A389">
        <v>6425</v>
      </c>
      <c r="B389">
        <v>2</v>
      </c>
      <c r="C389" t="s">
        <v>969</v>
      </c>
      <c r="D389">
        <v>170</v>
      </c>
      <c r="E389" s="5">
        <v>45985.668749999997</v>
      </c>
      <c r="F389" t="s">
        <v>970</v>
      </c>
      <c r="G389" t="s">
        <v>87</v>
      </c>
      <c r="H389" t="s">
        <v>182</v>
      </c>
      <c r="I389">
        <v>170</v>
      </c>
      <c r="J389">
        <v>75861971</v>
      </c>
      <c r="K389" s="5">
        <v>45985</v>
      </c>
      <c r="L389" s="3">
        <v>4000</v>
      </c>
      <c r="M389" t="s">
        <v>971</v>
      </c>
      <c r="N389" t="s">
        <v>56</v>
      </c>
      <c r="O389" t="s">
        <v>972</v>
      </c>
      <c r="P389" s="3">
        <v>5000</v>
      </c>
      <c r="Q389">
        <v>170</v>
      </c>
      <c r="R389" t="s">
        <v>973</v>
      </c>
      <c r="S389" t="s">
        <v>966</v>
      </c>
      <c r="T389" t="s">
        <v>967</v>
      </c>
      <c r="U389" t="s">
        <v>31</v>
      </c>
      <c r="V389" s="3">
        <f>Tabla1[[#This Row],[OS-Valor Unitario]]-Tabla1[[#This Row],[costo_antes_iva]]</f>
        <v>1000</v>
      </c>
      <c r="W389" s="3">
        <f>Tabla1[[#This Row],[OS-Valor Unitario]]*Tabla1[[#This Row],[OS-Cantidad]]</f>
        <v>850000</v>
      </c>
      <c r="X389" s="3">
        <f>Tabla1[[#This Row],[costo_antes_iva]]*Tabla1[[#This Row],[OS-Cantidad]]</f>
        <v>680000</v>
      </c>
      <c r="Y389" s="3">
        <f>Tabla1[[#This Row],[Valor total OS]]-Tabla1[[#This Row],[valor total op]]</f>
        <v>170000</v>
      </c>
    </row>
    <row r="390" spans="1:25" x14ac:dyDescent="0.3">
      <c r="A390">
        <v>6425</v>
      </c>
      <c r="B390">
        <v>2</v>
      </c>
      <c r="C390" t="s">
        <v>969</v>
      </c>
      <c r="D390">
        <v>170</v>
      </c>
      <c r="E390" s="5">
        <v>45985.668749999997</v>
      </c>
      <c r="F390" t="s">
        <v>970</v>
      </c>
      <c r="G390" t="s">
        <v>87</v>
      </c>
      <c r="H390" t="s">
        <v>182</v>
      </c>
      <c r="I390">
        <v>170</v>
      </c>
      <c r="J390">
        <v>75861971</v>
      </c>
      <c r="K390" s="5">
        <v>45985</v>
      </c>
      <c r="L390" s="3">
        <v>2000</v>
      </c>
      <c r="M390" t="s">
        <v>971</v>
      </c>
      <c r="N390" t="s">
        <v>26</v>
      </c>
      <c r="O390" t="s">
        <v>972</v>
      </c>
      <c r="P390" s="3">
        <v>1650</v>
      </c>
      <c r="Q390">
        <v>182</v>
      </c>
      <c r="R390" t="s">
        <v>974</v>
      </c>
      <c r="S390" t="s">
        <v>966</v>
      </c>
      <c r="T390" t="s">
        <v>967</v>
      </c>
      <c r="U390" t="s">
        <v>31</v>
      </c>
      <c r="V390" s="3">
        <f>Tabla1[[#This Row],[OS-Valor Unitario]]-Tabla1[[#This Row],[costo_antes_iva]]</f>
        <v>-350</v>
      </c>
      <c r="W390" s="3">
        <f>Tabla1[[#This Row],[OS-Valor Unitario]]*Tabla1[[#This Row],[OS-Cantidad]]</f>
        <v>300300</v>
      </c>
      <c r="X390" s="3">
        <f>Tabla1[[#This Row],[costo_antes_iva]]*Tabla1[[#This Row],[OS-Cantidad]]</f>
        <v>364000</v>
      </c>
      <c r="Y390" s="3">
        <f>Tabla1[[#This Row],[Valor total OS]]-Tabla1[[#This Row],[valor total op]]</f>
        <v>-63700</v>
      </c>
    </row>
    <row r="391" spans="1:25" x14ac:dyDescent="0.3">
      <c r="A391">
        <v>6422</v>
      </c>
      <c r="B391">
        <v>1</v>
      </c>
      <c r="C391" t="s">
        <v>975</v>
      </c>
      <c r="D391">
        <v>12</v>
      </c>
      <c r="E391" s="5">
        <v>45985.390972222223</v>
      </c>
      <c r="F391" t="s">
        <v>976</v>
      </c>
      <c r="G391" t="s">
        <v>201</v>
      </c>
      <c r="H391" t="s">
        <v>155</v>
      </c>
      <c r="I391">
        <v>12</v>
      </c>
      <c r="J391">
        <v>75839731</v>
      </c>
      <c r="K391" s="5">
        <v>45985</v>
      </c>
      <c r="L391" s="3">
        <v>13000</v>
      </c>
      <c r="M391" t="s">
        <v>977</v>
      </c>
      <c r="N391" t="s">
        <v>56</v>
      </c>
      <c r="O391" t="s">
        <v>978</v>
      </c>
      <c r="P391" s="3">
        <v>13000</v>
      </c>
      <c r="Q391">
        <v>12</v>
      </c>
      <c r="R391" t="s">
        <v>979</v>
      </c>
      <c r="S391" t="s">
        <v>980</v>
      </c>
      <c r="T391" t="s">
        <v>981</v>
      </c>
      <c r="U391" t="s">
        <v>31</v>
      </c>
      <c r="V391" s="3">
        <f>Tabla1[[#This Row],[OS-Valor Unitario]]-Tabla1[[#This Row],[costo_antes_iva]]</f>
        <v>0</v>
      </c>
      <c r="W391" s="3">
        <f>Tabla1[[#This Row],[OS-Valor Unitario]]*Tabla1[[#This Row],[OS-Cantidad]]</f>
        <v>156000</v>
      </c>
      <c r="X391" s="3">
        <f>Tabla1[[#This Row],[costo_antes_iva]]*Tabla1[[#This Row],[OS-Cantidad]]</f>
        <v>156000</v>
      </c>
      <c r="Y391" s="3">
        <f>Tabla1[[#This Row],[Valor total OS]]-Tabla1[[#This Row],[valor total op]]</f>
        <v>0</v>
      </c>
    </row>
    <row r="392" spans="1:25" x14ac:dyDescent="0.3">
      <c r="A392">
        <v>6421</v>
      </c>
      <c r="B392">
        <v>1</v>
      </c>
      <c r="C392" t="s">
        <v>982</v>
      </c>
      <c r="D392">
        <v>101</v>
      </c>
      <c r="E392" s="5">
        <v>45982.600694444445</v>
      </c>
      <c r="F392" t="s">
        <v>983</v>
      </c>
      <c r="G392" t="s">
        <v>128</v>
      </c>
      <c r="H392" t="s">
        <v>984</v>
      </c>
      <c r="I392">
        <v>101</v>
      </c>
      <c r="J392">
        <v>75709053</v>
      </c>
      <c r="K392" s="5">
        <v>45982</v>
      </c>
      <c r="L392" s="3">
        <v>12500</v>
      </c>
      <c r="M392" t="s">
        <v>985</v>
      </c>
      <c r="N392" t="s">
        <v>56</v>
      </c>
      <c r="O392" t="s">
        <v>986</v>
      </c>
      <c r="P392" s="3">
        <v>13000</v>
      </c>
      <c r="Q392">
        <v>101</v>
      </c>
      <c r="R392" t="s">
        <v>987</v>
      </c>
      <c r="S392" t="s">
        <v>988</v>
      </c>
      <c r="T392" t="s">
        <v>989</v>
      </c>
      <c r="U392" t="s">
        <v>31</v>
      </c>
      <c r="V392" s="3">
        <f>Tabla1[[#This Row],[OS-Valor Unitario]]-Tabla1[[#This Row],[costo_antes_iva]]</f>
        <v>500</v>
      </c>
      <c r="W392" s="3">
        <f>Tabla1[[#This Row],[OS-Valor Unitario]]*Tabla1[[#This Row],[OS-Cantidad]]</f>
        <v>1313000</v>
      </c>
      <c r="X392" s="3">
        <f>Tabla1[[#This Row],[costo_antes_iva]]*Tabla1[[#This Row],[OS-Cantidad]]</f>
        <v>1262500</v>
      </c>
      <c r="Y392" s="3">
        <f>Tabla1[[#This Row],[Valor total OS]]-Tabla1[[#This Row],[valor total op]]</f>
        <v>50500</v>
      </c>
    </row>
    <row r="393" spans="1:25" x14ac:dyDescent="0.3">
      <c r="A393">
        <v>6421</v>
      </c>
      <c r="B393">
        <v>1</v>
      </c>
      <c r="C393" t="s">
        <v>982</v>
      </c>
      <c r="D393">
        <v>101</v>
      </c>
      <c r="E393" s="5">
        <v>45982.600694444445</v>
      </c>
      <c r="F393" t="s">
        <v>983</v>
      </c>
      <c r="G393" t="s">
        <v>128</v>
      </c>
      <c r="H393" t="s">
        <v>984</v>
      </c>
      <c r="I393">
        <v>101</v>
      </c>
      <c r="J393">
        <v>75709053</v>
      </c>
      <c r="K393" s="5">
        <v>45982</v>
      </c>
      <c r="L393" s="3">
        <v>9500</v>
      </c>
      <c r="M393" t="s">
        <v>985</v>
      </c>
      <c r="N393" t="s">
        <v>26</v>
      </c>
      <c r="O393" t="s">
        <v>986</v>
      </c>
      <c r="P393" s="3">
        <v>9500</v>
      </c>
      <c r="Q393">
        <v>101</v>
      </c>
      <c r="R393" t="s">
        <v>990</v>
      </c>
      <c r="S393" t="s">
        <v>988</v>
      </c>
      <c r="T393" t="s">
        <v>989</v>
      </c>
      <c r="U393" t="s">
        <v>31</v>
      </c>
      <c r="V393" s="3">
        <f>Tabla1[[#This Row],[OS-Valor Unitario]]-Tabla1[[#This Row],[costo_antes_iva]]</f>
        <v>0</v>
      </c>
      <c r="W393" s="3">
        <f>Tabla1[[#This Row],[OS-Valor Unitario]]*Tabla1[[#This Row],[OS-Cantidad]]</f>
        <v>959500</v>
      </c>
      <c r="X393" s="3">
        <f>Tabla1[[#This Row],[costo_antes_iva]]*Tabla1[[#This Row],[OS-Cantidad]]</f>
        <v>959500</v>
      </c>
      <c r="Y393" s="3">
        <f>Tabla1[[#This Row],[Valor total OS]]-Tabla1[[#This Row],[valor total op]]</f>
        <v>0</v>
      </c>
    </row>
    <row r="394" spans="1:25" x14ac:dyDescent="0.3">
      <c r="A394">
        <v>6421</v>
      </c>
      <c r="B394">
        <v>2</v>
      </c>
      <c r="C394" t="s">
        <v>991</v>
      </c>
      <c r="D394">
        <v>8</v>
      </c>
      <c r="E394" s="5">
        <v>45982.600694444445</v>
      </c>
      <c r="F394" t="s">
        <v>992</v>
      </c>
      <c r="G394" t="s">
        <v>128</v>
      </c>
      <c r="H394" t="s">
        <v>984</v>
      </c>
      <c r="I394">
        <v>8</v>
      </c>
      <c r="J394">
        <v>75709147</v>
      </c>
      <c r="K394" s="5">
        <v>45982</v>
      </c>
      <c r="L394" s="3">
        <v>12500</v>
      </c>
      <c r="M394" t="s">
        <v>985</v>
      </c>
      <c r="N394" t="s">
        <v>56</v>
      </c>
      <c r="O394" t="s">
        <v>993</v>
      </c>
      <c r="P394" s="3">
        <v>13000</v>
      </c>
      <c r="Q394">
        <v>8</v>
      </c>
      <c r="R394" t="s">
        <v>994</v>
      </c>
      <c r="S394" t="s">
        <v>988</v>
      </c>
      <c r="T394" t="s">
        <v>989</v>
      </c>
      <c r="U394" t="s">
        <v>31</v>
      </c>
      <c r="V394" s="3">
        <f>Tabla1[[#This Row],[OS-Valor Unitario]]-Tabla1[[#This Row],[costo_antes_iva]]</f>
        <v>500</v>
      </c>
      <c r="W394" s="3">
        <f>Tabla1[[#This Row],[OS-Valor Unitario]]*Tabla1[[#This Row],[OS-Cantidad]]</f>
        <v>104000</v>
      </c>
      <c r="X394" s="3">
        <f>Tabla1[[#This Row],[costo_antes_iva]]*Tabla1[[#This Row],[OS-Cantidad]]</f>
        <v>100000</v>
      </c>
      <c r="Y394" s="3">
        <f>Tabla1[[#This Row],[Valor total OS]]-Tabla1[[#This Row],[valor total op]]</f>
        <v>4000</v>
      </c>
    </row>
    <row r="395" spans="1:25" x14ac:dyDescent="0.3">
      <c r="A395">
        <v>6421</v>
      </c>
      <c r="B395">
        <v>2</v>
      </c>
      <c r="C395" t="s">
        <v>991</v>
      </c>
      <c r="D395">
        <v>8</v>
      </c>
      <c r="E395" s="5">
        <v>45982.600694444445</v>
      </c>
      <c r="F395" t="s">
        <v>992</v>
      </c>
      <c r="G395" t="s">
        <v>128</v>
      </c>
      <c r="H395" t="s">
        <v>984</v>
      </c>
      <c r="I395">
        <v>8</v>
      </c>
      <c r="J395">
        <v>75709147</v>
      </c>
      <c r="K395" s="5">
        <v>45982</v>
      </c>
      <c r="L395" s="3">
        <v>5600</v>
      </c>
      <c r="M395" t="s">
        <v>985</v>
      </c>
      <c r="N395" t="s">
        <v>26</v>
      </c>
      <c r="O395" t="s">
        <v>993</v>
      </c>
      <c r="P395" s="3">
        <v>5600</v>
      </c>
      <c r="Q395">
        <v>8</v>
      </c>
      <c r="R395" t="s">
        <v>995</v>
      </c>
      <c r="S395" t="s">
        <v>988</v>
      </c>
      <c r="T395" t="s">
        <v>989</v>
      </c>
      <c r="U395" t="s">
        <v>31</v>
      </c>
      <c r="V395" s="3">
        <f>Tabla1[[#This Row],[OS-Valor Unitario]]-Tabla1[[#This Row],[costo_antes_iva]]</f>
        <v>0</v>
      </c>
      <c r="W395" s="3">
        <f>Tabla1[[#This Row],[OS-Valor Unitario]]*Tabla1[[#This Row],[OS-Cantidad]]</f>
        <v>44800</v>
      </c>
      <c r="X395" s="3">
        <f>Tabla1[[#This Row],[costo_antes_iva]]*Tabla1[[#This Row],[OS-Cantidad]]</f>
        <v>44800</v>
      </c>
      <c r="Y395" s="3">
        <f>Tabla1[[#This Row],[Valor total OS]]-Tabla1[[#This Row],[valor total op]]</f>
        <v>0</v>
      </c>
    </row>
    <row r="396" spans="1:25" x14ac:dyDescent="0.3">
      <c r="A396">
        <v>6421</v>
      </c>
      <c r="B396">
        <v>3</v>
      </c>
      <c r="C396" t="s">
        <v>996</v>
      </c>
      <c r="D396">
        <v>11</v>
      </c>
      <c r="E396" s="5">
        <v>45982.600694444445</v>
      </c>
      <c r="F396" t="s">
        <v>997</v>
      </c>
      <c r="G396" t="s">
        <v>128</v>
      </c>
      <c r="H396" t="s">
        <v>984</v>
      </c>
      <c r="I396">
        <v>11</v>
      </c>
      <c r="J396">
        <v>75709153</v>
      </c>
      <c r="K396" s="5">
        <v>45982</v>
      </c>
      <c r="L396" s="3">
        <v>12500</v>
      </c>
      <c r="M396" t="s">
        <v>985</v>
      </c>
      <c r="N396" t="s">
        <v>56</v>
      </c>
      <c r="O396" t="s">
        <v>998</v>
      </c>
      <c r="P396" s="3">
        <v>13000</v>
      </c>
      <c r="Q396">
        <v>11</v>
      </c>
      <c r="R396" t="s">
        <v>999</v>
      </c>
      <c r="S396" t="s">
        <v>988</v>
      </c>
      <c r="T396" t="s">
        <v>989</v>
      </c>
      <c r="U396" t="s">
        <v>31</v>
      </c>
      <c r="V396" s="3">
        <f>Tabla1[[#This Row],[OS-Valor Unitario]]-Tabla1[[#This Row],[costo_antes_iva]]</f>
        <v>500</v>
      </c>
      <c r="W396" s="3">
        <f>Tabla1[[#This Row],[OS-Valor Unitario]]*Tabla1[[#This Row],[OS-Cantidad]]</f>
        <v>143000</v>
      </c>
      <c r="X396" s="3">
        <f>Tabla1[[#This Row],[costo_antes_iva]]*Tabla1[[#This Row],[OS-Cantidad]]</f>
        <v>137500</v>
      </c>
      <c r="Y396" s="3">
        <f>Tabla1[[#This Row],[Valor total OS]]-Tabla1[[#This Row],[valor total op]]</f>
        <v>5500</v>
      </c>
    </row>
    <row r="397" spans="1:25" x14ac:dyDescent="0.3">
      <c r="A397">
        <v>6421</v>
      </c>
      <c r="B397">
        <v>3</v>
      </c>
      <c r="C397" t="s">
        <v>996</v>
      </c>
      <c r="D397">
        <v>11</v>
      </c>
      <c r="E397" s="5">
        <v>45982.600694444445</v>
      </c>
      <c r="F397" t="s">
        <v>997</v>
      </c>
      <c r="G397" t="s">
        <v>128</v>
      </c>
      <c r="H397" t="s">
        <v>984</v>
      </c>
      <c r="I397">
        <v>11</v>
      </c>
      <c r="J397">
        <v>75709153</v>
      </c>
      <c r="K397" s="5">
        <v>45982</v>
      </c>
      <c r="L397" s="3">
        <v>6600</v>
      </c>
      <c r="M397" t="s">
        <v>985</v>
      </c>
      <c r="N397" t="s">
        <v>26</v>
      </c>
      <c r="O397" t="s">
        <v>998</v>
      </c>
      <c r="P397" s="3">
        <v>6600</v>
      </c>
      <c r="Q397">
        <v>11</v>
      </c>
      <c r="R397" t="s">
        <v>1000</v>
      </c>
      <c r="S397" t="s">
        <v>988</v>
      </c>
      <c r="T397" t="s">
        <v>989</v>
      </c>
      <c r="U397" t="s">
        <v>31</v>
      </c>
      <c r="V397" s="3">
        <f>Tabla1[[#This Row],[OS-Valor Unitario]]-Tabla1[[#This Row],[costo_antes_iva]]</f>
        <v>0</v>
      </c>
      <c r="W397" s="3">
        <f>Tabla1[[#This Row],[OS-Valor Unitario]]*Tabla1[[#This Row],[OS-Cantidad]]</f>
        <v>72600</v>
      </c>
      <c r="X397" s="3">
        <f>Tabla1[[#This Row],[costo_antes_iva]]*Tabla1[[#This Row],[OS-Cantidad]]</f>
        <v>72600</v>
      </c>
      <c r="Y397" s="3">
        <f>Tabla1[[#This Row],[Valor total OS]]-Tabla1[[#This Row],[valor total op]]</f>
        <v>0</v>
      </c>
    </row>
    <row r="398" spans="1:25" x14ac:dyDescent="0.3">
      <c r="A398">
        <v>6421</v>
      </c>
      <c r="B398">
        <v>4</v>
      </c>
      <c r="C398" t="s">
        <v>1001</v>
      </c>
      <c r="D398">
        <v>26</v>
      </c>
      <c r="E398" s="5">
        <v>45982.600694444445</v>
      </c>
      <c r="F398" t="s">
        <v>1002</v>
      </c>
      <c r="G398" t="s">
        <v>128</v>
      </c>
      <c r="H398" t="s">
        <v>984</v>
      </c>
      <c r="I398">
        <v>26</v>
      </c>
      <c r="J398">
        <v>75709159</v>
      </c>
      <c r="K398" s="5">
        <v>45982</v>
      </c>
      <c r="L398" s="3">
        <v>12500</v>
      </c>
      <c r="M398" t="s">
        <v>985</v>
      </c>
      <c r="N398" t="s">
        <v>56</v>
      </c>
      <c r="O398" t="s">
        <v>1003</v>
      </c>
      <c r="P398" s="3">
        <v>13000</v>
      </c>
      <c r="Q398">
        <v>26</v>
      </c>
      <c r="R398" t="s">
        <v>1004</v>
      </c>
      <c r="S398" t="s">
        <v>988</v>
      </c>
      <c r="T398" t="s">
        <v>989</v>
      </c>
      <c r="U398" t="s">
        <v>31</v>
      </c>
      <c r="V398" s="3">
        <f>Tabla1[[#This Row],[OS-Valor Unitario]]-Tabla1[[#This Row],[costo_antes_iva]]</f>
        <v>500</v>
      </c>
      <c r="W398" s="3">
        <f>Tabla1[[#This Row],[OS-Valor Unitario]]*Tabla1[[#This Row],[OS-Cantidad]]</f>
        <v>338000</v>
      </c>
      <c r="X398" s="3">
        <f>Tabla1[[#This Row],[costo_antes_iva]]*Tabla1[[#This Row],[OS-Cantidad]]</f>
        <v>325000</v>
      </c>
      <c r="Y398" s="3">
        <f>Tabla1[[#This Row],[Valor total OS]]-Tabla1[[#This Row],[valor total op]]</f>
        <v>13000</v>
      </c>
    </row>
    <row r="399" spans="1:25" x14ac:dyDescent="0.3">
      <c r="A399">
        <v>6421</v>
      </c>
      <c r="B399">
        <v>4</v>
      </c>
      <c r="C399" t="s">
        <v>1001</v>
      </c>
      <c r="D399">
        <v>26</v>
      </c>
      <c r="E399" s="5">
        <v>45982.600694444445</v>
      </c>
      <c r="F399" t="s">
        <v>1002</v>
      </c>
      <c r="G399" t="s">
        <v>128</v>
      </c>
      <c r="H399" t="s">
        <v>984</v>
      </c>
      <c r="I399">
        <v>26</v>
      </c>
      <c r="J399">
        <v>75709159</v>
      </c>
      <c r="K399" s="5">
        <v>45982</v>
      </c>
      <c r="L399" s="3">
        <v>5600</v>
      </c>
      <c r="M399" t="s">
        <v>985</v>
      </c>
      <c r="N399" t="s">
        <v>26</v>
      </c>
      <c r="O399" t="s">
        <v>1003</v>
      </c>
      <c r="P399" s="3">
        <v>5600</v>
      </c>
      <c r="Q399">
        <v>26</v>
      </c>
      <c r="R399" t="s">
        <v>1005</v>
      </c>
      <c r="S399" t="s">
        <v>988</v>
      </c>
      <c r="T399" t="s">
        <v>989</v>
      </c>
      <c r="U399" t="s">
        <v>31</v>
      </c>
      <c r="V399" s="3">
        <f>Tabla1[[#This Row],[OS-Valor Unitario]]-Tabla1[[#This Row],[costo_antes_iva]]</f>
        <v>0</v>
      </c>
      <c r="W399" s="3">
        <f>Tabla1[[#This Row],[OS-Valor Unitario]]*Tabla1[[#This Row],[OS-Cantidad]]</f>
        <v>145600</v>
      </c>
      <c r="X399" s="3">
        <f>Tabla1[[#This Row],[costo_antes_iva]]*Tabla1[[#This Row],[OS-Cantidad]]</f>
        <v>145600</v>
      </c>
      <c r="Y399" s="3">
        <f>Tabla1[[#This Row],[Valor total OS]]-Tabla1[[#This Row],[valor total op]]</f>
        <v>0</v>
      </c>
    </row>
    <row r="400" spans="1:25" x14ac:dyDescent="0.3">
      <c r="A400">
        <v>6421</v>
      </c>
      <c r="B400">
        <v>4</v>
      </c>
      <c r="C400" t="s">
        <v>1001</v>
      </c>
      <c r="D400">
        <v>26</v>
      </c>
      <c r="E400" s="5">
        <v>45982.600694444445</v>
      </c>
      <c r="F400" t="s">
        <v>1002</v>
      </c>
      <c r="G400" t="s">
        <v>128</v>
      </c>
      <c r="H400" t="s">
        <v>984</v>
      </c>
      <c r="I400">
        <v>4</v>
      </c>
      <c r="J400">
        <v>75711349</v>
      </c>
      <c r="K400" s="5">
        <v>45982</v>
      </c>
      <c r="L400" s="3">
        <v>12500</v>
      </c>
      <c r="M400" t="s">
        <v>1006</v>
      </c>
      <c r="N400" t="s">
        <v>56</v>
      </c>
      <c r="O400" t="s">
        <v>1003</v>
      </c>
      <c r="P400" s="3">
        <v>13000</v>
      </c>
      <c r="Q400">
        <v>26</v>
      </c>
      <c r="R400" t="s">
        <v>1004</v>
      </c>
      <c r="S400" t="s">
        <v>988</v>
      </c>
      <c r="T400" t="s">
        <v>989</v>
      </c>
      <c r="U400" t="s">
        <v>31</v>
      </c>
      <c r="V400" s="3">
        <f>Tabla1[[#This Row],[OS-Valor Unitario]]-Tabla1[[#This Row],[costo_antes_iva]]</f>
        <v>500</v>
      </c>
      <c r="W400" s="3">
        <f>Tabla1[[#This Row],[OS-Valor Unitario]]*Tabla1[[#This Row],[OS-Cantidad]]</f>
        <v>338000</v>
      </c>
      <c r="X400" s="3">
        <f>Tabla1[[#This Row],[costo_antes_iva]]*Tabla1[[#This Row],[OS-Cantidad]]</f>
        <v>325000</v>
      </c>
      <c r="Y400" s="3">
        <f>Tabla1[[#This Row],[Valor total OS]]-Tabla1[[#This Row],[valor total op]]</f>
        <v>13000</v>
      </c>
    </row>
    <row r="401" spans="1:25" x14ac:dyDescent="0.3">
      <c r="A401">
        <v>6421</v>
      </c>
      <c r="B401">
        <v>4</v>
      </c>
      <c r="C401" t="s">
        <v>1001</v>
      </c>
      <c r="D401">
        <v>26</v>
      </c>
      <c r="E401" s="5">
        <v>45982.600694444445</v>
      </c>
      <c r="F401" t="s">
        <v>1002</v>
      </c>
      <c r="G401" t="s">
        <v>128</v>
      </c>
      <c r="H401" t="s">
        <v>984</v>
      </c>
      <c r="I401">
        <v>4</v>
      </c>
      <c r="J401">
        <v>75711349</v>
      </c>
      <c r="K401" s="5">
        <v>45982</v>
      </c>
      <c r="L401" s="3">
        <v>5000</v>
      </c>
      <c r="M401" t="s">
        <v>1006</v>
      </c>
      <c r="N401" t="s">
        <v>26</v>
      </c>
      <c r="O401" t="s">
        <v>1003</v>
      </c>
      <c r="P401" s="3">
        <v>5600</v>
      </c>
      <c r="Q401">
        <v>26</v>
      </c>
      <c r="R401" t="s">
        <v>1005</v>
      </c>
      <c r="S401" t="s">
        <v>988</v>
      </c>
      <c r="T401" t="s">
        <v>989</v>
      </c>
      <c r="U401" t="s">
        <v>31</v>
      </c>
      <c r="V401" s="3">
        <f>Tabla1[[#This Row],[OS-Valor Unitario]]-Tabla1[[#This Row],[costo_antes_iva]]</f>
        <v>600</v>
      </c>
      <c r="W401" s="3">
        <f>Tabla1[[#This Row],[OS-Valor Unitario]]*Tabla1[[#This Row],[OS-Cantidad]]</f>
        <v>145600</v>
      </c>
      <c r="X401" s="3">
        <f>Tabla1[[#This Row],[costo_antes_iva]]*Tabla1[[#This Row],[OS-Cantidad]]</f>
        <v>130000</v>
      </c>
      <c r="Y401" s="3">
        <f>Tabla1[[#This Row],[Valor total OS]]-Tabla1[[#This Row],[valor total op]]</f>
        <v>15600</v>
      </c>
    </row>
    <row r="402" spans="1:25" x14ac:dyDescent="0.3">
      <c r="A402">
        <v>6421</v>
      </c>
      <c r="B402">
        <v>5</v>
      </c>
      <c r="C402" t="s">
        <v>1007</v>
      </c>
      <c r="D402">
        <v>4</v>
      </c>
      <c r="E402" s="5">
        <v>45982.600694444445</v>
      </c>
      <c r="F402" t="s">
        <v>1002</v>
      </c>
      <c r="G402" t="s">
        <v>128</v>
      </c>
      <c r="H402" t="s">
        <v>984</v>
      </c>
      <c r="I402">
        <v>26</v>
      </c>
      <c r="J402">
        <v>75709159</v>
      </c>
      <c r="K402" s="5">
        <v>45982</v>
      </c>
      <c r="L402" s="3">
        <v>12500</v>
      </c>
      <c r="M402" t="s">
        <v>985</v>
      </c>
      <c r="N402" t="s">
        <v>56</v>
      </c>
      <c r="O402" t="s">
        <v>1008</v>
      </c>
      <c r="P402" s="3">
        <v>13000</v>
      </c>
      <c r="Q402">
        <v>4</v>
      </c>
      <c r="R402" t="s">
        <v>1009</v>
      </c>
      <c r="S402" t="s">
        <v>988</v>
      </c>
      <c r="T402" t="s">
        <v>989</v>
      </c>
      <c r="U402" t="s">
        <v>31</v>
      </c>
      <c r="V402" s="3">
        <f>Tabla1[[#This Row],[OS-Valor Unitario]]-Tabla1[[#This Row],[costo_antes_iva]]</f>
        <v>500</v>
      </c>
      <c r="W402" s="3">
        <f>Tabla1[[#This Row],[OS-Valor Unitario]]*Tabla1[[#This Row],[OS-Cantidad]]</f>
        <v>52000</v>
      </c>
      <c r="X402" s="3">
        <f>Tabla1[[#This Row],[costo_antes_iva]]*Tabla1[[#This Row],[OS-Cantidad]]</f>
        <v>50000</v>
      </c>
      <c r="Y402" s="3">
        <f>Tabla1[[#This Row],[Valor total OS]]-Tabla1[[#This Row],[valor total op]]</f>
        <v>2000</v>
      </c>
    </row>
    <row r="403" spans="1:25" x14ac:dyDescent="0.3">
      <c r="A403">
        <v>6421</v>
      </c>
      <c r="B403">
        <v>5</v>
      </c>
      <c r="C403" t="s">
        <v>1007</v>
      </c>
      <c r="D403">
        <v>4</v>
      </c>
      <c r="E403" s="5">
        <v>45982.600694444445</v>
      </c>
      <c r="F403" t="s">
        <v>1002</v>
      </c>
      <c r="G403" t="s">
        <v>128</v>
      </c>
      <c r="H403" t="s">
        <v>984</v>
      </c>
      <c r="I403">
        <v>26</v>
      </c>
      <c r="J403">
        <v>75709159</v>
      </c>
      <c r="K403" s="5">
        <v>45982</v>
      </c>
      <c r="L403" s="3">
        <v>5600</v>
      </c>
      <c r="M403" t="s">
        <v>985</v>
      </c>
      <c r="N403" t="s">
        <v>26</v>
      </c>
      <c r="O403" t="s">
        <v>1008</v>
      </c>
      <c r="P403" s="3">
        <v>5000</v>
      </c>
      <c r="Q403">
        <v>4</v>
      </c>
      <c r="R403" t="s">
        <v>1010</v>
      </c>
      <c r="S403" t="s">
        <v>988</v>
      </c>
      <c r="T403" t="s">
        <v>989</v>
      </c>
      <c r="U403" t="s">
        <v>31</v>
      </c>
      <c r="V403" s="3">
        <f>Tabla1[[#This Row],[OS-Valor Unitario]]-Tabla1[[#This Row],[costo_antes_iva]]</f>
        <v>-600</v>
      </c>
      <c r="W403" s="3">
        <f>Tabla1[[#This Row],[OS-Valor Unitario]]*Tabla1[[#This Row],[OS-Cantidad]]</f>
        <v>20000</v>
      </c>
      <c r="X403" s="3">
        <f>Tabla1[[#This Row],[costo_antes_iva]]*Tabla1[[#This Row],[OS-Cantidad]]</f>
        <v>22400</v>
      </c>
      <c r="Y403" s="3">
        <f>Tabla1[[#This Row],[Valor total OS]]-Tabla1[[#This Row],[valor total op]]</f>
        <v>-2400</v>
      </c>
    </row>
    <row r="404" spans="1:25" x14ac:dyDescent="0.3">
      <c r="A404">
        <v>6421</v>
      </c>
      <c r="B404">
        <v>5</v>
      </c>
      <c r="C404" t="s">
        <v>1007</v>
      </c>
      <c r="D404">
        <v>4</v>
      </c>
      <c r="E404" s="5">
        <v>45982.600694444445</v>
      </c>
      <c r="F404" t="s">
        <v>1002</v>
      </c>
      <c r="G404" t="s">
        <v>128</v>
      </c>
      <c r="H404" t="s">
        <v>984</v>
      </c>
      <c r="I404">
        <v>4</v>
      </c>
      <c r="J404">
        <v>75711349</v>
      </c>
      <c r="K404" s="5">
        <v>45982</v>
      </c>
      <c r="L404" s="3">
        <v>12500</v>
      </c>
      <c r="M404" t="s">
        <v>1006</v>
      </c>
      <c r="N404" t="s">
        <v>56</v>
      </c>
      <c r="O404" t="s">
        <v>1008</v>
      </c>
      <c r="P404" s="3">
        <v>13000</v>
      </c>
      <c r="Q404">
        <v>4</v>
      </c>
      <c r="R404" t="s">
        <v>1009</v>
      </c>
      <c r="S404" t="s">
        <v>988</v>
      </c>
      <c r="T404" t="s">
        <v>989</v>
      </c>
      <c r="U404" t="s">
        <v>31</v>
      </c>
      <c r="V404" s="3">
        <f>Tabla1[[#This Row],[OS-Valor Unitario]]-Tabla1[[#This Row],[costo_antes_iva]]</f>
        <v>500</v>
      </c>
      <c r="W404" s="3">
        <f>Tabla1[[#This Row],[OS-Valor Unitario]]*Tabla1[[#This Row],[OS-Cantidad]]</f>
        <v>52000</v>
      </c>
      <c r="X404" s="3">
        <f>Tabla1[[#This Row],[costo_antes_iva]]*Tabla1[[#This Row],[OS-Cantidad]]</f>
        <v>50000</v>
      </c>
      <c r="Y404" s="3">
        <f>Tabla1[[#This Row],[Valor total OS]]-Tabla1[[#This Row],[valor total op]]</f>
        <v>2000</v>
      </c>
    </row>
    <row r="405" spans="1:25" x14ac:dyDescent="0.3">
      <c r="A405">
        <v>6421</v>
      </c>
      <c r="B405">
        <v>5</v>
      </c>
      <c r="C405" t="s">
        <v>1007</v>
      </c>
      <c r="D405">
        <v>4</v>
      </c>
      <c r="E405" s="5">
        <v>45982.600694444445</v>
      </c>
      <c r="F405" t="s">
        <v>1002</v>
      </c>
      <c r="G405" t="s">
        <v>128</v>
      </c>
      <c r="H405" t="s">
        <v>984</v>
      </c>
      <c r="I405">
        <v>4</v>
      </c>
      <c r="J405">
        <v>75711349</v>
      </c>
      <c r="K405" s="5">
        <v>45982</v>
      </c>
      <c r="L405" s="3">
        <v>5000</v>
      </c>
      <c r="M405" t="s">
        <v>1006</v>
      </c>
      <c r="N405" t="s">
        <v>26</v>
      </c>
      <c r="O405" t="s">
        <v>1008</v>
      </c>
      <c r="P405" s="3">
        <v>5000</v>
      </c>
      <c r="Q405">
        <v>4</v>
      </c>
      <c r="R405" t="s">
        <v>1010</v>
      </c>
      <c r="S405" t="s">
        <v>988</v>
      </c>
      <c r="T405" t="s">
        <v>989</v>
      </c>
      <c r="U405" t="s">
        <v>31</v>
      </c>
      <c r="V405" s="3">
        <f>Tabla1[[#This Row],[OS-Valor Unitario]]-Tabla1[[#This Row],[costo_antes_iva]]</f>
        <v>0</v>
      </c>
      <c r="W405" s="3">
        <f>Tabla1[[#This Row],[OS-Valor Unitario]]*Tabla1[[#This Row],[OS-Cantidad]]</f>
        <v>20000</v>
      </c>
      <c r="X405" s="3">
        <f>Tabla1[[#This Row],[costo_antes_iva]]*Tabla1[[#This Row],[OS-Cantidad]]</f>
        <v>20000</v>
      </c>
      <c r="Y405" s="3">
        <f>Tabla1[[#This Row],[Valor total OS]]-Tabla1[[#This Row],[valor total op]]</f>
        <v>0</v>
      </c>
    </row>
    <row r="406" spans="1:25" x14ac:dyDescent="0.3">
      <c r="A406">
        <v>6415</v>
      </c>
      <c r="B406">
        <v>1</v>
      </c>
      <c r="C406" t="s">
        <v>1011</v>
      </c>
      <c r="D406">
        <v>80</v>
      </c>
      <c r="E406" s="5">
        <v>45980.397222222222</v>
      </c>
      <c r="F406" t="s">
        <v>1012</v>
      </c>
      <c r="G406" t="s">
        <v>23</v>
      </c>
      <c r="H406" t="s">
        <v>346</v>
      </c>
      <c r="I406">
        <v>1</v>
      </c>
      <c r="J406">
        <v>75728285</v>
      </c>
      <c r="K406" s="5">
        <v>45982</v>
      </c>
      <c r="L406" s="3">
        <v>19610</v>
      </c>
      <c r="M406" t="s">
        <v>1013</v>
      </c>
      <c r="N406" t="s">
        <v>56</v>
      </c>
      <c r="O406" t="s">
        <v>1014</v>
      </c>
      <c r="P406" s="3">
        <v>5000</v>
      </c>
      <c r="Q406">
        <v>80</v>
      </c>
      <c r="R406" t="s">
        <v>1015</v>
      </c>
      <c r="S406" t="s">
        <v>433</v>
      </c>
      <c r="T406" t="s">
        <v>434</v>
      </c>
      <c r="U406" t="s">
        <v>177</v>
      </c>
      <c r="V406" s="3">
        <f>Tabla1[[#This Row],[OS-Valor Unitario]]-Tabla1[[#This Row],[costo_antes_iva]]</f>
        <v>-14610</v>
      </c>
      <c r="W406" s="3">
        <f>Tabla1[[#This Row],[OS-Valor Unitario]]*Tabla1[[#This Row],[OS-Cantidad]]</f>
        <v>400000</v>
      </c>
      <c r="X406" s="3">
        <f>Tabla1[[#This Row],[costo_antes_iva]]*Tabla1[[#This Row],[OS-Cantidad]]</f>
        <v>1568800</v>
      </c>
      <c r="Y406" s="3">
        <f>Tabla1[[#This Row],[Valor total OS]]-Tabla1[[#This Row],[valor total op]]</f>
        <v>-1168800</v>
      </c>
    </row>
    <row r="407" spans="1:25" x14ac:dyDescent="0.3">
      <c r="A407">
        <v>6415</v>
      </c>
      <c r="B407">
        <v>1</v>
      </c>
      <c r="C407" t="s">
        <v>1011</v>
      </c>
      <c r="D407">
        <v>80</v>
      </c>
      <c r="E407" s="5">
        <v>45980.397222222222</v>
      </c>
      <c r="F407" t="s">
        <v>1012</v>
      </c>
      <c r="G407" t="s">
        <v>294</v>
      </c>
      <c r="H407" t="s">
        <v>346</v>
      </c>
      <c r="I407">
        <v>144</v>
      </c>
      <c r="J407">
        <v>74212373</v>
      </c>
      <c r="K407" s="5">
        <v>45953</v>
      </c>
      <c r="L407" s="3">
        <v>7500</v>
      </c>
      <c r="M407" t="s">
        <v>1016</v>
      </c>
      <c r="N407" t="s">
        <v>56</v>
      </c>
      <c r="O407" t="s">
        <v>1014</v>
      </c>
      <c r="P407" s="3">
        <v>5000</v>
      </c>
      <c r="Q407">
        <v>80</v>
      </c>
      <c r="R407" t="s">
        <v>1015</v>
      </c>
      <c r="S407" t="s">
        <v>433</v>
      </c>
      <c r="T407" t="s">
        <v>434</v>
      </c>
      <c r="U407" t="s">
        <v>177</v>
      </c>
      <c r="V407" s="3">
        <f>Tabla1[[#This Row],[OS-Valor Unitario]]-Tabla1[[#This Row],[costo_antes_iva]]</f>
        <v>-2500</v>
      </c>
      <c r="W407" s="3">
        <f>Tabla1[[#This Row],[OS-Valor Unitario]]*Tabla1[[#This Row],[OS-Cantidad]]</f>
        <v>400000</v>
      </c>
      <c r="X407" s="3">
        <f>Tabla1[[#This Row],[costo_antes_iva]]*Tabla1[[#This Row],[OS-Cantidad]]</f>
        <v>600000</v>
      </c>
      <c r="Y407" s="3">
        <f>Tabla1[[#This Row],[Valor total OS]]-Tabla1[[#This Row],[valor total op]]</f>
        <v>-200000</v>
      </c>
    </row>
    <row r="408" spans="1:25" x14ac:dyDescent="0.3">
      <c r="A408">
        <v>6415</v>
      </c>
      <c r="B408">
        <v>1</v>
      </c>
      <c r="C408" t="s">
        <v>1011</v>
      </c>
      <c r="D408">
        <v>80</v>
      </c>
      <c r="E408" s="5">
        <v>45980.397222222222</v>
      </c>
      <c r="F408" t="s">
        <v>1012</v>
      </c>
      <c r="G408" t="s">
        <v>435</v>
      </c>
      <c r="H408" t="s">
        <v>346</v>
      </c>
      <c r="I408">
        <v>76</v>
      </c>
      <c r="J408">
        <v>75885113</v>
      </c>
      <c r="K408" s="5">
        <v>45986</v>
      </c>
      <c r="L408" s="3">
        <v>12500</v>
      </c>
      <c r="M408" t="s">
        <v>1017</v>
      </c>
      <c r="N408" t="s">
        <v>437</v>
      </c>
      <c r="O408" t="s">
        <v>1014</v>
      </c>
      <c r="P408" s="3">
        <v>10400</v>
      </c>
      <c r="Q408">
        <v>80</v>
      </c>
      <c r="R408" t="s">
        <v>1018</v>
      </c>
      <c r="S408" t="s">
        <v>433</v>
      </c>
      <c r="T408" t="s">
        <v>434</v>
      </c>
      <c r="U408" t="s">
        <v>177</v>
      </c>
      <c r="V408" s="3">
        <f>Tabla1[[#This Row],[OS-Valor Unitario]]-Tabla1[[#This Row],[costo_antes_iva]]</f>
        <v>-2100</v>
      </c>
      <c r="W408" s="3">
        <f>Tabla1[[#This Row],[OS-Valor Unitario]]*Tabla1[[#This Row],[OS-Cantidad]]</f>
        <v>832000</v>
      </c>
      <c r="X408" s="3">
        <f>Tabla1[[#This Row],[costo_antes_iva]]*Tabla1[[#This Row],[OS-Cantidad]]</f>
        <v>1000000</v>
      </c>
      <c r="Y408" s="3">
        <f>Tabla1[[#This Row],[Valor total OS]]-Tabla1[[#This Row],[valor total op]]</f>
        <v>-168000</v>
      </c>
    </row>
    <row r="409" spans="1:25" x14ac:dyDescent="0.3">
      <c r="A409">
        <v>6415</v>
      </c>
      <c r="B409">
        <v>1</v>
      </c>
      <c r="C409" t="s">
        <v>1011</v>
      </c>
      <c r="D409">
        <v>80</v>
      </c>
      <c r="E409" s="5">
        <v>45980.397222222222</v>
      </c>
      <c r="F409" t="s">
        <v>1012</v>
      </c>
      <c r="G409" t="s">
        <v>435</v>
      </c>
      <c r="H409" t="s">
        <v>346</v>
      </c>
      <c r="I409">
        <v>76</v>
      </c>
      <c r="J409">
        <v>75885113</v>
      </c>
      <c r="K409" s="5">
        <v>45986</v>
      </c>
      <c r="L409" s="3">
        <v>4500</v>
      </c>
      <c r="M409" t="s">
        <v>1017</v>
      </c>
      <c r="N409" t="s">
        <v>56</v>
      </c>
      <c r="O409" t="s">
        <v>1014</v>
      </c>
      <c r="P409" s="3">
        <v>5000</v>
      </c>
      <c r="Q409">
        <v>80</v>
      </c>
      <c r="R409" t="s">
        <v>1015</v>
      </c>
      <c r="S409" t="s">
        <v>433</v>
      </c>
      <c r="T409" t="s">
        <v>434</v>
      </c>
      <c r="U409" t="s">
        <v>177</v>
      </c>
      <c r="V409" s="3">
        <f>Tabla1[[#This Row],[OS-Valor Unitario]]-Tabla1[[#This Row],[costo_antes_iva]]</f>
        <v>500</v>
      </c>
      <c r="W409" s="3">
        <f>Tabla1[[#This Row],[OS-Valor Unitario]]*Tabla1[[#This Row],[OS-Cantidad]]</f>
        <v>400000</v>
      </c>
      <c r="X409" s="3">
        <f>Tabla1[[#This Row],[costo_antes_iva]]*Tabla1[[#This Row],[OS-Cantidad]]</f>
        <v>360000</v>
      </c>
      <c r="Y409" s="3">
        <f>Tabla1[[#This Row],[Valor total OS]]-Tabla1[[#This Row],[valor total op]]</f>
        <v>40000</v>
      </c>
    </row>
    <row r="410" spans="1:25" x14ac:dyDescent="0.3">
      <c r="A410">
        <v>6415</v>
      </c>
      <c r="B410">
        <v>1</v>
      </c>
      <c r="C410" t="s">
        <v>1011</v>
      </c>
      <c r="D410">
        <v>80</v>
      </c>
      <c r="E410" s="5">
        <v>45980.397222222222</v>
      </c>
      <c r="F410" t="s">
        <v>1012</v>
      </c>
      <c r="G410" t="s">
        <v>568</v>
      </c>
      <c r="H410" t="s">
        <v>346</v>
      </c>
      <c r="I410">
        <v>16</v>
      </c>
      <c r="J410">
        <v>74212668</v>
      </c>
      <c r="K410" s="5">
        <v>45953</v>
      </c>
      <c r="L410" s="3">
        <v>13000</v>
      </c>
      <c r="M410" t="s">
        <v>1019</v>
      </c>
      <c r="N410" t="s">
        <v>56</v>
      </c>
      <c r="O410" t="s">
        <v>1014</v>
      </c>
      <c r="P410" s="3">
        <v>5000</v>
      </c>
      <c r="Q410">
        <v>80</v>
      </c>
      <c r="R410" t="s">
        <v>1015</v>
      </c>
      <c r="S410" t="s">
        <v>433</v>
      </c>
      <c r="T410" t="s">
        <v>434</v>
      </c>
      <c r="U410" t="s">
        <v>177</v>
      </c>
      <c r="V410" s="3">
        <f>Tabla1[[#This Row],[OS-Valor Unitario]]-Tabla1[[#This Row],[costo_antes_iva]]</f>
        <v>-8000</v>
      </c>
      <c r="W410" s="3">
        <f>Tabla1[[#This Row],[OS-Valor Unitario]]*Tabla1[[#This Row],[OS-Cantidad]]</f>
        <v>400000</v>
      </c>
      <c r="X410" s="3">
        <f>Tabla1[[#This Row],[costo_antes_iva]]*Tabla1[[#This Row],[OS-Cantidad]]</f>
        <v>1040000</v>
      </c>
      <c r="Y410" s="3">
        <f>Tabla1[[#This Row],[Valor total OS]]-Tabla1[[#This Row],[valor total op]]</f>
        <v>-640000</v>
      </c>
    </row>
    <row r="411" spans="1:25" x14ac:dyDescent="0.3">
      <c r="A411">
        <v>6384</v>
      </c>
      <c r="B411">
        <v>1</v>
      </c>
      <c r="C411" t="s">
        <v>1020</v>
      </c>
      <c r="D411">
        <v>8</v>
      </c>
      <c r="E411" s="5">
        <v>45961.29583333333</v>
      </c>
      <c r="F411" t="s">
        <v>1021</v>
      </c>
      <c r="G411" t="s">
        <v>128</v>
      </c>
      <c r="H411" t="s">
        <v>1022</v>
      </c>
      <c r="I411">
        <v>1</v>
      </c>
      <c r="J411">
        <v>74647469</v>
      </c>
      <c r="K411" s="5">
        <v>45961</v>
      </c>
      <c r="L411" s="3">
        <v>12000</v>
      </c>
      <c r="M411" t="s">
        <v>1023</v>
      </c>
      <c r="N411" t="s">
        <v>56</v>
      </c>
      <c r="O411" t="s">
        <v>1024</v>
      </c>
      <c r="P411" s="3">
        <v>12500</v>
      </c>
      <c r="Q411">
        <v>8</v>
      </c>
      <c r="R411" t="s">
        <v>1025</v>
      </c>
      <c r="S411" t="s">
        <v>1026</v>
      </c>
      <c r="T411" t="s">
        <v>1027</v>
      </c>
      <c r="U411" t="s">
        <v>31</v>
      </c>
      <c r="V411" s="3">
        <f>Tabla1[[#This Row],[OS-Valor Unitario]]-Tabla1[[#This Row],[costo_antes_iva]]</f>
        <v>500</v>
      </c>
      <c r="W411" s="3">
        <f>Tabla1[[#This Row],[OS-Valor Unitario]]*Tabla1[[#This Row],[OS-Cantidad]]</f>
        <v>100000</v>
      </c>
      <c r="X411" s="3">
        <f>Tabla1[[#This Row],[costo_antes_iva]]*Tabla1[[#This Row],[OS-Cantidad]]</f>
        <v>96000</v>
      </c>
      <c r="Y411" s="3">
        <f>Tabla1[[#This Row],[Valor total OS]]-Tabla1[[#This Row],[valor total op]]</f>
        <v>4000</v>
      </c>
    </row>
    <row r="412" spans="1:25" x14ac:dyDescent="0.3">
      <c r="A412">
        <v>6384</v>
      </c>
      <c r="B412">
        <v>1</v>
      </c>
      <c r="C412" t="s">
        <v>1020</v>
      </c>
      <c r="D412">
        <v>8</v>
      </c>
      <c r="E412" s="5">
        <v>45961.29583333333</v>
      </c>
      <c r="F412" t="s">
        <v>1021</v>
      </c>
      <c r="G412" t="s">
        <v>128</v>
      </c>
      <c r="H412" t="s">
        <v>1022</v>
      </c>
      <c r="I412">
        <v>1</v>
      </c>
      <c r="J412">
        <v>74647469</v>
      </c>
      <c r="K412" s="5">
        <v>45961</v>
      </c>
      <c r="L412" s="3">
        <v>1200</v>
      </c>
      <c r="M412" t="s">
        <v>1023</v>
      </c>
      <c r="N412" t="s">
        <v>26</v>
      </c>
      <c r="O412" t="s">
        <v>1024</v>
      </c>
      <c r="P412" s="3">
        <v>1400</v>
      </c>
      <c r="Q412">
        <v>8</v>
      </c>
      <c r="R412" t="s">
        <v>1028</v>
      </c>
      <c r="S412" t="s">
        <v>1026</v>
      </c>
      <c r="T412" t="s">
        <v>1027</v>
      </c>
      <c r="U412" t="s">
        <v>31</v>
      </c>
      <c r="V412" s="3">
        <f>Tabla1[[#This Row],[OS-Valor Unitario]]-Tabla1[[#This Row],[costo_antes_iva]]</f>
        <v>200</v>
      </c>
      <c r="W412" s="3">
        <f>Tabla1[[#This Row],[OS-Valor Unitario]]*Tabla1[[#This Row],[OS-Cantidad]]</f>
        <v>11200</v>
      </c>
      <c r="X412" s="3">
        <f>Tabla1[[#This Row],[costo_antes_iva]]*Tabla1[[#This Row],[OS-Cantidad]]</f>
        <v>9600</v>
      </c>
      <c r="Y412" s="3">
        <f>Tabla1[[#This Row],[Valor total OS]]-Tabla1[[#This Row],[valor total op]]</f>
        <v>1600</v>
      </c>
    </row>
    <row r="413" spans="1:25" x14ac:dyDescent="0.3">
      <c r="A413">
        <v>6384</v>
      </c>
      <c r="B413">
        <v>2</v>
      </c>
      <c r="C413" t="s">
        <v>1029</v>
      </c>
      <c r="D413">
        <v>12</v>
      </c>
      <c r="E413" s="5">
        <v>45961.29583333333</v>
      </c>
      <c r="F413" t="s">
        <v>1030</v>
      </c>
      <c r="G413" t="s">
        <v>128</v>
      </c>
      <c r="H413" t="s">
        <v>1022</v>
      </c>
      <c r="I413">
        <v>1</v>
      </c>
      <c r="J413">
        <v>74647524</v>
      </c>
      <c r="K413" s="5">
        <v>45961</v>
      </c>
      <c r="L413" s="3">
        <v>12000</v>
      </c>
      <c r="M413" t="s">
        <v>1023</v>
      </c>
      <c r="N413" t="s">
        <v>56</v>
      </c>
      <c r="O413" t="s">
        <v>1031</v>
      </c>
      <c r="P413" s="3">
        <v>11500</v>
      </c>
      <c r="Q413">
        <v>12</v>
      </c>
      <c r="R413" t="s">
        <v>1032</v>
      </c>
      <c r="S413" t="s">
        <v>1026</v>
      </c>
      <c r="T413" t="s">
        <v>1027</v>
      </c>
      <c r="U413" t="s">
        <v>31</v>
      </c>
      <c r="V413" s="3">
        <f>Tabla1[[#This Row],[OS-Valor Unitario]]-Tabla1[[#This Row],[costo_antes_iva]]</f>
        <v>-500</v>
      </c>
      <c r="W413" s="3">
        <f>Tabla1[[#This Row],[OS-Valor Unitario]]*Tabla1[[#This Row],[OS-Cantidad]]</f>
        <v>138000</v>
      </c>
      <c r="X413" s="3">
        <f>Tabla1[[#This Row],[costo_antes_iva]]*Tabla1[[#This Row],[OS-Cantidad]]</f>
        <v>144000</v>
      </c>
      <c r="Y413" s="3">
        <f>Tabla1[[#This Row],[Valor total OS]]-Tabla1[[#This Row],[valor total op]]</f>
        <v>-6000</v>
      </c>
    </row>
    <row r="414" spans="1:25" x14ac:dyDescent="0.3">
      <c r="A414">
        <v>6384</v>
      </c>
      <c r="B414">
        <v>2</v>
      </c>
      <c r="C414" t="s">
        <v>1029</v>
      </c>
      <c r="D414">
        <v>12</v>
      </c>
      <c r="E414" s="5">
        <v>45961.29583333333</v>
      </c>
      <c r="F414" t="s">
        <v>1030</v>
      </c>
      <c r="G414" t="s">
        <v>128</v>
      </c>
      <c r="H414" t="s">
        <v>1022</v>
      </c>
      <c r="I414">
        <v>1</v>
      </c>
      <c r="J414">
        <v>74647524</v>
      </c>
      <c r="K414" s="5">
        <v>45961</v>
      </c>
      <c r="L414" s="3">
        <v>1200</v>
      </c>
      <c r="M414" t="s">
        <v>1023</v>
      </c>
      <c r="N414" t="s">
        <v>26</v>
      </c>
      <c r="O414" t="s">
        <v>1031</v>
      </c>
      <c r="P414" s="3">
        <v>1400</v>
      </c>
      <c r="Q414">
        <v>12</v>
      </c>
      <c r="R414" t="s">
        <v>1033</v>
      </c>
      <c r="S414" t="s">
        <v>1026</v>
      </c>
      <c r="T414" t="s">
        <v>1027</v>
      </c>
      <c r="U414" t="s">
        <v>31</v>
      </c>
      <c r="V414" s="3">
        <f>Tabla1[[#This Row],[OS-Valor Unitario]]-Tabla1[[#This Row],[costo_antes_iva]]</f>
        <v>200</v>
      </c>
      <c r="W414" s="3">
        <f>Tabla1[[#This Row],[OS-Valor Unitario]]*Tabla1[[#This Row],[OS-Cantidad]]</f>
        <v>16800</v>
      </c>
      <c r="X414" s="3">
        <f>Tabla1[[#This Row],[costo_antes_iva]]*Tabla1[[#This Row],[OS-Cantidad]]</f>
        <v>14400</v>
      </c>
      <c r="Y414" s="3">
        <f>Tabla1[[#This Row],[Valor total OS]]-Tabla1[[#This Row],[valor total op]]</f>
        <v>2400</v>
      </c>
    </row>
    <row r="415" spans="1:25" x14ac:dyDescent="0.3">
      <c r="A415">
        <v>6384</v>
      </c>
      <c r="B415">
        <v>3</v>
      </c>
      <c r="C415" t="s">
        <v>1034</v>
      </c>
      <c r="D415">
        <v>1</v>
      </c>
      <c r="E415" s="5">
        <v>45961.29583333333</v>
      </c>
      <c r="F415" t="s">
        <v>1035</v>
      </c>
      <c r="G415" t="s">
        <v>1036</v>
      </c>
      <c r="H415" t="s">
        <v>1022</v>
      </c>
      <c r="I415">
        <v>1</v>
      </c>
      <c r="J415">
        <v>74647597</v>
      </c>
      <c r="K415" s="5">
        <v>45961</v>
      </c>
      <c r="L415" s="3">
        <v>1100</v>
      </c>
      <c r="M415" t="s">
        <v>1023</v>
      </c>
      <c r="N415" t="s">
        <v>26</v>
      </c>
      <c r="O415" t="s">
        <v>1037</v>
      </c>
      <c r="P415" s="3">
        <v>1400</v>
      </c>
      <c r="Q415">
        <v>1</v>
      </c>
      <c r="R415" t="s">
        <v>1038</v>
      </c>
      <c r="S415" t="s">
        <v>1026</v>
      </c>
      <c r="T415" t="s">
        <v>1027</v>
      </c>
      <c r="U415" t="s">
        <v>31</v>
      </c>
      <c r="V415" s="3">
        <f>Tabla1[[#This Row],[OS-Valor Unitario]]-Tabla1[[#This Row],[costo_antes_iva]]</f>
        <v>300</v>
      </c>
      <c r="W415" s="3">
        <f>Tabla1[[#This Row],[OS-Valor Unitario]]*Tabla1[[#This Row],[OS-Cantidad]]</f>
        <v>1400</v>
      </c>
      <c r="X415" s="3">
        <f>Tabla1[[#This Row],[costo_antes_iva]]*Tabla1[[#This Row],[OS-Cantidad]]</f>
        <v>1100</v>
      </c>
      <c r="Y415" s="3">
        <f>Tabla1[[#This Row],[Valor total OS]]-Tabla1[[#This Row],[valor total op]]</f>
        <v>300</v>
      </c>
    </row>
    <row r="416" spans="1:25" x14ac:dyDescent="0.3">
      <c r="A416">
        <v>6384</v>
      </c>
      <c r="B416">
        <v>3</v>
      </c>
      <c r="C416" t="s">
        <v>1034</v>
      </c>
      <c r="D416">
        <v>1</v>
      </c>
      <c r="E416" s="5">
        <v>45961.29583333333</v>
      </c>
      <c r="F416" t="s">
        <v>1035</v>
      </c>
      <c r="G416" t="s">
        <v>1036</v>
      </c>
      <c r="H416" t="s">
        <v>1022</v>
      </c>
      <c r="I416">
        <v>1</v>
      </c>
      <c r="J416">
        <v>74647597</v>
      </c>
      <c r="K416" s="5">
        <v>45961</v>
      </c>
      <c r="L416" s="3">
        <v>15000</v>
      </c>
      <c r="M416" t="s">
        <v>1023</v>
      </c>
      <c r="N416" t="s">
        <v>56</v>
      </c>
      <c r="O416" t="s">
        <v>1037</v>
      </c>
      <c r="P416" s="3">
        <v>14000</v>
      </c>
      <c r="Q416">
        <v>1</v>
      </c>
      <c r="R416" t="s">
        <v>1039</v>
      </c>
      <c r="S416" t="s">
        <v>1026</v>
      </c>
      <c r="T416" t="s">
        <v>1027</v>
      </c>
      <c r="U416" t="s">
        <v>31</v>
      </c>
      <c r="V416" s="3">
        <f>Tabla1[[#This Row],[OS-Valor Unitario]]-Tabla1[[#This Row],[costo_antes_iva]]</f>
        <v>-1000</v>
      </c>
      <c r="W416" s="3">
        <f>Tabla1[[#This Row],[OS-Valor Unitario]]*Tabla1[[#This Row],[OS-Cantidad]]</f>
        <v>14000</v>
      </c>
      <c r="X416" s="3">
        <f>Tabla1[[#This Row],[costo_antes_iva]]*Tabla1[[#This Row],[OS-Cantidad]]</f>
        <v>15000</v>
      </c>
      <c r="Y416" s="3">
        <f>Tabla1[[#This Row],[Valor total OS]]-Tabla1[[#This Row],[valor total op]]</f>
        <v>-1000</v>
      </c>
    </row>
    <row r="417" spans="1:25" x14ac:dyDescent="0.3">
      <c r="A417">
        <v>6383</v>
      </c>
      <c r="B417">
        <v>1</v>
      </c>
      <c r="C417" t="s">
        <v>1040</v>
      </c>
      <c r="D417">
        <v>41</v>
      </c>
      <c r="E417" s="5">
        <v>45960.97152777778</v>
      </c>
      <c r="F417" t="s">
        <v>1041</v>
      </c>
      <c r="G417" t="s">
        <v>128</v>
      </c>
      <c r="H417" t="s">
        <v>1022</v>
      </c>
      <c r="I417">
        <v>1</v>
      </c>
      <c r="J417">
        <v>74549220</v>
      </c>
      <c r="K417" s="5">
        <v>45959</v>
      </c>
      <c r="L417" s="3">
        <v>1100</v>
      </c>
      <c r="M417" t="s">
        <v>1042</v>
      </c>
      <c r="N417" t="s">
        <v>26</v>
      </c>
      <c r="O417" t="s">
        <v>1043</v>
      </c>
      <c r="P417" s="3">
        <v>1100</v>
      </c>
      <c r="Q417">
        <v>41</v>
      </c>
      <c r="R417" t="s">
        <v>1044</v>
      </c>
      <c r="S417" t="s">
        <v>1045</v>
      </c>
      <c r="T417" t="s">
        <v>1046</v>
      </c>
      <c r="U417" t="s">
        <v>31</v>
      </c>
      <c r="V417" s="3">
        <f>Tabla1[[#This Row],[OS-Valor Unitario]]-Tabla1[[#This Row],[costo_antes_iva]]</f>
        <v>0</v>
      </c>
      <c r="W417" s="3">
        <f>Tabla1[[#This Row],[OS-Valor Unitario]]*Tabla1[[#This Row],[OS-Cantidad]]</f>
        <v>45100</v>
      </c>
      <c r="X417" s="3">
        <f>Tabla1[[#This Row],[costo_antes_iva]]*Tabla1[[#This Row],[OS-Cantidad]]</f>
        <v>45100</v>
      </c>
      <c r="Y417" s="3">
        <f>Tabla1[[#This Row],[Valor total OS]]-Tabla1[[#This Row],[valor total op]]</f>
        <v>0</v>
      </c>
    </row>
    <row r="418" spans="1:25" x14ac:dyDescent="0.3">
      <c r="A418">
        <v>6383</v>
      </c>
      <c r="B418">
        <v>1</v>
      </c>
      <c r="C418" t="s">
        <v>1040</v>
      </c>
      <c r="D418">
        <v>41</v>
      </c>
      <c r="E418" s="5">
        <v>45960.97152777778</v>
      </c>
      <c r="F418" t="s">
        <v>1041</v>
      </c>
      <c r="G418" t="s">
        <v>128</v>
      </c>
      <c r="H418" t="s">
        <v>1022</v>
      </c>
      <c r="I418">
        <v>1</v>
      </c>
      <c r="J418">
        <v>74549220</v>
      </c>
      <c r="K418" s="5">
        <v>45959</v>
      </c>
      <c r="L418" s="3">
        <v>12500</v>
      </c>
      <c r="M418" t="s">
        <v>1042</v>
      </c>
      <c r="N418" t="s">
        <v>56</v>
      </c>
      <c r="O418" t="s">
        <v>1043</v>
      </c>
      <c r="P418" s="3">
        <v>12500</v>
      </c>
      <c r="Q418">
        <v>42</v>
      </c>
      <c r="R418" t="s">
        <v>1047</v>
      </c>
      <c r="S418" t="s">
        <v>1045</v>
      </c>
      <c r="T418" t="s">
        <v>1046</v>
      </c>
      <c r="U418" t="s">
        <v>31</v>
      </c>
      <c r="V418" s="3">
        <f>Tabla1[[#This Row],[OS-Valor Unitario]]-Tabla1[[#This Row],[costo_antes_iva]]</f>
        <v>0</v>
      </c>
      <c r="W418" s="3">
        <f>Tabla1[[#This Row],[OS-Valor Unitario]]*Tabla1[[#This Row],[OS-Cantidad]]</f>
        <v>525000</v>
      </c>
      <c r="X418" s="3">
        <f>Tabla1[[#This Row],[costo_antes_iva]]*Tabla1[[#This Row],[OS-Cantidad]]</f>
        <v>525000</v>
      </c>
      <c r="Y418" s="3">
        <f>Tabla1[[#This Row],[Valor total OS]]-Tabla1[[#This Row],[valor total op]]</f>
        <v>0</v>
      </c>
    </row>
    <row r="419" spans="1:25" x14ac:dyDescent="0.3">
      <c r="A419">
        <v>6383</v>
      </c>
      <c r="B419">
        <v>2</v>
      </c>
      <c r="C419" t="s">
        <v>1048</v>
      </c>
      <c r="D419">
        <v>30</v>
      </c>
      <c r="E419" s="5">
        <v>45960.97152777778</v>
      </c>
      <c r="F419" t="s">
        <v>1049</v>
      </c>
      <c r="G419" t="s">
        <v>128</v>
      </c>
      <c r="H419" t="s">
        <v>1022</v>
      </c>
      <c r="I419">
        <v>1</v>
      </c>
      <c r="J419">
        <v>74549228</v>
      </c>
      <c r="K419" s="5">
        <v>45959</v>
      </c>
      <c r="L419" s="3">
        <v>1100</v>
      </c>
      <c r="M419" t="s">
        <v>1042</v>
      </c>
      <c r="N419" t="s">
        <v>26</v>
      </c>
      <c r="O419" t="s">
        <v>1050</v>
      </c>
      <c r="P419" s="3">
        <v>1100</v>
      </c>
      <c r="Q419">
        <v>30</v>
      </c>
      <c r="R419" t="s">
        <v>1051</v>
      </c>
      <c r="S419" t="s">
        <v>1045</v>
      </c>
      <c r="T419" t="s">
        <v>1046</v>
      </c>
      <c r="U419" t="s">
        <v>31</v>
      </c>
      <c r="V419" s="3">
        <f>Tabla1[[#This Row],[OS-Valor Unitario]]-Tabla1[[#This Row],[costo_antes_iva]]</f>
        <v>0</v>
      </c>
      <c r="W419" s="3">
        <f>Tabla1[[#This Row],[OS-Valor Unitario]]*Tabla1[[#This Row],[OS-Cantidad]]</f>
        <v>33000</v>
      </c>
      <c r="X419" s="3">
        <f>Tabla1[[#This Row],[costo_antes_iva]]*Tabla1[[#This Row],[OS-Cantidad]]</f>
        <v>33000</v>
      </c>
      <c r="Y419" s="3">
        <f>Tabla1[[#This Row],[Valor total OS]]-Tabla1[[#This Row],[valor total op]]</f>
        <v>0</v>
      </c>
    </row>
    <row r="420" spans="1:25" x14ac:dyDescent="0.3">
      <c r="A420">
        <v>6383</v>
      </c>
      <c r="B420">
        <v>2</v>
      </c>
      <c r="C420" t="s">
        <v>1048</v>
      </c>
      <c r="D420">
        <v>30</v>
      </c>
      <c r="E420" s="5">
        <v>45960.97152777778</v>
      </c>
      <c r="F420" t="s">
        <v>1049</v>
      </c>
      <c r="G420" t="s">
        <v>128</v>
      </c>
      <c r="H420" t="s">
        <v>1022</v>
      </c>
      <c r="I420">
        <v>1</v>
      </c>
      <c r="J420">
        <v>74549228</v>
      </c>
      <c r="K420" s="5">
        <v>45959</v>
      </c>
      <c r="L420" s="3">
        <v>12500</v>
      </c>
      <c r="M420" t="s">
        <v>1042</v>
      </c>
      <c r="N420" t="s">
        <v>56</v>
      </c>
      <c r="O420" t="s">
        <v>1050</v>
      </c>
      <c r="P420" s="3">
        <v>12500</v>
      </c>
      <c r="Q420">
        <v>30</v>
      </c>
      <c r="R420" t="s">
        <v>1052</v>
      </c>
      <c r="S420" t="s">
        <v>1045</v>
      </c>
      <c r="T420" t="s">
        <v>1046</v>
      </c>
      <c r="U420" t="s">
        <v>31</v>
      </c>
      <c r="V420" s="3">
        <f>Tabla1[[#This Row],[OS-Valor Unitario]]-Tabla1[[#This Row],[costo_antes_iva]]</f>
        <v>0</v>
      </c>
      <c r="W420" s="3">
        <f>Tabla1[[#This Row],[OS-Valor Unitario]]*Tabla1[[#This Row],[OS-Cantidad]]</f>
        <v>375000</v>
      </c>
      <c r="X420" s="3">
        <f>Tabla1[[#This Row],[costo_antes_iva]]*Tabla1[[#This Row],[OS-Cantidad]]</f>
        <v>375000</v>
      </c>
      <c r="Y420" s="3">
        <f>Tabla1[[#This Row],[Valor total OS]]-Tabla1[[#This Row],[valor total op]]</f>
        <v>0</v>
      </c>
    </row>
    <row r="421" spans="1:25" x14ac:dyDescent="0.3">
      <c r="A421">
        <v>6383</v>
      </c>
      <c r="B421">
        <v>3</v>
      </c>
      <c r="C421" t="s">
        <v>1053</v>
      </c>
      <c r="D421">
        <v>378</v>
      </c>
      <c r="E421" s="5">
        <v>45960.97152777778</v>
      </c>
      <c r="F421" t="s">
        <v>1054</v>
      </c>
      <c r="G421" t="s">
        <v>128</v>
      </c>
      <c r="H421" t="s">
        <v>1022</v>
      </c>
      <c r="I421">
        <v>1</v>
      </c>
      <c r="J421">
        <v>74549234</v>
      </c>
      <c r="K421" s="5">
        <v>45959</v>
      </c>
      <c r="L421" s="3">
        <v>1100</v>
      </c>
      <c r="M421" t="s">
        <v>1042</v>
      </c>
      <c r="N421" t="s">
        <v>26</v>
      </c>
      <c r="O421" t="s">
        <v>1055</v>
      </c>
      <c r="P421" s="3">
        <v>1100</v>
      </c>
      <c r="Q421">
        <v>378</v>
      </c>
      <c r="R421" t="s">
        <v>1056</v>
      </c>
      <c r="S421" t="s">
        <v>1045</v>
      </c>
      <c r="T421" t="s">
        <v>1046</v>
      </c>
      <c r="U421" t="s">
        <v>31</v>
      </c>
      <c r="V421" s="3">
        <f>Tabla1[[#This Row],[OS-Valor Unitario]]-Tabla1[[#This Row],[costo_antes_iva]]</f>
        <v>0</v>
      </c>
      <c r="W421" s="3">
        <f>Tabla1[[#This Row],[OS-Valor Unitario]]*Tabla1[[#This Row],[OS-Cantidad]]</f>
        <v>415800</v>
      </c>
      <c r="X421" s="3">
        <f>Tabla1[[#This Row],[costo_antes_iva]]*Tabla1[[#This Row],[OS-Cantidad]]</f>
        <v>415800</v>
      </c>
      <c r="Y421" s="3">
        <f>Tabla1[[#This Row],[Valor total OS]]-Tabla1[[#This Row],[valor total op]]</f>
        <v>0</v>
      </c>
    </row>
    <row r="422" spans="1:25" x14ac:dyDescent="0.3">
      <c r="A422">
        <v>6383</v>
      </c>
      <c r="B422">
        <v>3</v>
      </c>
      <c r="C422" t="s">
        <v>1053</v>
      </c>
      <c r="D422">
        <v>378</v>
      </c>
      <c r="E422" s="5">
        <v>45960.97152777778</v>
      </c>
      <c r="F422" t="s">
        <v>1054</v>
      </c>
      <c r="G422" t="s">
        <v>128</v>
      </c>
      <c r="H422" t="s">
        <v>1022</v>
      </c>
      <c r="I422">
        <v>1</v>
      </c>
      <c r="J422">
        <v>74549234</v>
      </c>
      <c r="K422" s="5">
        <v>45959</v>
      </c>
      <c r="L422" s="3">
        <v>12500</v>
      </c>
      <c r="M422" t="s">
        <v>1042</v>
      </c>
      <c r="N422" t="s">
        <v>56</v>
      </c>
      <c r="O422" t="s">
        <v>1055</v>
      </c>
      <c r="P422" s="3">
        <v>11500</v>
      </c>
      <c r="Q422">
        <v>378</v>
      </c>
      <c r="R422" t="s">
        <v>1057</v>
      </c>
      <c r="S422" t="s">
        <v>1045</v>
      </c>
      <c r="T422" t="s">
        <v>1046</v>
      </c>
      <c r="U422" t="s">
        <v>31</v>
      </c>
      <c r="V422" s="3">
        <f>Tabla1[[#This Row],[OS-Valor Unitario]]-Tabla1[[#This Row],[costo_antes_iva]]</f>
        <v>-1000</v>
      </c>
      <c r="W422" s="3">
        <f>Tabla1[[#This Row],[OS-Valor Unitario]]*Tabla1[[#This Row],[OS-Cantidad]]</f>
        <v>4347000</v>
      </c>
      <c r="X422" s="3">
        <f>Tabla1[[#This Row],[costo_antes_iva]]*Tabla1[[#This Row],[OS-Cantidad]]</f>
        <v>4725000</v>
      </c>
      <c r="Y422" s="3">
        <f>Tabla1[[#This Row],[Valor total OS]]-Tabla1[[#This Row],[valor total op]]</f>
        <v>-378000</v>
      </c>
    </row>
    <row r="423" spans="1:25" x14ac:dyDescent="0.3">
      <c r="A423">
        <v>6383</v>
      </c>
      <c r="B423">
        <v>4</v>
      </c>
      <c r="C423" t="s">
        <v>1058</v>
      </c>
      <c r="D423">
        <v>196</v>
      </c>
      <c r="E423" s="5">
        <v>45960.97152777778</v>
      </c>
      <c r="F423" t="s">
        <v>1059</v>
      </c>
      <c r="G423" t="s">
        <v>264</v>
      </c>
      <c r="H423" t="s">
        <v>1022</v>
      </c>
      <c r="I423">
        <v>1</v>
      </c>
      <c r="J423">
        <v>74549241</v>
      </c>
      <c r="K423" s="5">
        <v>45959</v>
      </c>
      <c r="L423" s="3">
        <v>1100</v>
      </c>
      <c r="M423" t="s">
        <v>1042</v>
      </c>
      <c r="N423" t="s">
        <v>26</v>
      </c>
      <c r="O423" t="s">
        <v>1060</v>
      </c>
      <c r="P423" s="3">
        <v>1100</v>
      </c>
      <c r="Q423">
        <v>196</v>
      </c>
      <c r="R423" t="s">
        <v>1061</v>
      </c>
      <c r="S423" t="s">
        <v>1045</v>
      </c>
      <c r="T423" t="s">
        <v>1046</v>
      </c>
      <c r="U423" t="s">
        <v>31</v>
      </c>
      <c r="V423" s="3">
        <f>Tabla1[[#This Row],[OS-Valor Unitario]]-Tabla1[[#This Row],[costo_antes_iva]]</f>
        <v>0</v>
      </c>
      <c r="W423" s="3">
        <f>Tabla1[[#This Row],[OS-Valor Unitario]]*Tabla1[[#This Row],[OS-Cantidad]]</f>
        <v>215600</v>
      </c>
      <c r="X423" s="3">
        <f>Tabla1[[#This Row],[costo_antes_iva]]*Tabla1[[#This Row],[OS-Cantidad]]</f>
        <v>215600</v>
      </c>
      <c r="Y423" s="3">
        <f>Tabla1[[#This Row],[Valor total OS]]-Tabla1[[#This Row],[valor total op]]</f>
        <v>0</v>
      </c>
    </row>
    <row r="424" spans="1:25" x14ac:dyDescent="0.3">
      <c r="A424">
        <v>6383</v>
      </c>
      <c r="B424">
        <v>4</v>
      </c>
      <c r="C424" t="s">
        <v>1058</v>
      </c>
      <c r="D424">
        <v>196</v>
      </c>
      <c r="E424" s="5">
        <v>45960.97152777778</v>
      </c>
      <c r="F424" t="s">
        <v>1059</v>
      </c>
      <c r="G424" t="s">
        <v>264</v>
      </c>
      <c r="H424" t="s">
        <v>1022</v>
      </c>
      <c r="I424">
        <v>1</v>
      </c>
      <c r="J424">
        <v>74549241</v>
      </c>
      <c r="K424" s="5">
        <v>45959</v>
      </c>
      <c r="L424" s="3">
        <v>12500</v>
      </c>
      <c r="M424" t="s">
        <v>1042</v>
      </c>
      <c r="N424" t="s">
        <v>56</v>
      </c>
      <c r="O424" t="s">
        <v>1060</v>
      </c>
      <c r="P424" s="3">
        <v>11500</v>
      </c>
      <c r="Q424">
        <v>196</v>
      </c>
      <c r="R424" t="s">
        <v>1062</v>
      </c>
      <c r="S424" t="s">
        <v>1045</v>
      </c>
      <c r="T424" t="s">
        <v>1046</v>
      </c>
      <c r="U424" t="s">
        <v>31</v>
      </c>
      <c r="V424" s="3">
        <f>Tabla1[[#This Row],[OS-Valor Unitario]]-Tabla1[[#This Row],[costo_antes_iva]]</f>
        <v>-1000</v>
      </c>
      <c r="W424" s="3">
        <f>Tabla1[[#This Row],[OS-Valor Unitario]]*Tabla1[[#This Row],[OS-Cantidad]]</f>
        <v>2254000</v>
      </c>
      <c r="X424" s="3">
        <f>Tabla1[[#This Row],[costo_antes_iva]]*Tabla1[[#This Row],[OS-Cantidad]]</f>
        <v>2450000</v>
      </c>
      <c r="Y424" s="3">
        <f>Tabla1[[#This Row],[Valor total OS]]-Tabla1[[#This Row],[valor total op]]</f>
        <v>-196000</v>
      </c>
    </row>
    <row r="425" spans="1:25" x14ac:dyDescent="0.3">
      <c r="A425">
        <v>6383</v>
      </c>
      <c r="B425">
        <v>5</v>
      </c>
      <c r="C425" t="s">
        <v>1063</v>
      </c>
      <c r="D425">
        <v>241</v>
      </c>
      <c r="E425" s="5">
        <v>45960.97152777778</v>
      </c>
      <c r="F425" t="s">
        <v>1064</v>
      </c>
      <c r="G425" t="s">
        <v>294</v>
      </c>
      <c r="H425" t="s">
        <v>1022</v>
      </c>
      <c r="I425">
        <v>1</v>
      </c>
      <c r="J425">
        <v>74549252</v>
      </c>
      <c r="K425" s="5">
        <v>45959</v>
      </c>
      <c r="L425" s="3">
        <v>11000</v>
      </c>
      <c r="M425" t="s">
        <v>1042</v>
      </c>
      <c r="N425" t="s">
        <v>56</v>
      </c>
      <c r="O425" t="s">
        <v>1065</v>
      </c>
      <c r="P425" s="3">
        <v>11500</v>
      </c>
      <c r="Q425">
        <v>244</v>
      </c>
      <c r="R425" t="s">
        <v>1066</v>
      </c>
      <c r="S425" t="s">
        <v>1045</v>
      </c>
      <c r="T425" t="s">
        <v>1046</v>
      </c>
      <c r="U425" t="s">
        <v>31</v>
      </c>
      <c r="V425" s="3">
        <f>Tabla1[[#This Row],[OS-Valor Unitario]]-Tabla1[[#This Row],[costo_antes_iva]]</f>
        <v>500</v>
      </c>
      <c r="W425" s="3">
        <f>Tabla1[[#This Row],[OS-Valor Unitario]]*Tabla1[[#This Row],[OS-Cantidad]]</f>
        <v>2806000</v>
      </c>
      <c r="X425" s="3">
        <f>Tabla1[[#This Row],[costo_antes_iva]]*Tabla1[[#This Row],[OS-Cantidad]]</f>
        <v>2684000</v>
      </c>
      <c r="Y425" s="3">
        <f>Tabla1[[#This Row],[Valor total OS]]-Tabla1[[#This Row],[valor total op]]</f>
        <v>122000</v>
      </c>
    </row>
    <row r="426" spans="1:25" x14ac:dyDescent="0.3">
      <c r="A426">
        <v>6383</v>
      </c>
      <c r="B426">
        <v>6</v>
      </c>
      <c r="C426" t="s">
        <v>1067</v>
      </c>
      <c r="D426">
        <v>232</v>
      </c>
      <c r="E426" s="5">
        <v>45960.97152777778</v>
      </c>
      <c r="F426" t="s">
        <v>1068</v>
      </c>
      <c r="G426" t="s">
        <v>294</v>
      </c>
      <c r="H426" t="s">
        <v>1022</v>
      </c>
      <c r="I426">
        <v>1</v>
      </c>
      <c r="J426">
        <v>74549343</v>
      </c>
      <c r="K426" s="5">
        <v>45959</v>
      </c>
      <c r="L426" s="3">
        <v>11000</v>
      </c>
      <c r="M426" t="s">
        <v>1042</v>
      </c>
      <c r="N426" t="s">
        <v>56</v>
      </c>
      <c r="O426" t="s">
        <v>1069</v>
      </c>
      <c r="P426" s="3">
        <v>11000</v>
      </c>
      <c r="Q426">
        <v>232</v>
      </c>
      <c r="R426" t="s">
        <v>1070</v>
      </c>
      <c r="S426" t="s">
        <v>1045</v>
      </c>
      <c r="T426" t="s">
        <v>1046</v>
      </c>
      <c r="U426" t="s">
        <v>31</v>
      </c>
      <c r="V426" s="3">
        <f>Tabla1[[#This Row],[OS-Valor Unitario]]-Tabla1[[#This Row],[costo_antes_iva]]</f>
        <v>0</v>
      </c>
      <c r="W426" s="3">
        <f>Tabla1[[#This Row],[OS-Valor Unitario]]*Tabla1[[#This Row],[OS-Cantidad]]</f>
        <v>2552000</v>
      </c>
      <c r="X426" s="3">
        <f>Tabla1[[#This Row],[costo_antes_iva]]*Tabla1[[#This Row],[OS-Cantidad]]</f>
        <v>2552000</v>
      </c>
      <c r="Y426" s="3">
        <f>Tabla1[[#This Row],[Valor total OS]]-Tabla1[[#This Row],[valor total op]]</f>
        <v>0</v>
      </c>
    </row>
    <row r="427" spans="1:25" x14ac:dyDescent="0.3">
      <c r="A427">
        <v>6383</v>
      </c>
      <c r="B427">
        <v>7</v>
      </c>
      <c r="C427" t="s">
        <v>1071</v>
      </c>
      <c r="D427">
        <v>15</v>
      </c>
      <c r="E427" s="5">
        <v>45960.97152777778</v>
      </c>
      <c r="F427" t="s">
        <v>1072</v>
      </c>
      <c r="G427" t="s">
        <v>294</v>
      </c>
      <c r="H427" t="s">
        <v>1022</v>
      </c>
      <c r="I427">
        <v>1</v>
      </c>
      <c r="J427">
        <v>74549355</v>
      </c>
      <c r="K427" s="5">
        <v>45959</v>
      </c>
      <c r="L427" s="3">
        <v>11000</v>
      </c>
      <c r="M427" t="s">
        <v>1042</v>
      </c>
      <c r="N427" t="s">
        <v>56</v>
      </c>
      <c r="O427" t="s">
        <v>1073</v>
      </c>
      <c r="P427" s="3">
        <v>11000</v>
      </c>
      <c r="Q427">
        <v>15</v>
      </c>
      <c r="R427" t="s">
        <v>1074</v>
      </c>
      <c r="S427" t="s">
        <v>1045</v>
      </c>
      <c r="T427" t="s">
        <v>1046</v>
      </c>
      <c r="U427" t="s">
        <v>31</v>
      </c>
      <c r="V427" s="3">
        <f>Tabla1[[#This Row],[OS-Valor Unitario]]-Tabla1[[#This Row],[costo_antes_iva]]</f>
        <v>0</v>
      </c>
      <c r="W427" s="3">
        <f>Tabla1[[#This Row],[OS-Valor Unitario]]*Tabla1[[#This Row],[OS-Cantidad]]</f>
        <v>165000</v>
      </c>
      <c r="X427" s="3">
        <f>Tabla1[[#This Row],[costo_antes_iva]]*Tabla1[[#This Row],[OS-Cantidad]]</f>
        <v>165000</v>
      </c>
      <c r="Y427" s="3">
        <f>Tabla1[[#This Row],[Valor total OS]]-Tabla1[[#This Row],[valor total op]]</f>
        <v>0</v>
      </c>
    </row>
    <row r="428" spans="1:25" x14ac:dyDescent="0.3">
      <c r="A428">
        <v>6383</v>
      </c>
      <c r="B428">
        <v>8</v>
      </c>
      <c r="C428" t="s">
        <v>1075</v>
      </c>
      <c r="D428">
        <v>16</v>
      </c>
      <c r="E428" s="5">
        <v>45960.97152777778</v>
      </c>
      <c r="F428" t="s">
        <v>1076</v>
      </c>
      <c r="G428" t="s">
        <v>294</v>
      </c>
      <c r="H428" t="s">
        <v>1022</v>
      </c>
      <c r="I428">
        <v>1</v>
      </c>
      <c r="J428">
        <v>74549361</v>
      </c>
      <c r="K428" s="5">
        <v>45959</v>
      </c>
      <c r="L428" s="3">
        <v>11000</v>
      </c>
      <c r="M428" t="s">
        <v>1042</v>
      </c>
      <c r="N428" t="s">
        <v>56</v>
      </c>
      <c r="O428" t="s">
        <v>1077</v>
      </c>
      <c r="P428" s="3">
        <v>11500</v>
      </c>
      <c r="Q428">
        <v>16</v>
      </c>
      <c r="R428" t="s">
        <v>1078</v>
      </c>
      <c r="S428" t="s">
        <v>1045</v>
      </c>
      <c r="T428" t="s">
        <v>1046</v>
      </c>
      <c r="U428" t="s">
        <v>31</v>
      </c>
      <c r="V428" s="3">
        <f>Tabla1[[#This Row],[OS-Valor Unitario]]-Tabla1[[#This Row],[costo_antes_iva]]</f>
        <v>500</v>
      </c>
      <c r="W428" s="3">
        <f>Tabla1[[#This Row],[OS-Valor Unitario]]*Tabla1[[#This Row],[OS-Cantidad]]</f>
        <v>184000</v>
      </c>
      <c r="X428" s="3">
        <f>Tabla1[[#This Row],[costo_antes_iva]]*Tabla1[[#This Row],[OS-Cantidad]]</f>
        <v>176000</v>
      </c>
      <c r="Y428" s="3">
        <f>Tabla1[[#This Row],[Valor total OS]]-Tabla1[[#This Row],[valor total op]]</f>
        <v>8000</v>
      </c>
    </row>
    <row r="429" spans="1:25" x14ac:dyDescent="0.3">
      <c r="A429">
        <v>6383</v>
      </c>
      <c r="B429">
        <v>11</v>
      </c>
      <c r="C429" t="s">
        <v>1079</v>
      </c>
      <c r="D429">
        <v>43</v>
      </c>
      <c r="E429" s="5">
        <v>45960.97152777778</v>
      </c>
      <c r="F429" t="s">
        <v>1080</v>
      </c>
      <c r="G429" t="s">
        <v>230</v>
      </c>
      <c r="H429" t="s">
        <v>1022</v>
      </c>
      <c r="I429">
        <v>1</v>
      </c>
      <c r="J429">
        <v>74549393</v>
      </c>
      <c r="K429" s="5">
        <v>45959</v>
      </c>
      <c r="L429" s="3">
        <v>1100</v>
      </c>
      <c r="M429" t="s">
        <v>1042</v>
      </c>
      <c r="N429" t="s">
        <v>26</v>
      </c>
      <c r="O429" t="s">
        <v>1081</v>
      </c>
      <c r="P429" s="3">
        <v>1100</v>
      </c>
      <c r="Q429">
        <v>44</v>
      </c>
      <c r="R429" t="s">
        <v>1082</v>
      </c>
      <c r="S429" t="s">
        <v>1045</v>
      </c>
      <c r="T429" t="s">
        <v>1046</v>
      </c>
      <c r="U429" t="s">
        <v>31</v>
      </c>
      <c r="V429" s="3">
        <f>Tabla1[[#This Row],[OS-Valor Unitario]]-Tabla1[[#This Row],[costo_antes_iva]]</f>
        <v>0</v>
      </c>
      <c r="W429" s="3">
        <f>Tabla1[[#This Row],[OS-Valor Unitario]]*Tabla1[[#This Row],[OS-Cantidad]]</f>
        <v>48400</v>
      </c>
      <c r="X429" s="3">
        <f>Tabla1[[#This Row],[costo_antes_iva]]*Tabla1[[#This Row],[OS-Cantidad]]</f>
        <v>48400</v>
      </c>
      <c r="Y429" s="3">
        <f>Tabla1[[#This Row],[Valor total OS]]-Tabla1[[#This Row],[valor total op]]</f>
        <v>0</v>
      </c>
    </row>
    <row r="430" spans="1:25" x14ac:dyDescent="0.3">
      <c r="A430">
        <v>6383</v>
      </c>
      <c r="B430">
        <v>12</v>
      </c>
      <c r="C430" t="s">
        <v>1083</v>
      </c>
      <c r="D430">
        <v>107</v>
      </c>
      <c r="E430" s="5">
        <v>45960.97152777778</v>
      </c>
      <c r="F430" t="s">
        <v>1084</v>
      </c>
      <c r="G430" t="s">
        <v>230</v>
      </c>
      <c r="H430" t="s">
        <v>1022</v>
      </c>
      <c r="I430">
        <v>1</v>
      </c>
      <c r="J430">
        <v>74549401</v>
      </c>
      <c r="K430" s="5">
        <v>45959</v>
      </c>
      <c r="L430" s="3">
        <v>1100</v>
      </c>
      <c r="M430" t="s">
        <v>1042</v>
      </c>
      <c r="N430" t="s">
        <v>26</v>
      </c>
      <c r="O430" t="s">
        <v>1085</v>
      </c>
      <c r="P430" s="3">
        <v>1100</v>
      </c>
      <c r="Q430">
        <v>108</v>
      </c>
      <c r="R430" t="s">
        <v>1086</v>
      </c>
      <c r="S430" t="s">
        <v>1045</v>
      </c>
      <c r="T430" t="s">
        <v>1046</v>
      </c>
      <c r="U430" t="s">
        <v>31</v>
      </c>
      <c r="V430" s="3">
        <f>Tabla1[[#This Row],[OS-Valor Unitario]]-Tabla1[[#This Row],[costo_antes_iva]]</f>
        <v>0</v>
      </c>
      <c r="W430" s="3">
        <f>Tabla1[[#This Row],[OS-Valor Unitario]]*Tabla1[[#This Row],[OS-Cantidad]]</f>
        <v>118800</v>
      </c>
      <c r="X430" s="3">
        <f>Tabla1[[#This Row],[costo_antes_iva]]*Tabla1[[#This Row],[OS-Cantidad]]</f>
        <v>118800</v>
      </c>
      <c r="Y430" s="3">
        <f>Tabla1[[#This Row],[Valor total OS]]-Tabla1[[#This Row],[valor total op]]</f>
        <v>0</v>
      </c>
    </row>
    <row r="431" spans="1:25" x14ac:dyDescent="0.3">
      <c r="A431">
        <v>6383</v>
      </c>
      <c r="B431">
        <v>13</v>
      </c>
      <c r="C431" t="s">
        <v>1087</v>
      </c>
      <c r="D431">
        <v>15</v>
      </c>
      <c r="E431" s="5">
        <v>45960.97152777778</v>
      </c>
      <c r="F431" t="s">
        <v>1088</v>
      </c>
      <c r="G431" t="s">
        <v>1089</v>
      </c>
      <c r="H431" t="s">
        <v>1022</v>
      </c>
      <c r="I431">
        <v>1</v>
      </c>
      <c r="J431">
        <v>74549416</v>
      </c>
      <c r="K431" s="5">
        <v>45959</v>
      </c>
      <c r="L431" s="3">
        <v>1100</v>
      </c>
      <c r="M431" t="s">
        <v>1042</v>
      </c>
      <c r="N431" t="s">
        <v>26</v>
      </c>
      <c r="O431" t="s">
        <v>1090</v>
      </c>
      <c r="P431" s="3">
        <v>1100</v>
      </c>
      <c r="Q431">
        <v>15</v>
      </c>
      <c r="R431" t="s">
        <v>1091</v>
      </c>
      <c r="S431" t="s">
        <v>1045</v>
      </c>
      <c r="T431" t="s">
        <v>1046</v>
      </c>
      <c r="U431" t="s">
        <v>31</v>
      </c>
      <c r="V431" s="3">
        <f>Tabla1[[#This Row],[OS-Valor Unitario]]-Tabla1[[#This Row],[costo_antes_iva]]</f>
        <v>0</v>
      </c>
      <c r="W431" s="3">
        <f>Tabla1[[#This Row],[OS-Valor Unitario]]*Tabla1[[#This Row],[OS-Cantidad]]</f>
        <v>16500</v>
      </c>
      <c r="X431" s="3">
        <f>Tabla1[[#This Row],[costo_antes_iva]]*Tabla1[[#This Row],[OS-Cantidad]]</f>
        <v>16500</v>
      </c>
      <c r="Y431" s="3">
        <f>Tabla1[[#This Row],[Valor total OS]]-Tabla1[[#This Row],[valor total op]]</f>
        <v>0</v>
      </c>
    </row>
    <row r="432" spans="1:25" x14ac:dyDescent="0.3">
      <c r="A432">
        <v>6383</v>
      </c>
      <c r="B432">
        <v>13</v>
      </c>
      <c r="C432" t="s">
        <v>1087</v>
      </c>
      <c r="D432">
        <v>15</v>
      </c>
      <c r="E432" s="5">
        <v>45960.97152777778</v>
      </c>
      <c r="F432" t="s">
        <v>1088</v>
      </c>
      <c r="G432" t="s">
        <v>1089</v>
      </c>
      <c r="H432" t="s">
        <v>1022</v>
      </c>
      <c r="I432">
        <v>1</v>
      </c>
      <c r="J432">
        <v>74549416</v>
      </c>
      <c r="K432" s="5">
        <v>45959</v>
      </c>
      <c r="L432" s="3">
        <v>14500</v>
      </c>
      <c r="M432" t="s">
        <v>1042</v>
      </c>
      <c r="N432" t="s">
        <v>56</v>
      </c>
      <c r="O432" t="s">
        <v>1090</v>
      </c>
      <c r="P432" s="3">
        <v>14000</v>
      </c>
      <c r="Q432">
        <v>15</v>
      </c>
      <c r="R432" t="s">
        <v>1092</v>
      </c>
      <c r="S432" t="s">
        <v>1045</v>
      </c>
      <c r="T432" t="s">
        <v>1046</v>
      </c>
      <c r="U432" t="s">
        <v>31</v>
      </c>
      <c r="V432" s="3">
        <f>Tabla1[[#This Row],[OS-Valor Unitario]]-Tabla1[[#This Row],[costo_antes_iva]]</f>
        <v>-500</v>
      </c>
      <c r="W432" s="3">
        <f>Tabla1[[#This Row],[OS-Valor Unitario]]*Tabla1[[#This Row],[OS-Cantidad]]</f>
        <v>210000</v>
      </c>
      <c r="X432" s="3">
        <f>Tabla1[[#This Row],[costo_antes_iva]]*Tabla1[[#This Row],[OS-Cantidad]]</f>
        <v>217500</v>
      </c>
      <c r="Y432" s="3">
        <f>Tabla1[[#This Row],[Valor total OS]]-Tabla1[[#This Row],[valor total op]]</f>
        <v>-7500</v>
      </c>
    </row>
    <row r="433" spans="1:25" x14ac:dyDescent="0.3">
      <c r="A433">
        <v>6383</v>
      </c>
      <c r="B433">
        <v>14</v>
      </c>
      <c r="C433" t="s">
        <v>1093</v>
      </c>
      <c r="D433">
        <v>11</v>
      </c>
      <c r="E433" s="5">
        <v>45960.97152777778</v>
      </c>
      <c r="F433" t="s">
        <v>1094</v>
      </c>
      <c r="G433" t="s">
        <v>1089</v>
      </c>
      <c r="H433" t="s">
        <v>1022</v>
      </c>
      <c r="I433">
        <v>1</v>
      </c>
      <c r="J433">
        <v>74549428</v>
      </c>
      <c r="K433" s="5">
        <v>45959</v>
      </c>
      <c r="L433" s="3">
        <v>1100</v>
      </c>
      <c r="M433" t="s">
        <v>1042</v>
      </c>
      <c r="N433" t="s">
        <v>26</v>
      </c>
      <c r="O433" t="s">
        <v>1095</v>
      </c>
      <c r="P433" s="3">
        <v>1100</v>
      </c>
      <c r="Q433">
        <v>11</v>
      </c>
      <c r="R433" t="s">
        <v>1096</v>
      </c>
      <c r="S433" t="s">
        <v>1045</v>
      </c>
      <c r="T433" t="s">
        <v>1046</v>
      </c>
      <c r="U433" t="s">
        <v>31</v>
      </c>
      <c r="V433" s="3">
        <f>Tabla1[[#This Row],[OS-Valor Unitario]]-Tabla1[[#This Row],[costo_antes_iva]]</f>
        <v>0</v>
      </c>
      <c r="W433" s="3">
        <f>Tabla1[[#This Row],[OS-Valor Unitario]]*Tabla1[[#This Row],[OS-Cantidad]]</f>
        <v>12100</v>
      </c>
      <c r="X433" s="3">
        <f>Tabla1[[#This Row],[costo_antes_iva]]*Tabla1[[#This Row],[OS-Cantidad]]</f>
        <v>12100</v>
      </c>
      <c r="Y433" s="3">
        <f>Tabla1[[#This Row],[Valor total OS]]-Tabla1[[#This Row],[valor total op]]</f>
        <v>0</v>
      </c>
    </row>
    <row r="434" spans="1:25" x14ac:dyDescent="0.3">
      <c r="A434">
        <v>6383</v>
      </c>
      <c r="B434">
        <v>14</v>
      </c>
      <c r="C434" t="s">
        <v>1093</v>
      </c>
      <c r="D434">
        <v>11</v>
      </c>
      <c r="E434" s="5">
        <v>45960.97152777778</v>
      </c>
      <c r="F434" t="s">
        <v>1094</v>
      </c>
      <c r="G434" t="s">
        <v>1089</v>
      </c>
      <c r="H434" t="s">
        <v>1022</v>
      </c>
      <c r="I434">
        <v>1</v>
      </c>
      <c r="J434">
        <v>74549428</v>
      </c>
      <c r="K434" s="5">
        <v>45959</v>
      </c>
      <c r="L434" s="3">
        <v>14500</v>
      </c>
      <c r="M434" t="s">
        <v>1042</v>
      </c>
      <c r="N434" t="s">
        <v>56</v>
      </c>
      <c r="O434" t="s">
        <v>1095</v>
      </c>
      <c r="P434" s="3">
        <v>14000</v>
      </c>
      <c r="Q434">
        <v>11</v>
      </c>
      <c r="R434" t="s">
        <v>1097</v>
      </c>
      <c r="S434" t="s">
        <v>1045</v>
      </c>
      <c r="T434" t="s">
        <v>1046</v>
      </c>
      <c r="U434" t="s">
        <v>31</v>
      </c>
      <c r="V434" s="3">
        <f>Tabla1[[#This Row],[OS-Valor Unitario]]-Tabla1[[#This Row],[costo_antes_iva]]</f>
        <v>-500</v>
      </c>
      <c r="W434" s="3">
        <f>Tabla1[[#This Row],[OS-Valor Unitario]]*Tabla1[[#This Row],[OS-Cantidad]]</f>
        <v>154000</v>
      </c>
      <c r="X434" s="3">
        <f>Tabla1[[#This Row],[costo_antes_iva]]*Tabla1[[#This Row],[OS-Cantidad]]</f>
        <v>159500</v>
      </c>
      <c r="Y434" s="3">
        <f>Tabla1[[#This Row],[Valor total OS]]-Tabla1[[#This Row],[valor total op]]</f>
        <v>-5500</v>
      </c>
    </row>
    <row r="435" spans="1:25" x14ac:dyDescent="0.3">
      <c r="A435">
        <v>6382</v>
      </c>
      <c r="B435">
        <v>1</v>
      </c>
      <c r="C435" t="s">
        <v>1098</v>
      </c>
      <c r="D435">
        <v>8</v>
      </c>
      <c r="E435" s="5">
        <v>45960.538888888892</v>
      </c>
      <c r="F435" t="s">
        <v>1099</v>
      </c>
      <c r="G435" t="s">
        <v>230</v>
      </c>
      <c r="H435" t="s">
        <v>182</v>
      </c>
      <c r="I435">
        <v>1</v>
      </c>
      <c r="J435">
        <v>74603513</v>
      </c>
      <c r="K435" s="5">
        <v>45960</v>
      </c>
      <c r="L435" s="3">
        <v>4500</v>
      </c>
      <c r="M435" t="s">
        <v>1100</v>
      </c>
      <c r="N435" t="s">
        <v>56</v>
      </c>
      <c r="O435" t="s">
        <v>1101</v>
      </c>
      <c r="P435" s="3">
        <v>5500</v>
      </c>
      <c r="Q435">
        <v>8</v>
      </c>
      <c r="R435" t="s">
        <v>1102</v>
      </c>
      <c r="S435" t="s">
        <v>1103</v>
      </c>
      <c r="T435" t="s">
        <v>1104</v>
      </c>
      <c r="U435" t="s">
        <v>31</v>
      </c>
      <c r="V435" s="3">
        <f>Tabla1[[#This Row],[OS-Valor Unitario]]-Tabla1[[#This Row],[costo_antes_iva]]</f>
        <v>1000</v>
      </c>
      <c r="W435" s="3">
        <f>Tabla1[[#This Row],[OS-Valor Unitario]]*Tabla1[[#This Row],[OS-Cantidad]]</f>
        <v>44000</v>
      </c>
      <c r="X435" s="3">
        <f>Tabla1[[#This Row],[costo_antes_iva]]*Tabla1[[#This Row],[OS-Cantidad]]</f>
        <v>36000</v>
      </c>
      <c r="Y435" s="3">
        <f>Tabla1[[#This Row],[Valor total OS]]-Tabla1[[#This Row],[valor total op]]</f>
        <v>8000</v>
      </c>
    </row>
    <row r="436" spans="1:25" x14ac:dyDescent="0.3">
      <c r="A436">
        <v>6382</v>
      </c>
      <c r="B436">
        <v>1</v>
      </c>
      <c r="C436" t="s">
        <v>1098</v>
      </c>
      <c r="D436">
        <v>8</v>
      </c>
      <c r="E436" s="5">
        <v>45960.538888888892</v>
      </c>
      <c r="F436" t="s">
        <v>1099</v>
      </c>
      <c r="G436" t="s">
        <v>230</v>
      </c>
      <c r="H436" t="s">
        <v>182</v>
      </c>
      <c r="I436">
        <v>1</v>
      </c>
      <c r="J436">
        <v>74603513</v>
      </c>
      <c r="K436" s="5">
        <v>45960</v>
      </c>
      <c r="L436" s="3">
        <v>1500</v>
      </c>
      <c r="M436" t="s">
        <v>1100</v>
      </c>
      <c r="N436" t="s">
        <v>26</v>
      </c>
      <c r="O436" t="s">
        <v>1101</v>
      </c>
      <c r="P436" s="3">
        <v>1500</v>
      </c>
      <c r="Q436">
        <v>8</v>
      </c>
      <c r="R436" t="s">
        <v>1105</v>
      </c>
      <c r="S436" t="s">
        <v>1103</v>
      </c>
      <c r="T436" t="s">
        <v>1104</v>
      </c>
      <c r="U436" t="s">
        <v>31</v>
      </c>
      <c r="V436" s="3">
        <f>Tabla1[[#This Row],[OS-Valor Unitario]]-Tabla1[[#This Row],[costo_antes_iva]]</f>
        <v>0</v>
      </c>
      <c r="W436" s="3">
        <f>Tabla1[[#This Row],[OS-Valor Unitario]]*Tabla1[[#This Row],[OS-Cantidad]]</f>
        <v>12000</v>
      </c>
      <c r="X436" s="3">
        <f>Tabla1[[#This Row],[costo_antes_iva]]*Tabla1[[#This Row],[OS-Cantidad]]</f>
        <v>12000</v>
      </c>
      <c r="Y436" s="3">
        <f>Tabla1[[#This Row],[Valor total OS]]-Tabla1[[#This Row],[valor total op]]</f>
        <v>0</v>
      </c>
    </row>
    <row r="437" spans="1:25" x14ac:dyDescent="0.3">
      <c r="A437">
        <v>6382</v>
      </c>
      <c r="B437">
        <v>1</v>
      </c>
      <c r="C437" t="s">
        <v>1098</v>
      </c>
      <c r="D437">
        <v>8</v>
      </c>
      <c r="E437" s="5">
        <v>45960.538888888892</v>
      </c>
      <c r="F437" t="s">
        <v>1099</v>
      </c>
      <c r="G437" t="s">
        <v>230</v>
      </c>
      <c r="H437" t="s">
        <v>182</v>
      </c>
      <c r="I437">
        <v>1</v>
      </c>
      <c r="J437">
        <v>74604467</v>
      </c>
      <c r="K437" s="5">
        <v>45960</v>
      </c>
      <c r="L437" s="3">
        <v>4500</v>
      </c>
      <c r="M437" t="s">
        <v>1106</v>
      </c>
      <c r="N437" t="s">
        <v>56</v>
      </c>
      <c r="O437" t="s">
        <v>1101</v>
      </c>
      <c r="P437" s="3">
        <v>5500</v>
      </c>
      <c r="Q437">
        <v>8</v>
      </c>
      <c r="R437" t="s">
        <v>1102</v>
      </c>
      <c r="S437" t="s">
        <v>1103</v>
      </c>
      <c r="T437" t="s">
        <v>1104</v>
      </c>
      <c r="U437" t="s">
        <v>31</v>
      </c>
      <c r="V437" s="3">
        <f>Tabla1[[#This Row],[OS-Valor Unitario]]-Tabla1[[#This Row],[costo_antes_iva]]</f>
        <v>1000</v>
      </c>
      <c r="W437" s="3">
        <f>Tabla1[[#This Row],[OS-Valor Unitario]]*Tabla1[[#This Row],[OS-Cantidad]]</f>
        <v>44000</v>
      </c>
      <c r="X437" s="3">
        <f>Tabla1[[#This Row],[costo_antes_iva]]*Tabla1[[#This Row],[OS-Cantidad]]</f>
        <v>36000</v>
      </c>
      <c r="Y437" s="3">
        <f>Tabla1[[#This Row],[Valor total OS]]-Tabla1[[#This Row],[valor total op]]</f>
        <v>8000</v>
      </c>
    </row>
    <row r="438" spans="1:25" x14ac:dyDescent="0.3">
      <c r="A438">
        <v>6382</v>
      </c>
      <c r="B438">
        <v>1</v>
      </c>
      <c r="C438" t="s">
        <v>1098</v>
      </c>
      <c r="D438">
        <v>8</v>
      </c>
      <c r="E438" s="5">
        <v>45960.538888888892</v>
      </c>
      <c r="F438" t="s">
        <v>1099</v>
      </c>
      <c r="G438" t="s">
        <v>230</v>
      </c>
      <c r="H438" t="s">
        <v>182</v>
      </c>
      <c r="I438">
        <v>1</v>
      </c>
      <c r="J438">
        <v>74604467</v>
      </c>
      <c r="K438" s="5">
        <v>45960</v>
      </c>
      <c r="L438" s="3">
        <v>1500</v>
      </c>
      <c r="M438" t="s">
        <v>1106</v>
      </c>
      <c r="N438" t="s">
        <v>26</v>
      </c>
      <c r="O438" t="s">
        <v>1101</v>
      </c>
      <c r="P438" s="3">
        <v>1500</v>
      </c>
      <c r="Q438">
        <v>8</v>
      </c>
      <c r="R438" t="s">
        <v>1105</v>
      </c>
      <c r="S438" t="s">
        <v>1103</v>
      </c>
      <c r="T438" t="s">
        <v>1104</v>
      </c>
      <c r="U438" t="s">
        <v>31</v>
      </c>
      <c r="V438" s="3">
        <f>Tabla1[[#This Row],[OS-Valor Unitario]]-Tabla1[[#This Row],[costo_antes_iva]]</f>
        <v>0</v>
      </c>
      <c r="W438" s="3">
        <f>Tabla1[[#This Row],[OS-Valor Unitario]]*Tabla1[[#This Row],[OS-Cantidad]]</f>
        <v>12000</v>
      </c>
      <c r="X438" s="3">
        <f>Tabla1[[#This Row],[costo_antes_iva]]*Tabla1[[#This Row],[OS-Cantidad]]</f>
        <v>12000</v>
      </c>
      <c r="Y438" s="3">
        <f>Tabla1[[#This Row],[Valor total OS]]-Tabla1[[#This Row],[valor total op]]</f>
        <v>0</v>
      </c>
    </row>
    <row r="439" spans="1:25" x14ac:dyDescent="0.3">
      <c r="A439">
        <v>6382</v>
      </c>
      <c r="B439">
        <v>2</v>
      </c>
      <c r="C439" t="s">
        <v>1107</v>
      </c>
      <c r="D439">
        <v>8</v>
      </c>
      <c r="E439" s="5">
        <v>45960.538888888892</v>
      </c>
      <c r="F439" t="s">
        <v>1108</v>
      </c>
      <c r="G439" t="s">
        <v>230</v>
      </c>
      <c r="H439" t="s">
        <v>182</v>
      </c>
      <c r="I439">
        <v>1</v>
      </c>
      <c r="J439">
        <v>74603520</v>
      </c>
      <c r="K439" s="5">
        <v>45960</v>
      </c>
      <c r="L439" s="3">
        <v>4500</v>
      </c>
      <c r="M439" t="s">
        <v>1100</v>
      </c>
      <c r="N439" t="s">
        <v>56</v>
      </c>
      <c r="O439" t="s">
        <v>1109</v>
      </c>
      <c r="P439" s="3">
        <v>5500</v>
      </c>
      <c r="Q439">
        <v>8</v>
      </c>
      <c r="R439" t="s">
        <v>1110</v>
      </c>
      <c r="S439" t="s">
        <v>1103</v>
      </c>
      <c r="T439" t="s">
        <v>1104</v>
      </c>
      <c r="U439" t="s">
        <v>31</v>
      </c>
      <c r="V439" s="3">
        <f>Tabla1[[#This Row],[OS-Valor Unitario]]-Tabla1[[#This Row],[costo_antes_iva]]</f>
        <v>1000</v>
      </c>
      <c r="W439" s="3">
        <f>Tabla1[[#This Row],[OS-Valor Unitario]]*Tabla1[[#This Row],[OS-Cantidad]]</f>
        <v>44000</v>
      </c>
      <c r="X439" s="3">
        <f>Tabla1[[#This Row],[costo_antes_iva]]*Tabla1[[#This Row],[OS-Cantidad]]</f>
        <v>36000</v>
      </c>
      <c r="Y439" s="3">
        <f>Tabla1[[#This Row],[Valor total OS]]-Tabla1[[#This Row],[valor total op]]</f>
        <v>8000</v>
      </c>
    </row>
    <row r="440" spans="1:25" x14ac:dyDescent="0.3">
      <c r="A440">
        <v>6382</v>
      </c>
      <c r="B440">
        <v>2</v>
      </c>
      <c r="C440" t="s">
        <v>1107</v>
      </c>
      <c r="D440">
        <v>8</v>
      </c>
      <c r="E440" s="5">
        <v>45960.538888888892</v>
      </c>
      <c r="F440" t="s">
        <v>1108</v>
      </c>
      <c r="G440" t="s">
        <v>230</v>
      </c>
      <c r="H440" t="s">
        <v>182</v>
      </c>
      <c r="I440">
        <v>1</v>
      </c>
      <c r="J440">
        <v>74603520</v>
      </c>
      <c r="K440" s="5">
        <v>45960</v>
      </c>
      <c r="L440" s="3">
        <v>1500</v>
      </c>
      <c r="M440" t="s">
        <v>1100</v>
      </c>
      <c r="N440" t="s">
        <v>26</v>
      </c>
      <c r="O440" t="s">
        <v>1109</v>
      </c>
      <c r="P440" s="3">
        <v>1500</v>
      </c>
      <c r="Q440">
        <v>8</v>
      </c>
      <c r="R440" t="s">
        <v>1111</v>
      </c>
      <c r="S440" t="s">
        <v>1103</v>
      </c>
      <c r="T440" t="s">
        <v>1104</v>
      </c>
      <c r="U440" t="s">
        <v>31</v>
      </c>
      <c r="V440" s="3">
        <f>Tabla1[[#This Row],[OS-Valor Unitario]]-Tabla1[[#This Row],[costo_antes_iva]]</f>
        <v>0</v>
      </c>
      <c r="W440" s="3">
        <f>Tabla1[[#This Row],[OS-Valor Unitario]]*Tabla1[[#This Row],[OS-Cantidad]]</f>
        <v>12000</v>
      </c>
      <c r="X440" s="3">
        <f>Tabla1[[#This Row],[costo_antes_iva]]*Tabla1[[#This Row],[OS-Cantidad]]</f>
        <v>12000</v>
      </c>
      <c r="Y440" s="3">
        <f>Tabla1[[#This Row],[Valor total OS]]-Tabla1[[#This Row],[valor total op]]</f>
        <v>0</v>
      </c>
    </row>
    <row r="441" spans="1:25" x14ac:dyDescent="0.3">
      <c r="A441">
        <v>6382</v>
      </c>
      <c r="B441">
        <v>3</v>
      </c>
      <c r="C441" t="s">
        <v>1112</v>
      </c>
      <c r="D441">
        <v>8</v>
      </c>
      <c r="E441" s="5">
        <v>45960.538888888892</v>
      </c>
      <c r="F441" t="s">
        <v>1113</v>
      </c>
      <c r="G441" t="s">
        <v>230</v>
      </c>
      <c r="H441" t="s">
        <v>182</v>
      </c>
      <c r="I441">
        <v>1</v>
      </c>
      <c r="J441">
        <v>74603527</v>
      </c>
      <c r="K441" s="5">
        <v>45960</v>
      </c>
      <c r="L441" s="3">
        <v>4500</v>
      </c>
      <c r="M441" t="s">
        <v>1100</v>
      </c>
      <c r="N441" t="s">
        <v>56</v>
      </c>
      <c r="O441" t="s">
        <v>1114</v>
      </c>
      <c r="P441" s="3">
        <v>5000</v>
      </c>
      <c r="Q441">
        <v>8</v>
      </c>
      <c r="R441" t="s">
        <v>1115</v>
      </c>
      <c r="S441" t="s">
        <v>1103</v>
      </c>
      <c r="T441" t="s">
        <v>1104</v>
      </c>
      <c r="U441" t="s">
        <v>31</v>
      </c>
      <c r="V441" s="3">
        <f>Tabla1[[#This Row],[OS-Valor Unitario]]-Tabla1[[#This Row],[costo_antes_iva]]</f>
        <v>500</v>
      </c>
      <c r="W441" s="3">
        <f>Tabla1[[#This Row],[OS-Valor Unitario]]*Tabla1[[#This Row],[OS-Cantidad]]</f>
        <v>40000</v>
      </c>
      <c r="X441" s="3">
        <f>Tabla1[[#This Row],[costo_antes_iva]]*Tabla1[[#This Row],[OS-Cantidad]]</f>
        <v>36000</v>
      </c>
      <c r="Y441" s="3">
        <f>Tabla1[[#This Row],[Valor total OS]]-Tabla1[[#This Row],[valor total op]]</f>
        <v>4000</v>
      </c>
    </row>
    <row r="442" spans="1:25" x14ac:dyDescent="0.3">
      <c r="A442">
        <v>6382</v>
      </c>
      <c r="B442">
        <v>3</v>
      </c>
      <c r="C442" t="s">
        <v>1112</v>
      </c>
      <c r="D442">
        <v>8</v>
      </c>
      <c r="E442" s="5">
        <v>45960.538888888892</v>
      </c>
      <c r="F442" t="s">
        <v>1113</v>
      </c>
      <c r="G442" t="s">
        <v>230</v>
      </c>
      <c r="H442" t="s">
        <v>182</v>
      </c>
      <c r="I442">
        <v>1</v>
      </c>
      <c r="J442">
        <v>74603527</v>
      </c>
      <c r="K442" s="5">
        <v>45960</v>
      </c>
      <c r="L442" s="3">
        <v>1500</v>
      </c>
      <c r="M442" t="s">
        <v>1100</v>
      </c>
      <c r="N442" t="s">
        <v>26</v>
      </c>
      <c r="O442" t="s">
        <v>1114</v>
      </c>
      <c r="P442" s="3">
        <v>1500</v>
      </c>
      <c r="Q442">
        <v>8</v>
      </c>
      <c r="R442" t="s">
        <v>1116</v>
      </c>
      <c r="S442" t="s">
        <v>1103</v>
      </c>
      <c r="T442" t="s">
        <v>1104</v>
      </c>
      <c r="U442" t="s">
        <v>31</v>
      </c>
      <c r="V442" s="3">
        <f>Tabla1[[#This Row],[OS-Valor Unitario]]-Tabla1[[#This Row],[costo_antes_iva]]</f>
        <v>0</v>
      </c>
      <c r="W442" s="3">
        <f>Tabla1[[#This Row],[OS-Valor Unitario]]*Tabla1[[#This Row],[OS-Cantidad]]</f>
        <v>12000</v>
      </c>
      <c r="X442" s="3">
        <f>Tabla1[[#This Row],[costo_antes_iva]]*Tabla1[[#This Row],[OS-Cantidad]]</f>
        <v>12000</v>
      </c>
      <c r="Y442" s="3">
        <f>Tabla1[[#This Row],[Valor total OS]]-Tabla1[[#This Row],[valor total op]]</f>
        <v>0</v>
      </c>
    </row>
    <row r="443" spans="1:25" x14ac:dyDescent="0.3">
      <c r="A443">
        <v>6382</v>
      </c>
      <c r="B443">
        <v>4</v>
      </c>
      <c r="C443" t="s">
        <v>1117</v>
      </c>
      <c r="D443">
        <v>2</v>
      </c>
      <c r="E443" s="5">
        <v>45960.538888888892</v>
      </c>
      <c r="F443" t="s">
        <v>1118</v>
      </c>
      <c r="G443" t="s">
        <v>230</v>
      </c>
      <c r="H443" t="s">
        <v>182</v>
      </c>
      <c r="I443">
        <v>1</v>
      </c>
      <c r="J443">
        <v>74604447</v>
      </c>
      <c r="K443" s="5">
        <v>45960</v>
      </c>
      <c r="L443" s="3">
        <v>4500</v>
      </c>
      <c r="M443" t="s">
        <v>1119</v>
      </c>
      <c r="N443" t="s">
        <v>56</v>
      </c>
      <c r="O443" t="s">
        <v>1120</v>
      </c>
      <c r="P443" s="3">
        <v>5500</v>
      </c>
      <c r="Q443">
        <v>2</v>
      </c>
      <c r="R443" t="s">
        <v>1121</v>
      </c>
      <c r="S443" t="s">
        <v>1103</v>
      </c>
      <c r="T443" t="s">
        <v>1104</v>
      </c>
      <c r="U443" t="s">
        <v>31</v>
      </c>
      <c r="V443" s="3">
        <f>Tabla1[[#This Row],[OS-Valor Unitario]]-Tabla1[[#This Row],[costo_antes_iva]]</f>
        <v>1000</v>
      </c>
      <c r="W443" s="3">
        <f>Tabla1[[#This Row],[OS-Valor Unitario]]*Tabla1[[#This Row],[OS-Cantidad]]</f>
        <v>11000</v>
      </c>
      <c r="X443" s="3">
        <f>Tabla1[[#This Row],[costo_antes_iva]]*Tabla1[[#This Row],[OS-Cantidad]]</f>
        <v>9000</v>
      </c>
      <c r="Y443" s="3">
        <f>Tabla1[[#This Row],[Valor total OS]]-Tabla1[[#This Row],[valor total op]]</f>
        <v>2000</v>
      </c>
    </row>
    <row r="444" spans="1:25" x14ac:dyDescent="0.3">
      <c r="A444">
        <v>6382</v>
      </c>
      <c r="B444">
        <v>4</v>
      </c>
      <c r="C444" t="s">
        <v>1117</v>
      </c>
      <c r="D444">
        <v>2</v>
      </c>
      <c r="E444" s="5">
        <v>45960.538888888892</v>
      </c>
      <c r="F444" t="s">
        <v>1118</v>
      </c>
      <c r="G444" t="s">
        <v>230</v>
      </c>
      <c r="H444" t="s">
        <v>182</v>
      </c>
      <c r="I444">
        <v>1</v>
      </c>
      <c r="J444">
        <v>74604447</v>
      </c>
      <c r="K444" s="5">
        <v>45960</v>
      </c>
      <c r="L444" s="3">
        <v>1500</v>
      </c>
      <c r="M444" t="s">
        <v>1119</v>
      </c>
      <c r="N444" t="s">
        <v>26</v>
      </c>
      <c r="O444" t="s">
        <v>1120</v>
      </c>
      <c r="P444" s="3">
        <v>1500</v>
      </c>
      <c r="Q444">
        <v>2</v>
      </c>
      <c r="R444" t="s">
        <v>1122</v>
      </c>
      <c r="S444" t="s">
        <v>1103</v>
      </c>
      <c r="T444" t="s">
        <v>1104</v>
      </c>
      <c r="U444" t="s">
        <v>31</v>
      </c>
      <c r="V444" s="3">
        <f>Tabla1[[#This Row],[OS-Valor Unitario]]-Tabla1[[#This Row],[costo_antes_iva]]</f>
        <v>0</v>
      </c>
      <c r="W444" s="3">
        <f>Tabla1[[#This Row],[OS-Valor Unitario]]*Tabla1[[#This Row],[OS-Cantidad]]</f>
        <v>3000</v>
      </c>
      <c r="X444" s="3">
        <f>Tabla1[[#This Row],[costo_antes_iva]]*Tabla1[[#This Row],[OS-Cantidad]]</f>
        <v>3000</v>
      </c>
      <c r="Y444" s="3">
        <f>Tabla1[[#This Row],[Valor total OS]]-Tabla1[[#This Row],[valor total op]]</f>
        <v>0</v>
      </c>
    </row>
    <row r="445" spans="1:25" x14ac:dyDescent="0.3">
      <c r="A445">
        <v>6382</v>
      </c>
      <c r="B445">
        <v>5</v>
      </c>
      <c r="C445" t="s">
        <v>1123</v>
      </c>
      <c r="D445">
        <v>2</v>
      </c>
      <c r="E445" s="5">
        <v>45960.538888888892</v>
      </c>
      <c r="F445" t="s">
        <v>1124</v>
      </c>
      <c r="G445" t="s">
        <v>230</v>
      </c>
      <c r="H445" t="s">
        <v>182</v>
      </c>
      <c r="I445">
        <v>1</v>
      </c>
      <c r="J445">
        <v>74604459</v>
      </c>
      <c r="K445" s="5">
        <v>45960</v>
      </c>
      <c r="L445" s="3">
        <v>4500</v>
      </c>
      <c r="M445" t="s">
        <v>1125</v>
      </c>
      <c r="N445" t="s">
        <v>56</v>
      </c>
      <c r="O445" t="s">
        <v>1126</v>
      </c>
      <c r="P445" s="3">
        <v>5500</v>
      </c>
      <c r="Q445">
        <v>2</v>
      </c>
      <c r="R445" t="s">
        <v>1127</v>
      </c>
      <c r="S445" t="s">
        <v>1103</v>
      </c>
      <c r="T445" t="s">
        <v>1104</v>
      </c>
      <c r="U445" t="s">
        <v>31</v>
      </c>
      <c r="V445" s="3">
        <f>Tabla1[[#This Row],[OS-Valor Unitario]]-Tabla1[[#This Row],[costo_antes_iva]]</f>
        <v>1000</v>
      </c>
      <c r="W445" s="3">
        <f>Tabla1[[#This Row],[OS-Valor Unitario]]*Tabla1[[#This Row],[OS-Cantidad]]</f>
        <v>11000</v>
      </c>
      <c r="X445" s="3">
        <f>Tabla1[[#This Row],[costo_antes_iva]]*Tabla1[[#This Row],[OS-Cantidad]]</f>
        <v>9000</v>
      </c>
      <c r="Y445" s="3">
        <f>Tabla1[[#This Row],[Valor total OS]]-Tabla1[[#This Row],[valor total op]]</f>
        <v>2000</v>
      </c>
    </row>
    <row r="446" spans="1:25" x14ac:dyDescent="0.3">
      <c r="A446">
        <v>6382</v>
      </c>
      <c r="B446">
        <v>5</v>
      </c>
      <c r="C446" t="s">
        <v>1123</v>
      </c>
      <c r="D446">
        <v>2</v>
      </c>
      <c r="E446" s="5">
        <v>45960.538888888892</v>
      </c>
      <c r="F446" t="s">
        <v>1124</v>
      </c>
      <c r="G446" t="s">
        <v>230</v>
      </c>
      <c r="H446" t="s">
        <v>182</v>
      </c>
      <c r="I446">
        <v>1</v>
      </c>
      <c r="J446">
        <v>74604459</v>
      </c>
      <c r="K446" s="5">
        <v>45960</v>
      </c>
      <c r="L446" s="3">
        <v>1500</v>
      </c>
      <c r="M446" t="s">
        <v>1125</v>
      </c>
      <c r="N446" t="s">
        <v>26</v>
      </c>
      <c r="O446" t="s">
        <v>1126</v>
      </c>
      <c r="P446" s="3">
        <v>1500</v>
      </c>
      <c r="Q446">
        <v>2</v>
      </c>
      <c r="R446" t="s">
        <v>1128</v>
      </c>
      <c r="S446" t="s">
        <v>1103</v>
      </c>
      <c r="T446" t="s">
        <v>1104</v>
      </c>
      <c r="U446" t="s">
        <v>31</v>
      </c>
      <c r="V446" s="3">
        <f>Tabla1[[#This Row],[OS-Valor Unitario]]-Tabla1[[#This Row],[costo_antes_iva]]</f>
        <v>0</v>
      </c>
      <c r="W446" s="3">
        <f>Tabla1[[#This Row],[OS-Valor Unitario]]*Tabla1[[#This Row],[OS-Cantidad]]</f>
        <v>3000</v>
      </c>
      <c r="X446" s="3">
        <f>Tabla1[[#This Row],[costo_antes_iva]]*Tabla1[[#This Row],[OS-Cantidad]]</f>
        <v>3000</v>
      </c>
      <c r="Y446" s="3">
        <f>Tabla1[[#This Row],[Valor total OS]]-Tabla1[[#This Row],[valor total op]]</f>
        <v>0</v>
      </c>
    </row>
    <row r="447" spans="1:25" x14ac:dyDescent="0.3">
      <c r="A447">
        <v>6382</v>
      </c>
      <c r="B447">
        <v>6</v>
      </c>
      <c r="C447" t="s">
        <v>1129</v>
      </c>
      <c r="D447">
        <v>2</v>
      </c>
      <c r="E447" s="5">
        <v>45960.538888888892</v>
      </c>
      <c r="F447" t="s">
        <v>1099</v>
      </c>
      <c r="G447" t="s">
        <v>230</v>
      </c>
      <c r="H447" t="s">
        <v>182</v>
      </c>
      <c r="I447">
        <v>1</v>
      </c>
      <c r="J447">
        <v>74603513</v>
      </c>
      <c r="K447" s="5">
        <v>45960</v>
      </c>
      <c r="L447" s="3">
        <v>4500</v>
      </c>
      <c r="M447" t="s">
        <v>1100</v>
      </c>
      <c r="N447" t="s">
        <v>56</v>
      </c>
      <c r="O447" t="s">
        <v>1130</v>
      </c>
      <c r="P447" s="3">
        <v>5000</v>
      </c>
      <c r="Q447">
        <v>2</v>
      </c>
      <c r="R447" t="s">
        <v>1131</v>
      </c>
      <c r="S447" t="s">
        <v>1103</v>
      </c>
      <c r="T447" t="s">
        <v>1104</v>
      </c>
      <c r="U447" t="s">
        <v>31</v>
      </c>
      <c r="V447" s="3">
        <f>Tabla1[[#This Row],[OS-Valor Unitario]]-Tabla1[[#This Row],[costo_antes_iva]]</f>
        <v>500</v>
      </c>
      <c r="W447" s="3">
        <f>Tabla1[[#This Row],[OS-Valor Unitario]]*Tabla1[[#This Row],[OS-Cantidad]]</f>
        <v>10000</v>
      </c>
      <c r="X447" s="3">
        <f>Tabla1[[#This Row],[costo_antes_iva]]*Tabla1[[#This Row],[OS-Cantidad]]</f>
        <v>9000</v>
      </c>
      <c r="Y447" s="3">
        <f>Tabla1[[#This Row],[Valor total OS]]-Tabla1[[#This Row],[valor total op]]</f>
        <v>1000</v>
      </c>
    </row>
    <row r="448" spans="1:25" x14ac:dyDescent="0.3">
      <c r="A448">
        <v>6382</v>
      </c>
      <c r="B448">
        <v>6</v>
      </c>
      <c r="C448" t="s">
        <v>1129</v>
      </c>
      <c r="D448">
        <v>2</v>
      </c>
      <c r="E448" s="5">
        <v>45960.538888888892</v>
      </c>
      <c r="F448" t="s">
        <v>1099</v>
      </c>
      <c r="G448" t="s">
        <v>230</v>
      </c>
      <c r="H448" t="s">
        <v>182</v>
      </c>
      <c r="I448">
        <v>1</v>
      </c>
      <c r="J448">
        <v>74603513</v>
      </c>
      <c r="K448" s="5">
        <v>45960</v>
      </c>
      <c r="L448" s="3">
        <v>1500</v>
      </c>
      <c r="M448" t="s">
        <v>1100</v>
      </c>
      <c r="N448" t="s">
        <v>26</v>
      </c>
      <c r="O448" t="s">
        <v>1130</v>
      </c>
      <c r="P448" s="3">
        <v>1500</v>
      </c>
      <c r="Q448">
        <v>2</v>
      </c>
      <c r="R448" t="s">
        <v>1132</v>
      </c>
      <c r="S448" t="s">
        <v>1103</v>
      </c>
      <c r="T448" t="s">
        <v>1104</v>
      </c>
      <c r="U448" t="s">
        <v>31</v>
      </c>
      <c r="V448" s="3">
        <f>Tabla1[[#This Row],[OS-Valor Unitario]]-Tabla1[[#This Row],[costo_antes_iva]]</f>
        <v>0</v>
      </c>
      <c r="W448" s="3">
        <f>Tabla1[[#This Row],[OS-Valor Unitario]]*Tabla1[[#This Row],[OS-Cantidad]]</f>
        <v>3000</v>
      </c>
      <c r="X448" s="3">
        <f>Tabla1[[#This Row],[costo_antes_iva]]*Tabla1[[#This Row],[OS-Cantidad]]</f>
        <v>3000</v>
      </c>
      <c r="Y448" s="3">
        <f>Tabla1[[#This Row],[Valor total OS]]-Tabla1[[#This Row],[valor total op]]</f>
        <v>0</v>
      </c>
    </row>
    <row r="449" spans="1:25" x14ac:dyDescent="0.3">
      <c r="A449">
        <v>6382</v>
      </c>
      <c r="B449">
        <v>6</v>
      </c>
      <c r="C449" t="s">
        <v>1129</v>
      </c>
      <c r="D449">
        <v>2</v>
      </c>
      <c r="E449" s="5">
        <v>45960.538888888892</v>
      </c>
      <c r="F449" t="s">
        <v>1099</v>
      </c>
      <c r="G449" t="s">
        <v>230</v>
      </c>
      <c r="H449" t="s">
        <v>182</v>
      </c>
      <c r="I449">
        <v>1</v>
      </c>
      <c r="J449">
        <v>74604467</v>
      </c>
      <c r="K449" s="5">
        <v>45960</v>
      </c>
      <c r="L449" s="3">
        <v>4500</v>
      </c>
      <c r="M449" t="s">
        <v>1106</v>
      </c>
      <c r="N449" t="s">
        <v>56</v>
      </c>
      <c r="O449" t="s">
        <v>1130</v>
      </c>
      <c r="P449" s="3">
        <v>5000</v>
      </c>
      <c r="Q449">
        <v>2</v>
      </c>
      <c r="R449" t="s">
        <v>1131</v>
      </c>
      <c r="S449" t="s">
        <v>1103</v>
      </c>
      <c r="T449" t="s">
        <v>1104</v>
      </c>
      <c r="U449" t="s">
        <v>31</v>
      </c>
      <c r="V449" s="3">
        <f>Tabla1[[#This Row],[OS-Valor Unitario]]-Tabla1[[#This Row],[costo_antes_iva]]</f>
        <v>500</v>
      </c>
      <c r="W449" s="3">
        <f>Tabla1[[#This Row],[OS-Valor Unitario]]*Tabla1[[#This Row],[OS-Cantidad]]</f>
        <v>10000</v>
      </c>
      <c r="X449" s="3">
        <f>Tabla1[[#This Row],[costo_antes_iva]]*Tabla1[[#This Row],[OS-Cantidad]]</f>
        <v>9000</v>
      </c>
      <c r="Y449" s="3">
        <f>Tabla1[[#This Row],[Valor total OS]]-Tabla1[[#This Row],[valor total op]]</f>
        <v>1000</v>
      </c>
    </row>
    <row r="450" spans="1:25" x14ac:dyDescent="0.3">
      <c r="A450">
        <v>6382</v>
      </c>
      <c r="B450">
        <v>6</v>
      </c>
      <c r="C450" t="s">
        <v>1129</v>
      </c>
      <c r="D450">
        <v>2</v>
      </c>
      <c r="E450" s="5">
        <v>45960.538888888892</v>
      </c>
      <c r="F450" t="s">
        <v>1099</v>
      </c>
      <c r="G450" t="s">
        <v>230</v>
      </c>
      <c r="H450" t="s">
        <v>182</v>
      </c>
      <c r="I450">
        <v>1</v>
      </c>
      <c r="J450">
        <v>74604467</v>
      </c>
      <c r="K450" s="5">
        <v>45960</v>
      </c>
      <c r="L450" s="3">
        <v>1500</v>
      </c>
      <c r="M450" t="s">
        <v>1106</v>
      </c>
      <c r="N450" t="s">
        <v>26</v>
      </c>
      <c r="O450" t="s">
        <v>1130</v>
      </c>
      <c r="P450" s="3">
        <v>1500</v>
      </c>
      <c r="Q450">
        <v>2</v>
      </c>
      <c r="R450" t="s">
        <v>1132</v>
      </c>
      <c r="S450" t="s">
        <v>1103</v>
      </c>
      <c r="T450" t="s">
        <v>1104</v>
      </c>
      <c r="U450" t="s">
        <v>31</v>
      </c>
      <c r="V450" s="3">
        <f>Tabla1[[#This Row],[OS-Valor Unitario]]-Tabla1[[#This Row],[costo_antes_iva]]</f>
        <v>0</v>
      </c>
      <c r="W450" s="3">
        <f>Tabla1[[#This Row],[OS-Valor Unitario]]*Tabla1[[#This Row],[OS-Cantidad]]</f>
        <v>3000</v>
      </c>
      <c r="X450" s="3">
        <f>Tabla1[[#This Row],[costo_antes_iva]]*Tabla1[[#This Row],[OS-Cantidad]]</f>
        <v>3000</v>
      </c>
      <c r="Y450" s="3">
        <f>Tabla1[[#This Row],[Valor total OS]]-Tabla1[[#This Row],[valor total op]]</f>
        <v>0</v>
      </c>
    </row>
    <row r="451" spans="1:25" x14ac:dyDescent="0.3">
      <c r="A451">
        <v>6381</v>
      </c>
      <c r="B451">
        <v>1</v>
      </c>
      <c r="C451" t="s">
        <v>1133</v>
      </c>
      <c r="D451">
        <v>78</v>
      </c>
      <c r="E451" s="5">
        <v>45959.705555555556</v>
      </c>
      <c r="F451" t="s">
        <v>1134</v>
      </c>
      <c r="G451" t="s">
        <v>128</v>
      </c>
      <c r="H451" t="s">
        <v>319</v>
      </c>
      <c r="I451">
        <v>78</v>
      </c>
      <c r="J451">
        <v>74547203</v>
      </c>
      <c r="K451" s="5">
        <v>45959</v>
      </c>
      <c r="L451" s="3">
        <v>14000</v>
      </c>
      <c r="M451" t="s">
        <v>1135</v>
      </c>
      <c r="N451" t="s">
        <v>56</v>
      </c>
      <c r="O451" t="s">
        <v>1136</v>
      </c>
      <c r="P451" s="3">
        <v>14000</v>
      </c>
      <c r="Q451">
        <v>78</v>
      </c>
      <c r="R451" t="s">
        <v>1137</v>
      </c>
      <c r="S451" t="s">
        <v>1138</v>
      </c>
      <c r="T451" t="s">
        <v>1139</v>
      </c>
      <c r="U451" t="s">
        <v>325</v>
      </c>
      <c r="V451" s="3">
        <f>Tabla1[[#This Row],[OS-Valor Unitario]]-Tabla1[[#This Row],[costo_antes_iva]]</f>
        <v>0</v>
      </c>
      <c r="W451" s="3">
        <f>Tabla1[[#This Row],[OS-Valor Unitario]]*Tabla1[[#This Row],[OS-Cantidad]]</f>
        <v>1092000</v>
      </c>
      <c r="X451" s="3">
        <f>Tabla1[[#This Row],[costo_antes_iva]]*Tabla1[[#This Row],[OS-Cantidad]]</f>
        <v>1092000</v>
      </c>
      <c r="Y451" s="3">
        <f>Tabla1[[#This Row],[Valor total OS]]-Tabla1[[#This Row],[valor total op]]</f>
        <v>0</v>
      </c>
    </row>
    <row r="452" spans="1:25" x14ac:dyDescent="0.3">
      <c r="A452">
        <v>6381</v>
      </c>
      <c r="B452">
        <v>1</v>
      </c>
      <c r="C452" t="s">
        <v>1133</v>
      </c>
      <c r="D452">
        <v>78</v>
      </c>
      <c r="E452" s="5">
        <v>45959.705555555556</v>
      </c>
      <c r="F452" t="s">
        <v>1134</v>
      </c>
      <c r="G452" t="s">
        <v>128</v>
      </c>
      <c r="H452" t="s">
        <v>319</v>
      </c>
      <c r="I452">
        <v>78</v>
      </c>
      <c r="J452">
        <v>74547203</v>
      </c>
      <c r="K452" s="5">
        <v>45959</v>
      </c>
      <c r="L452" s="3">
        <v>1800</v>
      </c>
      <c r="M452" t="s">
        <v>1135</v>
      </c>
      <c r="N452" t="s">
        <v>26</v>
      </c>
      <c r="O452" t="s">
        <v>1136</v>
      </c>
      <c r="P452" s="3">
        <v>1600</v>
      </c>
      <c r="Q452">
        <v>78</v>
      </c>
      <c r="R452" t="s">
        <v>1140</v>
      </c>
      <c r="S452" t="s">
        <v>1138</v>
      </c>
      <c r="T452" t="s">
        <v>1139</v>
      </c>
      <c r="U452" t="s">
        <v>325</v>
      </c>
      <c r="V452" s="3">
        <f>Tabla1[[#This Row],[OS-Valor Unitario]]-Tabla1[[#This Row],[costo_antes_iva]]</f>
        <v>-200</v>
      </c>
      <c r="W452" s="3">
        <f>Tabla1[[#This Row],[OS-Valor Unitario]]*Tabla1[[#This Row],[OS-Cantidad]]</f>
        <v>124800</v>
      </c>
      <c r="X452" s="3">
        <f>Tabla1[[#This Row],[costo_antes_iva]]*Tabla1[[#This Row],[OS-Cantidad]]</f>
        <v>140400</v>
      </c>
      <c r="Y452" s="3">
        <f>Tabla1[[#This Row],[Valor total OS]]-Tabla1[[#This Row],[valor total op]]</f>
        <v>-15600</v>
      </c>
    </row>
    <row r="453" spans="1:25" x14ac:dyDescent="0.3">
      <c r="A453">
        <v>6381</v>
      </c>
      <c r="B453">
        <v>2</v>
      </c>
      <c r="C453" t="s">
        <v>1141</v>
      </c>
      <c r="D453">
        <v>52</v>
      </c>
      <c r="E453" s="5">
        <v>45959.705555555556</v>
      </c>
      <c r="F453" t="s">
        <v>1142</v>
      </c>
      <c r="G453" t="s">
        <v>294</v>
      </c>
      <c r="H453" t="s">
        <v>319</v>
      </c>
      <c r="I453">
        <v>52</v>
      </c>
      <c r="J453">
        <v>74547210</v>
      </c>
      <c r="K453" s="5">
        <v>45959</v>
      </c>
      <c r="L453" s="3">
        <v>12000</v>
      </c>
      <c r="M453" t="s">
        <v>1135</v>
      </c>
      <c r="N453" t="s">
        <v>56</v>
      </c>
      <c r="O453" t="s">
        <v>1143</v>
      </c>
      <c r="P453" s="3">
        <v>9500</v>
      </c>
      <c r="Q453">
        <v>52</v>
      </c>
      <c r="R453" t="s">
        <v>1144</v>
      </c>
      <c r="S453" t="s">
        <v>1138</v>
      </c>
      <c r="T453" t="s">
        <v>1139</v>
      </c>
      <c r="U453" t="s">
        <v>325</v>
      </c>
      <c r="V453" s="3">
        <f>Tabla1[[#This Row],[OS-Valor Unitario]]-Tabla1[[#This Row],[costo_antes_iva]]</f>
        <v>-2500</v>
      </c>
      <c r="W453" s="3">
        <f>Tabla1[[#This Row],[OS-Valor Unitario]]*Tabla1[[#This Row],[OS-Cantidad]]</f>
        <v>494000</v>
      </c>
      <c r="X453" s="3">
        <f>Tabla1[[#This Row],[costo_antes_iva]]*Tabla1[[#This Row],[OS-Cantidad]]</f>
        <v>624000</v>
      </c>
      <c r="Y453" s="3">
        <f>Tabla1[[#This Row],[Valor total OS]]-Tabla1[[#This Row],[valor total op]]</f>
        <v>-130000</v>
      </c>
    </row>
    <row r="454" spans="1:25" x14ac:dyDescent="0.3">
      <c r="A454">
        <v>6381</v>
      </c>
      <c r="B454">
        <v>2</v>
      </c>
      <c r="C454" t="s">
        <v>1141</v>
      </c>
      <c r="D454">
        <v>52</v>
      </c>
      <c r="E454" s="5">
        <v>45959.705555555556</v>
      </c>
      <c r="F454" t="s">
        <v>1142</v>
      </c>
      <c r="G454" t="s">
        <v>128</v>
      </c>
      <c r="H454" t="s">
        <v>319</v>
      </c>
      <c r="I454">
        <v>6</v>
      </c>
      <c r="J454">
        <v>74553143</v>
      </c>
      <c r="K454" s="5">
        <v>45959</v>
      </c>
      <c r="L454" s="3">
        <v>14000</v>
      </c>
      <c r="M454" t="s">
        <v>1145</v>
      </c>
      <c r="N454" t="s">
        <v>56</v>
      </c>
      <c r="O454" t="s">
        <v>1143</v>
      </c>
      <c r="P454" s="3">
        <v>9500</v>
      </c>
      <c r="Q454">
        <v>52</v>
      </c>
      <c r="R454" t="s">
        <v>1144</v>
      </c>
      <c r="S454" t="s">
        <v>1138</v>
      </c>
      <c r="T454" t="s">
        <v>1139</v>
      </c>
      <c r="U454" t="s">
        <v>325</v>
      </c>
      <c r="V454" s="3">
        <f>Tabla1[[#This Row],[OS-Valor Unitario]]-Tabla1[[#This Row],[costo_antes_iva]]</f>
        <v>-4500</v>
      </c>
      <c r="W454" s="3">
        <f>Tabla1[[#This Row],[OS-Valor Unitario]]*Tabla1[[#This Row],[OS-Cantidad]]</f>
        <v>494000</v>
      </c>
      <c r="X454" s="3">
        <f>Tabla1[[#This Row],[costo_antes_iva]]*Tabla1[[#This Row],[OS-Cantidad]]</f>
        <v>728000</v>
      </c>
      <c r="Y454" s="3">
        <f>Tabla1[[#This Row],[Valor total OS]]-Tabla1[[#This Row],[valor total op]]</f>
        <v>-234000</v>
      </c>
    </row>
    <row r="455" spans="1:25" x14ac:dyDescent="0.3">
      <c r="A455">
        <v>6381</v>
      </c>
      <c r="B455">
        <v>3</v>
      </c>
      <c r="C455" t="s">
        <v>1146</v>
      </c>
      <c r="D455">
        <v>6</v>
      </c>
      <c r="E455" s="5">
        <v>45959.705555555556</v>
      </c>
      <c r="F455" t="s">
        <v>1142</v>
      </c>
      <c r="G455" t="s">
        <v>294</v>
      </c>
      <c r="H455" t="s">
        <v>319</v>
      </c>
      <c r="I455">
        <v>52</v>
      </c>
      <c r="J455">
        <v>74547210</v>
      </c>
      <c r="K455" s="5">
        <v>45959</v>
      </c>
      <c r="L455" s="3">
        <v>12000</v>
      </c>
      <c r="M455" t="s">
        <v>1135</v>
      </c>
      <c r="N455" t="s">
        <v>56</v>
      </c>
      <c r="O455" t="s">
        <v>1147</v>
      </c>
      <c r="P455" s="3">
        <v>14000</v>
      </c>
      <c r="Q455">
        <v>6</v>
      </c>
      <c r="R455" t="s">
        <v>1148</v>
      </c>
      <c r="S455" t="s">
        <v>1138</v>
      </c>
      <c r="T455" t="s">
        <v>1139</v>
      </c>
      <c r="U455" t="s">
        <v>325</v>
      </c>
      <c r="V455" s="3">
        <f>Tabla1[[#This Row],[OS-Valor Unitario]]-Tabla1[[#This Row],[costo_antes_iva]]</f>
        <v>2000</v>
      </c>
      <c r="W455" s="3">
        <f>Tabla1[[#This Row],[OS-Valor Unitario]]*Tabla1[[#This Row],[OS-Cantidad]]</f>
        <v>84000</v>
      </c>
      <c r="X455" s="3">
        <f>Tabla1[[#This Row],[costo_antes_iva]]*Tabla1[[#This Row],[OS-Cantidad]]</f>
        <v>72000</v>
      </c>
      <c r="Y455" s="3">
        <f>Tabla1[[#This Row],[Valor total OS]]-Tabla1[[#This Row],[valor total op]]</f>
        <v>12000</v>
      </c>
    </row>
    <row r="456" spans="1:25" x14ac:dyDescent="0.3">
      <c r="A456">
        <v>6381</v>
      </c>
      <c r="B456">
        <v>3</v>
      </c>
      <c r="C456" t="s">
        <v>1146</v>
      </c>
      <c r="D456">
        <v>6</v>
      </c>
      <c r="E456" s="5">
        <v>45959.705555555556</v>
      </c>
      <c r="F456" t="s">
        <v>1142</v>
      </c>
      <c r="G456" t="s">
        <v>128</v>
      </c>
      <c r="H456" t="s">
        <v>319</v>
      </c>
      <c r="I456">
        <v>6</v>
      </c>
      <c r="J456">
        <v>74553143</v>
      </c>
      <c r="K456" s="5">
        <v>45959</v>
      </c>
      <c r="L456" s="3">
        <v>14000</v>
      </c>
      <c r="M456" t="s">
        <v>1145</v>
      </c>
      <c r="N456" t="s">
        <v>56</v>
      </c>
      <c r="O456" t="s">
        <v>1147</v>
      </c>
      <c r="P456" s="3">
        <v>14000</v>
      </c>
      <c r="Q456">
        <v>6</v>
      </c>
      <c r="R456" t="s">
        <v>1148</v>
      </c>
      <c r="S456" t="s">
        <v>1138</v>
      </c>
      <c r="T456" t="s">
        <v>1139</v>
      </c>
      <c r="U456" t="s">
        <v>325</v>
      </c>
      <c r="V456" s="3">
        <f>Tabla1[[#This Row],[OS-Valor Unitario]]-Tabla1[[#This Row],[costo_antes_iva]]</f>
        <v>0</v>
      </c>
      <c r="W456" s="3">
        <f>Tabla1[[#This Row],[OS-Valor Unitario]]*Tabla1[[#This Row],[OS-Cantidad]]</f>
        <v>84000</v>
      </c>
      <c r="X456" s="3">
        <f>Tabla1[[#This Row],[costo_antes_iva]]*Tabla1[[#This Row],[OS-Cantidad]]</f>
        <v>84000</v>
      </c>
      <c r="Y456" s="3">
        <f>Tabla1[[#This Row],[Valor total OS]]-Tabla1[[#This Row],[valor total op]]</f>
        <v>0</v>
      </c>
    </row>
    <row r="457" spans="1:25" x14ac:dyDescent="0.3">
      <c r="A457">
        <v>6381</v>
      </c>
      <c r="B457">
        <v>3</v>
      </c>
      <c r="C457" t="s">
        <v>1146</v>
      </c>
      <c r="D457">
        <v>6</v>
      </c>
      <c r="E457" s="5">
        <v>45959.705555555556</v>
      </c>
      <c r="F457" t="s">
        <v>1142</v>
      </c>
      <c r="G457" t="s">
        <v>128</v>
      </c>
      <c r="H457" t="s">
        <v>319</v>
      </c>
      <c r="I457">
        <v>6</v>
      </c>
      <c r="J457">
        <v>74553143</v>
      </c>
      <c r="K457" s="5">
        <v>45959</v>
      </c>
      <c r="L457" s="3">
        <v>1800</v>
      </c>
      <c r="M457" t="s">
        <v>1145</v>
      </c>
      <c r="N457" t="s">
        <v>26</v>
      </c>
      <c r="O457" t="s">
        <v>1147</v>
      </c>
      <c r="P457" s="3">
        <v>1600</v>
      </c>
      <c r="Q457">
        <v>6</v>
      </c>
      <c r="R457" t="s">
        <v>1149</v>
      </c>
      <c r="S457" t="s">
        <v>1138</v>
      </c>
      <c r="T457" t="s">
        <v>1139</v>
      </c>
      <c r="U457" t="s">
        <v>325</v>
      </c>
      <c r="V457" s="3">
        <f>Tabla1[[#This Row],[OS-Valor Unitario]]-Tabla1[[#This Row],[costo_antes_iva]]</f>
        <v>-200</v>
      </c>
      <c r="W457" s="3">
        <f>Tabla1[[#This Row],[OS-Valor Unitario]]*Tabla1[[#This Row],[OS-Cantidad]]</f>
        <v>9600</v>
      </c>
      <c r="X457" s="3">
        <f>Tabla1[[#This Row],[costo_antes_iva]]*Tabla1[[#This Row],[OS-Cantidad]]</f>
        <v>10800</v>
      </c>
      <c r="Y457" s="3">
        <f>Tabla1[[#This Row],[Valor total OS]]-Tabla1[[#This Row],[valor total op]]</f>
        <v>-1200</v>
      </c>
    </row>
    <row r="458" spans="1:25" x14ac:dyDescent="0.3">
      <c r="A458">
        <v>6381</v>
      </c>
      <c r="B458">
        <v>4</v>
      </c>
      <c r="C458" t="s">
        <v>1150</v>
      </c>
      <c r="D458">
        <v>4</v>
      </c>
      <c r="E458" s="5">
        <v>45959.705555555556</v>
      </c>
      <c r="F458" t="s">
        <v>1151</v>
      </c>
      <c r="G458" t="s">
        <v>294</v>
      </c>
      <c r="H458" t="s">
        <v>319</v>
      </c>
      <c r="I458">
        <v>4</v>
      </c>
      <c r="J458">
        <v>74553216</v>
      </c>
      <c r="K458" s="5">
        <v>45959</v>
      </c>
      <c r="L458" s="3">
        <v>12000</v>
      </c>
      <c r="M458" t="s">
        <v>1152</v>
      </c>
      <c r="N458" t="s">
        <v>56</v>
      </c>
      <c r="O458" t="s">
        <v>1153</v>
      </c>
      <c r="P458" s="3">
        <v>9500</v>
      </c>
      <c r="Q458">
        <v>4</v>
      </c>
      <c r="R458" t="s">
        <v>1154</v>
      </c>
      <c r="S458" t="s">
        <v>1138</v>
      </c>
      <c r="T458" t="s">
        <v>1139</v>
      </c>
      <c r="U458" t="s">
        <v>325</v>
      </c>
      <c r="V458" s="3">
        <f>Tabla1[[#This Row],[OS-Valor Unitario]]-Tabla1[[#This Row],[costo_antes_iva]]</f>
        <v>-2500</v>
      </c>
      <c r="W458" s="3">
        <f>Tabla1[[#This Row],[OS-Valor Unitario]]*Tabla1[[#This Row],[OS-Cantidad]]</f>
        <v>38000</v>
      </c>
      <c r="X458" s="3">
        <f>Tabla1[[#This Row],[costo_antes_iva]]*Tabla1[[#This Row],[OS-Cantidad]]</f>
        <v>48000</v>
      </c>
      <c r="Y458" s="3">
        <f>Tabla1[[#This Row],[Valor total OS]]-Tabla1[[#This Row],[valor total op]]</f>
        <v>-10000</v>
      </c>
    </row>
    <row r="459" spans="1:25" x14ac:dyDescent="0.3">
      <c r="A459">
        <v>6380</v>
      </c>
      <c r="B459">
        <v>2</v>
      </c>
      <c r="C459" t="s">
        <v>1155</v>
      </c>
      <c r="D459">
        <v>1</v>
      </c>
      <c r="E459" s="5">
        <v>45959.690972222219</v>
      </c>
      <c r="F459" t="s">
        <v>1156</v>
      </c>
      <c r="G459" t="s">
        <v>648</v>
      </c>
      <c r="H459" t="s">
        <v>182</v>
      </c>
      <c r="I459">
        <v>1</v>
      </c>
      <c r="J459">
        <v>74551515</v>
      </c>
      <c r="K459" s="5">
        <v>45959</v>
      </c>
      <c r="L459" s="3">
        <v>15000</v>
      </c>
      <c r="M459" t="s">
        <v>1157</v>
      </c>
      <c r="N459" t="s">
        <v>56</v>
      </c>
      <c r="O459" t="s">
        <v>1158</v>
      </c>
      <c r="P459" s="3">
        <v>15000</v>
      </c>
      <c r="Q459">
        <v>1</v>
      </c>
      <c r="R459" t="s">
        <v>1159</v>
      </c>
      <c r="S459" t="s">
        <v>1160</v>
      </c>
      <c r="T459" t="s">
        <v>1161</v>
      </c>
      <c r="U459" t="s">
        <v>31</v>
      </c>
      <c r="V459" s="3">
        <f>Tabla1[[#This Row],[OS-Valor Unitario]]-Tabla1[[#This Row],[costo_antes_iva]]</f>
        <v>0</v>
      </c>
      <c r="W459" s="3">
        <f>Tabla1[[#This Row],[OS-Valor Unitario]]*Tabla1[[#This Row],[OS-Cantidad]]</f>
        <v>15000</v>
      </c>
      <c r="X459" s="3">
        <f>Tabla1[[#This Row],[costo_antes_iva]]*Tabla1[[#This Row],[OS-Cantidad]]</f>
        <v>15000</v>
      </c>
      <c r="Y459" s="3">
        <f>Tabla1[[#This Row],[Valor total OS]]-Tabla1[[#This Row],[valor total op]]</f>
        <v>0</v>
      </c>
    </row>
    <row r="460" spans="1:25" x14ac:dyDescent="0.3">
      <c r="A460">
        <v>6379</v>
      </c>
      <c r="B460">
        <v>1</v>
      </c>
      <c r="C460" t="s">
        <v>1162</v>
      </c>
      <c r="D460">
        <v>28</v>
      </c>
      <c r="E460" s="5">
        <v>45958.561805555553</v>
      </c>
      <c r="F460" t="s">
        <v>1163</v>
      </c>
      <c r="G460" t="s">
        <v>128</v>
      </c>
      <c r="H460" t="s">
        <v>1164</v>
      </c>
      <c r="I460">
        <v>34</v>
      </c>
      <c r="J460">
        <v>74473746</v>
      </c>
      <c r="K460" s="5">
        <v>45958</v>
      </c>
      <c r="L460" s="3">
        <v>1400</v>
      </c>
      <c r="M460" t="s">
        <v>1165</v>
      </c>
      <c r="N460" t="s">
        <v>26</v>
      </c>
      <c r="O460" t="s">
        <v>1166</v>
      </c>
      <c r="P460" s="3">
        <v>1400</v>
      </c>
      <c r="Q460">
        <v>28</v>
      </c>
      <c r="R460" t="s">
        <v>1167</v>
      </c>
      <c r="S460" t="s">
        <v>1168</v>
      </c>
      <c r="T460" t="s">
        <v>1169</v>
      </c>
      <c r="U460" t="s">
        <v>31</v>
      </c>
      <c r="V460" s="3">
        <f>Tabla1[[#This Row],[OS-Valor Unitario]]-Tabla1[[#This Row],[costo_antes_iva]]</f>
        <v>0</v>
      </c>
      <c r="W460" s="3">
        <f>Tabla1[[#This Row],[OS-Valor Unitario]]*Tabla1[[#This Row],[OS-Cantidad]]</f>
        <v>39200</v>
      </c>
      <c r="X460" s="3">
        <f>Tabla1[[#This Row],[costo_antes_iva]]*Tabla1[[#This Row],[OS-Cantidad]]</f>
        <v>39200</v>
      </c>
      <c r="Y460" s="3">
        <f>Tabla1[[#This Row],[Valor total OS]]-Tabla1[[#This Row],[valor total op]]</f>
        <v>0</v>
      </c>
    </row>
    <row r="461" spans="1:25" x14ac:dyDescent="0.3">
      <c r="A461">
        <v>6379</v>
      </c>
      <c r="B461">
        <v>1</v>
      </c>
      <c r="C461" t="s">
        <v>1162</v>
      </c>
      <c r="D461">
        <v>28</v>
      </c>
      <c r="E461" s="5">
        <v>45958.561805555553</v>
      </c>
      <c r="F461" t="s">
        <v>1163</v>
      </c>
      <c r="G461" t="s">
        <v>128</v>
      </c>
      <c r="H461" t="s">
        <v>1164</v>
      </c>
      <c r="I461">
        <v>34</v>
      </c>
      <c r="J461">
        <v>74473746</v>
      </c>
      <c r="K461" s="5">
        <v>45958</v>
      </c>
      <c r="L461" s="3">
        <v>12000</v>
      </c>
      <c r="M461" t="s">
        <v>1165</v>
      </c>
      <c r="N461" t="s">
        <v>56</v>
      </c>
      <c r="O461" t="s">
        <v>1166</v>
      </c>
      <c r="P461" s="3">
        <v>12500</v>
      </c>
      <c r="Q461">
        <v>28</v>
      </c>
      <c r="R461" t="s">
        <v>1170</v>
      </c>
      <c r="S461" t="s">
        <v>1168</v>
      </c>
      <c r="T461" t="s">
        <v>1169</v>
      </c>
      <c r="U461" t="s">
        <v>31</v>
      </c>
      <c r="V461" s="3">
        <f>Tabla1[[#This Row],[OS-Valor Unitario]]-Tabla1[[#This Row],[costo_antes_iva]]</f>
        <v>500</v>
      </c>
      <c r="W461" s="3">
        <f>Tabla1[[#This Row],[OS-Valor Unitario]]*Tabla1[[#This Row],[OS-Cantidad]]</f>
        <v>350000</v>
      </c>
      <c r="X461" s="3">
        <f>Tabla1[[#This Row],[costo_antes_iva]]*Tabla1[[#This Row],[OS-Cantidad]]</f>
        <v>336000</v>
      </c>
      <c r="Y461" s="3">
        <f>Tabla1[[#This Row],[Valor total OS]]-Tabla1[[#This Row],[valor total op]]</f>
        <v>14000</v>
      </c>
    </row>
    <row r="462" spans="1:25" x14ac:dyDescent="0.3">
      <c r="A462">
        <v>6379</v>
      </c>
      <c r="B462">
        <v>2</v>
      </c>
      <c r="C462" t="s">
        <v>1171</v>
      </c>
      <c r="D462">
        <v>1</v>
      </c>
      <c r="E462" s="5">
        <v>45958.561805555553</v>
      </c>
      <c r="F462" t="s">
        <v>1172</v>
      </c>
      <c r="G462" t="s">
        <v>264</v>
      </c>
      <c r="H462" t="s">
        <v>1164</v>
      </c>
      <c r="I462">
        <v>2</v>
      </c>
      <c r="J462">
        <v>74473752</v>
      </c>
      <c r="K462" s="5">
        <v>45958</v>
      </c>
      <c r="L462" s="3">
        <v>1400</v>
      </c>
      <c r="M462" t="s">
        <v>1165</v>
      </c>
      <c r="N462" t="s">
        <v>26</v>
      </c>
      <c r="O462" t="s">
        <v>1173</v>
      </c>
      <c r="P462" s="3">
        <v>1400</v>
      </c>
      <c r="Q462">
        <v>1</v>
      </c>
      <c r="R462" t="s">
        <v>1174</v>
      </c>
      <c r="S462" t="s">
        <v>1168</v>
      </c>
      <c r="T462" t="s">
        <v>1169</v>
      </c>
      <c r="U462" t="s">
        <v>31</v>
      </c>
      <c r="V462" s="3">
        <f>Tabla1[[#This Row],[OS-Valor Unitario]]-Tabla1[[#This Row],[costo_antes_iva]]</f>
        <v>0</v>
      </c>
      <c r="W462" s="3">
        <f>Tabla1[[#This Row],[OS-Valor Unitario]]*Tabla1[[#This Row],[OS-Cantidad]]</f>
        <v>1400</v>
      </c>
      <c r="X462" s="3">
        <f>Tabla1[[#This Row],[costo_antes_iva]]*Tabla1[[#This Row],[OS-Cantidad]]</f>
        <v>1400</v>
      </c>
      <c r="Y462" s="3">
        <f>Tabla1[[#This Row],[Valor total OS]]-Tabla1[[#This Row],[valor total op]]</f>
        <v>0</v>
      </c>
    </row>
    <row r="463" spans="1:25" x14ac:dyDescent="0.3">
      <c r="A463">
        <v>6379</v>
      </c>
      <c r="B463">
        <v>2</v>
      </c>
      <c r="C463" t="s">
        <v>1171</v>
      </c>
      <c r="D463">
        <v>1</v>
      </c>
      <c r="E463" s="5">
        <v>45958.561805555553</v>
      </c>
      <c r="F463" t="s">
        <v>1172</v>
      </c>
      <c r="G463" t="s">
        <v>264</v>
      </c>
      <c r="H463" t="s">
        <v>1164</v>
      </c>
      <c r="I463">
        <v>2</v>
      </c>
      <c r="J463">
        <v>74473752</v>
      </c>
      <c r="K463" s="5">
        <v>45958</v>
      </c>
      <c r="L463" s="3">
        <v>12000</v>
      </c>
      <c r="M463" t="s">
        <v>1165</v>
      </c>
      <c r="N463" t="s">
        <v>56</v>
      </c>
      <c r="O463" t="s">
        <v>1173</v>
      </c>
      <c r="P463" s="3">
        <v>11500</v>
      </c>
      <c r="Q463">
        <v>1</v>
      </c>
      <c r="R463" t="s">
        <v>1175</v>
      </c>
      <c r="S463" t="s">
        <v>1168</v>
      </c>
      <c r="T463" t="s">
        <v>1169</v>
      </c>
      <c r="U463" t="s">
        <v>31</v>
      </c>
      <c r="V463" s="3">
        <f>Tabla1[[#This Row],[OS-Valor Unitario]]-Tabla1[[#This Row],[costo_antes_iva]]</f>
        <v>-500</v>
      </c>
      <c r="W463" s="3">
        <f>Tabla1[[#This Row],[OS-Valor Unitario]]*Tabla1[[#This Row],[OS-Cantidad]]</f>
        <v>11500</v>
      </c>
      <c r="X463" s="3">
        <f>Tabla1[[#This Row],[costo_antes_iva]]*Tabla1[[#This Row],[OS-Cantidad]]</f>
        <v>12000</v>
      </c>
      <c r="Y463" s="3">
        <f>Tabla1[[#This Row],[Valor total OS]]-Tabla1[[#This Row],[valor total op]]</f>
        <v>-500</v>
      </c>
    </row>
    <row r="464" spans="1:25" x14ac:dyDescent="0.3">
      <c r="A464">
        <v>6379</v>
      </c>
      <c r="B464">
        <v>3</v>
      </c>
      <c r="C464" t="s">
        <v>1176</v>
      </c>
      <c r="D464">
        <v>6</v>
      </c>
      <c r="E464" s="5">
        <v>45958.561805555553</v>
      </c>
      <c r="F464" t="s">
        <v>1177</v>
      </c>
      <c r="G464" t="s">
        <v>429</v>
      </c>
      <c r="H464" t="s">
        <v>1164</v>
      </c>
      <c r="I464">
        <v>34</v>
      </c>
      <c r="J464">
        <v>74474148</v>
      </c>
      <c r="K464" s="5">
        <v>45958</v>
      </c>
      <c r="L464" s="3">
        <v>1300</v>
      </c>
      <c r="M464" t="s">
        <v>1178</v>
      </c>
      <c r="N464" t="s">
        <v>26</v>
      </c>
      <c r="O464" t="s">
        <v>1179</v>
      </c>
      <c r="P464" s="3">
        <v>1400</v>
      </c>
      <c r="Q464">
        <v>6</v>
      </c>
      <c r="R464" t="s">
        <v>1180</v>
      </c>
      <c r="S464" t="s">
        <v>1168</v>
      </c>
      <c r="T464" t="s">
        <v>1169</v>
      </c>
      <c r="U464" t="s">
        <v>31</v>
      </c>
      <c r="V464" s="3">
        <f>Tabla1[[#This Row],[OS-Valor Unitario]]-Tabla1[[#This Row],[costo_antes_iva]]</f>
        <v>100</v>
      </c>
      <c r="W464" s="3">
        <f>Tabla1[[#This Row],[OS-Valor Unitario]]*Tabla1[[#This Row],[OS-Cantidad]]</f>
        <v>8400</v>
      </c>
      <c r="X464" s="3">
        <f>Tabla1[[#This Row],[costo_antes_iva]]*Tabla1[[#This Row],[OS-Cantidad]]</f>
        <v>7800</v>
      </c>
      <c r="Y464" s="3">
        <f>Tabla1[[#This Row],[Valor total OS]]-Tabla1[[#This Row],[valor total op]]</f>
        <v>600</v>
      </c>
    </row>
    <row r="465" spans="1:25" x14ac:dyDescent="0.3">
      <c r="A465">
        <v>6379</v>
      </c>
      <c r="B465">
        <v>3</v>
      </c>
      <c r="C465" t="s">
        <v>1176</v>
      </c>
      <c r="D465">
        <v>6</v>
      </c>
      <c r="E465" s="5">
        <v>45958.561805555553</v>
      </c>
      <c r="F465" t="s">
        <v>1177</v>
      </c>
      <c r="G465" t="s">
        <v>429</v>
      </c>
      <c r="H465" t="s">
        <v>1164</v>
      </c>
      <c r="I465">
        <v>34</v>
      </c>
      <c r="J465">
        <v>74474148</v>
      </c>
      <c r="K465" s="5">
        <v>45958</v>
      </c>
      <c r="L465" s="3">
        <v>12000</v>
      </c>
      <c r="M465" t="s">
        <v>1178</v>
      </c>
      <c r="N465" t="s">
        <v>56</v>
      </c>
      <c r="O465" t="s">
        <v>1179</v>
      </c>
      <c r="P465" s="3">
        <v>12500</v>
      </c>
      <c r="Q465">
        <v>6</v>
      </c>
      <c r="R465" t="s">
        <v>1181</v>
      </c>
      <c r="S465" t="s">
        <v>1168</v>
      </c>
      <c r="T465" t="s">
        <v>1169</v>
      </c>
      <c r="U465" t="s">
        <v>31</v>
      </c>
      <c r="V465" s="3">
        <f>Tabla1[[#This Row],[OS-Valor Unitario]]-Tabla1[[#This Row],[costo_antes_iva]]</f>
        <v>500</v>
      </c>
      <c r="W465" s="3">
        <f>Tabla1[[#This Row],[OS-Valor Unitario]]*Tabla1[[#This Row],[OS-Cantidad]]</f>
        <v>75000</v>
      </c>
      <c r="X465" s="3">
        <f>Tabla1[[#This Row],[costo_antes_iva]]*Tabla1[[#This Row],[OS-Cantidad]]</f>
        <v>72000</v>
      </c>
      <c r="Y465" s="3">
        <f>Tabla1[[#This Row],[Valor total OS]]-Tabla1[[#This Row],[valor total op]]</f>
        <v>3000</v>
      </c>
    </row>
    <row r="466" spans="1:25" x14ac:dyDescent="0.3">
      <c r="A466">
        <v>6379</v>
      </c>
      <c r="B466">
        <v>3</v>
      </c>
      <c r="C466" t="s">
        <v>1176</v>
      </c>
      <c r="D466">
        <v>6</v>
      </c>
      <c r="E466" s="5">
        <v>45958.561805555553</v>
      </c>
      <c r="F466" t="s">
        <v>1177</v>
      </c>
      <c r="G466" t="s">
        <v>87</v>
      </c>
      <c r="H466" t="s">
        <v>1164</v>
      </c>
      <c r="I466">
        <v>44</v>
      </c>
      <c r="J466">
        <v>74473763</v>
      </c>
      <c r="K466" s="5">
        <v>45958</v>
      </c>
      <c r="L466" s="3">
        <v>1400</v>
      </c>
      <c r="M466" t="s">
        <v>1165</v>
      </c>
      <c r="N466" t="s">
        <v>26</v>
      </c>
      <c r="O466" t="s">
        <v>1179</v>
      </c>
      <c r="P466" s="3">
        <v>1400</v>
      </c>
      <c r="Q466">
        <v>6</v>
      </c>
      <c r="R466" t="s">
        <v>1180</v>
      </c>
      <c r="S466" t="s">
        <v>1168</v>
      </c>
      <c r="T466" t="s">
        <v>1169</v>
      </c>
      <c r="U466" t="s">
        <v>31</v>
      </c>
      <c r="V466" s="3">
        <f>Tabla1[[#This Row],[OS-Valor Unitario]]-Tabla1[[#This Row],[costo_antes_iva]]</f>
        <v>0</v>
      </c>
      <c r="W466" s="3">
        <f>Tabla1[[#This Row],[OS-Valor Unitario]]*Tabla1[[#This Row],[OS-Cantidad]]</f>
        <v>8400</v>
      </c>
      <c r="X466" s="3">
        <f>Tabla1[[#This Row],[costo_antes_iva]]*Tabla1[[#This Row],[OS-Cantidad]]</f>
        <v>8400</v>
      </c>
      <c r="Y466" s="3">
        <f>Tabla1[[#This Row],[Valor total OS]]-Tabla1[[#This Row],[valor total op]]</f>
        <v>0</v>
      </c>
    </row>
    <row r="467" spans="1:25" x14ac:dyDescent="0.3">
      <c r="A467">
        <v>6379</v>
      </c>
      <c r="B467">
        <v>3</v>
      </c>
      <c r="C467" t="s">
        <v>1176</v>
      </c>
      <c r="D467">
        <v>6</v>
      </c>
      <c r="E467" s="5">
        <v>45958.561805555553</v>
      </c>
      <c r="F467" t="s">
        <v>1177</v>
      </c>
      <c r="G467" t="s">
        <v>87</v>
      </c>
      <c r="H467" t="s">
        <v>1164</v>
      </c>
      <c r="I467">
        <v>44</v>
      </c>
      <c r="J467">
        <v>74473763</v>
      </c>
      <c r="K467" s="5">
        <v>45958</v>
      </c>
      <c r="L467" s="3">
        <v>4500</v>
      </c>
      <c r="M467" t="s">
        <v>1165</v>
      </c>
      <c r="N467" t="s">
        <v>56</v>
      </c>
      <c r="O467" t="s">
        <v>1179</v>
      </c>
      <c r="P467" s="3">
        <v>12500</v>
      </c>
      <c r="Q467">
        <v>6</v>
      </c>
      <c r="R467" t="s">
        <v>1181</v>
      </c>
      <c r="S467" t="s">
        <v>1168</v>
      </c>
      <c r="T467" t="s">
        <v>1169</v>
      </c>
      <c r="U467" t="s">
        <v>31</v>
      </c>
      <c r="V467" s="3">
        <f>Tabla1[[#This Row],[OS-Valor Unitario]]-Tabla1[[#This Row],[costo_antes_iva]]</f>
        <v>8000</v>
      </c>
      <c r="W467" s="3">
        <f>Tabla1[[#This Row],[OS-Valor Unitario]]*Tabla1[[#This Row],[OS-Cantidad]]</f>
        <v>75000</v>
      </c>
      <c r="X467" s="3">
        <f>Tabla1[[#This Row],[costo_antes_iva]]*Tabla1[[#This Row],[OS-Cantidad]]</f>
        <v>27000</v>
      </c>
      <c r="Y467" s="3">
        <f>Tabla1[[#This Row],[Valor total OS]]-Tabla1[[#This Row],[valor total op]]</f>
        <v>48000</v>
      </c>
    </row>
    <row r="468" spans="1:25" x14ac:dyDescent="0.3">
      <c r="A468">
        <v>6379</v>
      </c>
      <c r="B468">
        <v>4</v>
      </c>
      <c r="C468" t="s">
        <v>1182</v>
      </c>
      <c r="D468">
        <v>1</v>
      </c>
      <c r="E468" s="5">
        <v>45958.561805555553</v>
      </c>
      <c r="F468" t="s">
        <v>1183</v>
      </c>
      <c r="G468" t="s">
        <v>487</v>
      </c>
      <c r="H468" t="s">
        <v>1164</v>
      </c>
      <c r="I468">
        <v>2</v>
      </c>
      <c r="J468">
        <v>74474154</v>
      </c>
      <c r="K468" s="5">
        <v>45958</v>
      </c>
      <c r="L468" s="3">
        <v>1300</v>
      </c>
      <c r="M468" t="s">
        <v>1184</v>
      </c>
      <c r="N468" t="s">
        <v>26</v>
      </c>
      <c r="O468" t="s">
        <v>1185</v>
      </c>
      <c r="P468" s="3">
        <v>1400</v>
      </c>
      <c r="Q468">
        <v>1</v>
      </c>
      <c r="R468" t="s">
        <v>1186</v>
      </c>
      <c r="S468" t="s">
        <v>1168</v>
      </c>
      <c r="T468" t="s">
        <v>1169</v>
      </c>
      <c r="U468" t="s">
        <v>31</v>
      </c>
      <c r="V468" s="3">
        <f>Tabla1[[#This Row],[OS-Valor Unitario]]-Tabla1[[#This Row],[costo_antes_iva]]</f>
        <v>100</v>
      </c>
      <c r="W468" s="3">
        <f>Tabla1[[#This Row],[OS-Valor Unitario]]*Tabla1[[#This Row],[OS-Cantidad]]</f>
        <v>1400</v>
      </c>
      <c r="X468" s="3">
        <f>Tabla1[[#This Row],[costo_antes_iva]]*Tabla1[[#This Row],[OS-Cantidad]]</f>
        <v>1300</v>
      </c>
      <c r="Y468" s="3">
        <f>Tabla1[[#This Row],[Valor total OS]]-Tabla1[[#This Row],[valor total op]]</f>
        <v>100</v>
      </c>
    </row>
    <row r="469" spans="1:25" x14ac:dyDescent="0.3">
      <c r="A469">
        <v>6379</v>
      </c>
      <c r="B469">
        <v>4</v>
      </c>
      <c r="C469" t="s">
        <v>1182</v>
      </c>
      <c r="D469">
        <v>1</v>
      </c>
      <c r="E469" s="5">
        <v>45958.561805555553</v>
      </c>
      <c r="F469" t="s">
        <v>1183</v>
      </c>
      <c r="G469" t="s">
        <v>487</v>
      </c>
      <c r="H469" t="s">
        <v>1164</v>
      </c>
      <c r="I469">
        <v>2</v>
      </c>
      <c r="J469">
        <v>74474154</v>
      </c>
      <c r="K469" s="5">
        <v>45958</v>
      </c>
      <c r="L469" s="3">
        <v>12000</v>
      </c>
      <c r="M469" t="s">
        <v>1184</v>
      </c>
      <c r="N469" t="s">
        <v>56</v>
      </c>
      <c r="O469" t="s">
        <v>1185</v>
      </c>
      <c r="P469" s="3">
        <v>11500</v>
      </c>
      <c r="Q469">
        <v>1</v>
      </c>
      <c r="R469" t="s">
        <v>1187</v>
      </c>
      <c r="S469" t="s">
        <v>1168</v>
      </c>
      <c r="T469" t="s">
        <v>1169</v>
      </c>
      <c r="U469" t="s">
        <v>31</v>
      </c>
      <c r="V469" s="3">
        <f>Tabla1[[#This Row],[OS-Valor Unitario]]-Tabla1[[#This Row],[costo_antes_iva]]</f>
        <v>-500</v>
      </c>
      <c r="W469" s="3">
        <f>Tabla1[[#This Row],[OS-Valor Unitario]]*Tabla1[[#This Row],[OS-Cantidad]]</f>
        <v>11500</v>
      </c>
      <c r="X469" s="3">
        <f>Tabla1[[#This Row],[costo_antes_iva]]*Tabla1[[#This Row],[OS-Cantidad]]</f>
        <v>12000</v>
      </c>
      <c r="Y469" s="3">
        <f>Tabla1[[#This Row],[Valor total OS]]-Tabla1[[#This Row],[valor total op]]</f>
        <v>-500</v>
      </c>
    </row>
    <row r="470" spans="1:25" x14ac:dyDescent="0.3">
      <c r="A470">
        <v>6379</v>
      </c>
      <c r="B470">
        <v>5</v>
      </c>
      <c r="C470" t="s">
        <v>1188</v>
      </c>
      <c r="D470">
        <v>44</v>
      </c>
      <c r="E470" s="5">
        <v>45958.561805555553</v>
      </c>
      <c r="F470" t="s">
        <v>1177</v>
      </c>
      <c r="G470" t="s">
        <v>429</v>
      </c>
      <c r="H470" t="s">
        <v>1164</v>
      </c>
      <c r="I470">
        <v>34</v>
      </c>
      <c r="J470">
        <v>74474148</v>
      </c>
      <c r="K470" s="5">
        <v>45958</v>
      </c>
      <c r="L470" s="3">
        <v>1300</v>
      </c>
      <c r="M470" t="s">
        <v>1178</v>
      </c>
      <c r="N470" t="s">
        <v>26</v>
      </c>
      <c r="O470" t="s">
        <v>1189</v>
      </c>
      <c r="P470" s="3">
        <v>1400</v>
      </c>
      <c r="Q470">
        <v>44</v>
      </c>
      <c r="R470" t="s">
        <v>1190</v>
      </c>
      <c r="S470" t="s">
        <v>1168</v>
      </c>
      <c r="T470" t="s">
        <v>1169</v>
      </c>
      <c r="U470" t="s">
        <v>31</v>
      </c>
      <c r="V470" s="3">
        <f>Tabla1[[#This Row],[OS-Valor Unitario]]-Tabla1[[#This Row],[costo_antes_iva]]</f>
        <v>100</v>
      </c>
      <c r="W470" s="3">
        <f>Tabla1[[#This Row],[OS-Valor Unitario]]*Tabla1[[#This Row],[OS-Cantidad]]</f>
        <v>61600</v>
      </c>
      <c r="X470" s="3">
        <f>Tabla1[[#This Row],[costo_antes_iva]]*Tabla1[[#This Row],[OS-Cantidad]]</f>
        <v>57200</v>
      </c>
      <c r="Y470" s="3">
        <f>Tabla1[[#This Row],[Valor total OS]]-Tabla1[[#This Row],[valor total op]]</f>
        <v>4400</v>
      </c>
    </row>
    <row r="471" spans="1:25" x14ac:dyDescent="0.3">
      <c r="A471">
        <v>6379</v>
      </c>
      <c r="B471">
        <v>5</v>
      </c>
      <c r="C471" t="s">
        <v>1188</v>
      </c>
      <c r="D471">
        <v>44</v>
      </c>
      <c r="E471" s="5">
        <v>45958.561805555553</v>
      </c>
      <c r="F471" t="s">
        <v>1177</v>
      </c>
      <c r="G471" t="s">
        <v>429</v>
      </c>
      <c r="H471" t="s">
        <v>1164</v>
      </c>
      <c r="I471">
        <v>34</v>
      </c>
      <c r="J471">
        <v>74474148</v>
      </c>
      <c r="K471" s="5">
        <v>45958</v>
      </c>
      <c r="L471" s="3">
        <v>12000</v>
      </c>
      <c r="M471" t="s">
        <v>1178</v>
      </c>
      <c r="N471" t="s">
        <v>56</v>
      </c>
      <c r="O471" t="s">
        <v>1189</v>
      </c>
      <c r="P471" s="3">
        <v>5000</v>
      </c>
      <c r="Q471">
        <v>44</v>
      </c>
      <c r="R471" t="s">
        <v>1191</v>
      </c>
      <c r="S471" t="s">
        <v>1168</v>
      </c>
      <c r="T471" t="s">
        <v>1169</v>
      </c>
      <c r="U471" t="s">
        <v>31</v>
      </c>
      <c r="V471" s="3">
        <f>Tabla1[[#This Row],[OS-Valor Unitario]]-Tabla1[[#This Row],[costo_antes_iva]]</f>
        <v>-7000</v>
      </c>
      <c r="W471" s="3">
        <f>Tabla1[[#This Row],[OS-Valor Unitario]]*Tabla1[[#This Row],[OS-Cantidad]]</f>
        <v>220000</v>
      </c>
      <c r="X471" s="3">
        <f>Tabla1[[#This Row],[costo_antes_iva]]*Tabla1[[#This Row],[OS-Cantidad]]</f>
        <v>528000</v>
      </c>
      <c r="Y471" s="3">
        <f>Tabla1[[#This Row],[Valor total OS]]-Tabla1[[#This Row],[valor total op]]</f>
        <v>-308000</v>
      </c>
    </row>
    <row r="472" spans="1:25" x14ac:dyDescent="0.3">
      <c r="A472">
        <v>6379</v>
      </c>
      <c r="B472">
        <v>5</v>
      </c>
      <c r="C472" t="s">
        <v>1188</v>
      </c>
      <c r="D472">
        <v>44</v>
      </c>
      <c r="E472" s="5">
        <v>45958.561805555553</v>
      </c>
      <c r="F472" t="s">
        <v>1177</v>
      </c>
      <c r="G472" t="s">
        <v>87</v>
      </c>
      <c r="H472" t="s">
        <v>1164</v>
      </c>
      <c r="I472">
        <v>44</v>
      </c>
      <c r="J472">
        <v>74473763</v>
      </c>
      <c r="K472" s="5">
        <v>45958</v>
      </c>
      <c r="L472" s="3">
        <v>1400</v>
      </c>
      <c r="M472" t="s">
        <v>1165</v>
      </c>
      <c r="N472" t="s">
        <v>26</v>
      </c>
      <c r="O472" t="s">
        <v>1189</v>
      </c>
      <c r="P472" s="3">
        <v>1400</v>
      </c>
      <c r="Q472">
        <v>44</v>
      </c>
      <c r="R472" t="s">
        <v>1190</v>
      </c>
      <c r="S472" t="s">
        <v>1168</v>
      </c>
      <c r="T472" t="s">
        <v>1169</v>
      </c>
      <c r="U472" t="s">
        <v>31</v>
      </c>
      <c r="V472" s="3">
        <f>Tabla1[[#This Row],[OS-Valor Unitario]]-Tabla1[[#This Row],[costo_antes_iva]]</f>
        <v>0</v>
      </c>
      <c r="W472" s="3">
        <f>Tabla1[[#This Row],[OS-Valor Unitario]]*Tabla1[[#This Row],[OS-Cantidad]]</f>
        <v>61600</v>
      </c>
      <c r="X472" s="3">
        <f>Tabla1[[#This Row],[costo_antes_iva]]*Tabla1[[#This Row],[OS-Cantidad]]</f>
        <v>61600</v>
      </c>
      <c r="Y472" s="3">
        <f>Tabla1[[#This Row],[Valor total OS]]-Tabla1[[#This Row],[valor total op]]</f>
        <v>0</v>
      </c>
    </row>
    <row r="473" spans="1:25" x14ac:dyDescent="0.3">
      <c r="A473">
        <v>6379</v>
      </c>
      <c r="B473">
        <v>5</v>
      </c>
      <c r="C473" t="s">
        <v>1188</v>
      </c>
      <c r="D473">
        <v>44</v>
      </c>
      <c r="E473" s="5">
        <v>45958.561805555553</v>
      </c>
      <c r="F473" t="s">
        <v>1177</v>
      </c>
      <c r="G473" t="s">
        <v>87</v>
      </c>
      <c r="H473" t="s">
        <v>1164</v>
      </c>
      <c r="I473">
        <v>44</v>
      </c>
      <c r="J473">
        <v>74473763</v>
      </c>
      <c r="K473" s="5">
        <v>45958</v>
      </c>
      <c r="L473" s="3">
        <v>4500</v>
      </c>
      <c r="M473" t="s">
        <v>1165</v>
      </c>
      <c r="N473" t="s">
        <v>56</v>
      </c>
      <c r="O473" t="s">
        <v>1189</v>
      </c>
      <c r="P473" s="3">
        <v>5000</v>
      </c>
      <c r="Q473">
        <v>44</v>
      </c>
      <c r="R473" t="s">
        <v>1191</v>
      </c>
      <c r="S473" t="s">
        <v>1168</v>
      </c>
      <c r="T473" t="s">
        <v>1169</v>
      </c>
      <c r="U473" t="s">
        <v>31</v>
      </c>
      <c r="V473" s="3">
        <f>Tabla1[[#This Row],[OS-Valor Unitario]]-Tabla1[[#This Row],[costo_antes_iva]]</f>
        <v>500</v>
      </c>
      <c r="W473" s="3">
        <f>Tabla1[[#This Row],[OS-Valor Unitario]]*Tabla1[[#This Row],[OS-Cantidad]]</f>
        <v>220000</v>
      </c>
      <c r="X473" s="3">
        <f>Tabla1[[#This Row],[costo_antes_iva]]*Tabla1[[#This Row],[OS-Cantidad]]</f>
        <v>198000</v>
      </c>
      <c r="Y473" s="3">
        <f>Tabla1[[#This Row],[Valor total OS]]-Tabla1[[#This Row],[valor total op]]</f>
        <v>22000</v>
      </c>
    </row>
    <row r="474" spans="1:25" x14ac:dyDescent="0.3">
      <c r="A474">
        <v>6379</v>
      </c>
      <c r="B474">
        <v>6</v>
      </c>
      <c r="C474" t="s">
        <v>1192</v>
      </c>
      <c r="D474">
        <v>2</v>
      </c>
      <c r="E474" s="5">
        <v>45958.561805555553</v>
      </c>
      <c r="F474" t="s">
        <v>1193</v>
      </c>
      <c r="G474" t="s">
        <v>87</v>
      </c>
      <c r="H474" t="s">
        <v>1164</v>
      </c>
      <c r="I474">
        <v>2</v>
      </c>
      <c r="J474">
        <v>74473757</v>
      </c>
      <c r="K474" s="5">
        <v>45958</v>
      </c>
      <c r="L474" s="3">
        <v>1400</v>
      </c>
      <c r="M474" t="s">
        <v>1165</v>
      </c>
      <c r="N474" t="s">
        <v>26</v>
      </c>
      <c r="O474" t="s">
        <v>1194</v>
      </c>
      <c r="P474" s="3">
        <v>1400</v>
      </c>
      <c r="Q474">
        <v>2</v>
      </c>
      <c r="R474" t="s">
        <v>1195</v>
      </c>
      <c r="S474" t="s">
        <v>1168</v>
      </c>
      <c r="T474" t="s">
        <v>1169</v>
      </c>
      <c r="U474" t="s">
        <v>31</v>
      </c>
      <c r="V474" s="3">
        <f>Tabla1[[#This Row],[OS-Valor Unitario]]-Tabla1[[#This Row],[costo_antes_iva]]</f>
        <v>0</v>
      </c>
      <c r="W474" s="3">
        <f>Tabla1[[#This Row],[OS-Valor Unitario]]*Tabla1[[#This Row],[OS-Cantidad]]</f>
        <v>2800</v>
      </c>
      <c r="X474" s="3">
        <f>Tabla1[[#This Row],[costo_antes_iva]]*Tabla1[[#This Row],[OS-Cantidad]]</f>
        <v>2800</v>
      </c>
      <c r="Y474" s="3">
        <f>Tabla1[[#This Row],[Valor total OS]]-Tabla1[[#This Row],[valor total op]]</f>
        <v>0</v>
      </c>
    </row>
    <row r="475" spans="1:25" x14ac:dyDescent="0.3">
      <c r="A475">
        <v>6379</v>
      </c>
      <c r="B475">
        <v>6</v>
      </c>
      <c r="C475" t="s">
        <v>1192</v>
      </c>
      <c r="D475">
        <v>2</v>
      </c>
      <c r="E475" s="5">
        <v>45958.561805555553</v>
      </c>
      <c r="F475" t="s">
        <v>1193</v>
      </c>
      <c r="G475" t="s">
        <v>87</v>
      </c>
      <c r="H475" t="s">
        <v>1164</v>
      </c>
      <c r="I475">
        <v>2</v>
      </c>
      <c r="J475">
        <v>74473757</v>
      </c>
      <c r="K475" s="5">
        <v>45958</v>
      </c>
      <c r="L475" s="3">
        <v>4500</v>
      </c>
      <c r="M475" t="s">
        <v>1165</v>
      </c>
      <c r="N475" t="s">
        <v>56</v>
      </c>
      <c r="O475" t="s">
        <v>1194</v>
      </c>
      <c r="P475" s="3">
        <v>5000</v>
      </c>
      <c r="Q475">
        <v>2</v>
      </c>
      <c r="R475" t="s">
        <v>1196</v>
      </c>
      <c r="S475" t="s">
        <v>1168</v>
      </c>
      <c r="T475" t="s">
        <v>1169</v>
      </c>
      <c r="U475" t="s">
        <v>31</v>
      </c>
      <c r="V475" s="3">
        <f>Tabla1[[#This Row],[OS-Valor Unitario]]-Tabla1[[#This Row],[costo_antes_iva]]</f>
        <v>500</v>
      </c>
      <c r="W475" s="3">
        <f>Tabla1[[#This Row],[OS-Valor Unitario]]*Tabla1[[#This Row],[OS-Cantidad]]</f>
        <v>10000</v>
      </c>
      <c r="X475" s="3">
        <f>Tabla1[[#This Row],[costo_antes_iva]]*Tabla1[[#This Row],[OS-Cantidad]]</f>
        <v>9000</v>
      </c>
      <c r="Y475" s="3">
        <f>Tabla1[[#This Row],[Valor total OS]]-Tabla1[[#This Row],[valor total op]]</f>
        <v>1000</v>
      </c>
    </row>
    <row r="476" spans="1:25" x14ac:dyDescent="0.3">
      <c r="A476">
        <v>6379</v>
      </c>
      <c r="B476">
        <v>7</v>
      </c>
      <c r="C476" t="s">
        <v>1197</v>
      </c>
      <c r="D476">
        <v>4</v>
      </c>
      <c r="E476" s="5">
        <v>45958.561805555553</v>
      </c>
      <c r="F476" t="s">
        <v>1198</v>
      </c>
      <c r="G476" t="s">
        <v>138</v>
      </c>
      <c r="H476" t="s">
        <v>1164</v>
      </c>
      <c r="I476">
        <v>2</v>
      </c>
      <c r="J476">
        <v>74473740</v>
      </c>
      <c r="K476" s="5">
        <v>45958</v>
      </c>
      <c r="L476" s="3">
        <v>11000</v>
      </c>
      <c r="M476" t="s">
        <v>1165</v>
      </c>
      <c r="N476" t="s">
        <v>56</v>
      </c>
      <c r="O476" t="s">
        <v>1199</v>
      </c>
      <c r="P476" s="3">
        <v>11700</v>
      </c>
      <c r="Q476">
        <v>4</v>
      </c>
      <c r="R476" t="s">
        <v>1200</v>
      </c>
      <c r="S476" t="s">
        <v>1168</v>
      </c>
      <c r="T476" t="s">
        <v>1169</v>
      </c>
      <c r="U476" t="s">
        <v>31</v>
      </c>
      <c r="V476" s="3">
        <f>Tabla1[[#This Row],[OS-Valor Unitario]]-Tabla1[[#This Row],[costo_antes_iva]]</f>
        <v>700</v>
      </c>
      <c r="W476" s="3">
        <f>Tabla1[[#This Row],[OS-Valor Unitario]]*Tabla1[[#This Row],[OS-Cantidad]]</f>
        <v>46800</v>
      </c>
      <c r="X476" s="3">
        <f>Tabla1[[#This Row],[costo_antes_iva]]*Tabla1[[#This Row],[OS-Cantidad]]</f>
        <v>44000</v>
      </c>
      <c r="Y476" s="3">
        <f>Tabla1[[#This Row],[Valor total OS]]-Tabla1[[#This Row],[valor total op]]</f>
        <v>2800</v>
      </c>
    </row>
    <row r="477" spans="1:25" x14ac:dyDescent="0.3">
      <c r="A477">
        <v>6379</v>
      </c>
      <c r="B477">
        <v>8</v>
      </c>
      <c r="C477" t="s">
        <v>1201</v>
      </c>
      <c r="D477">
        <v>86</v>
      </c>
      <c r="E477" s="5">
        <v>45958.561805555553</v>
      </c>
      <c r="F477" t="s">
        <v>1202</v>
      </c>
      <c r="G477" t="s">
        <v>684</v>
      </c>
      <c r="H477" t="s">
        <v>1164</v>
      </c>
      <c r="I477">
        <v>88</v>
      </c>
      <c r="J477">
        <v>74473725</v>
      </c>
      <c r="K477" s="5">
        <v>45958</v>
      </c>
      <c r="L477" s="3">
        <v>11000</v>
      </c>
      <c r="M477" t="s">
        <v>1165</v>
      </c>
      <c r="N477" t="s">
        <v>56</v>
      </c>
      <c r="O477" t="s">
        <v>1203</v>
      </c>
      <c r="P477" s="3">
        <v>11700</v>
      </c>
      <c r="Q477">
        <v>86</v>
      </c>
      <c r="R477" t="s">
        <v>1204</v>
      </c>
      <c r="S477" t="s">
        <v>1168</v>
      </c>
      <c r="T477" t="s">
        <v>1169</v>
      </c>
      <c r="U477" t="s">
        <v>31</v>
      </c>
      <c r="V477" s="3">
        <f>Tabla1[[#This Row],[OS-Valor Unitario]]-Tabla1[[#This Row],[costo_antes_iva]]</f>
        <v>700</v>
      </c>
      <c r="W477" s="3">
        <f>Tabla1[[#This Row],[OS-Valor Unitario]]*Tabla1[[#This Row],[OS-Cantidad]]</f>
        <v>1006200</v>
      </c>
      <c r="X477" s="3">
        <f>Tabla1[[#This Row],[costo_antes_iva]]*Tabla1[[#This Row],[OS-Cantidad]]</f>
        <v>946000</v>
      </c>
      <c r="Y477" s="3">
        <f>Tabla1[[#This Row],[Valor total OS]]-Tabla1[[#This Row],[valor total op]]</f>
        <v>60200</v>
      </c>
    </row>
    <row r="478" spans="1:25" x14ac:dyDescent="0.3">
      <c r="A478">
        <v>6379</v>
      </c>
      <c r="B478">
        <v>9</v>
      </c>
      <c r="C478" t="s">
        <v>1205</v>
      </c>
      <c r="D478">
        <v>29</v>
      </c>
      <c r="E478" s="5">
        <v>45958.561805555553</v>
      </c>
      <c r="F478" t="s">
        <v>1206</v>
      </c>
      <c r="G478" t="s">
        <v>1036</v>
      </c>
      <c r="H478" t="s">
        <v>1164</v>
      </c>
      <c r="I478">
        <v>29</v>
      </c>
      <c r="J478">
        <v>74473717</v>
      </c>
      <c r="K478" s="5">
        <v>45958</v>
      </c>
      <c r="L478" s="3">
        <v>16000</v>
      </c>
      <c r="M478" t="s">
        <v>1165</v>
      </c>
      <c r="N478" t="s">
        <v>56</v>
      </c>
      <c r="O478" t="s">
        <v>1207</v>
      </c>
      <c r="P478" s="3">
        <v>15000</v>
      </c>
      <c r="Q478">
        <v>29</v>
      </c>
      <c r="R478" t="s">
        <v>1208</v>
      </c>
      <c r="S478" t="s">
        <v>1168</v>
      </c>
      <c r="T478" t="s">
        <v>1169</v>
      </c>
      <c r="U478" t="s">
        <v>31</v>
      </c>
      <c r="V478" s="3">
        <f>Tabla1[[#This Row],[OS-Valor Unitario]]-Tabla1[[#This Row],[costo_antes_iva]]</f>
        <v>-1000</v>
      </c>
      <c r="W478" s="3">
        <f>Tabla1[[#This Row],[OS-Valor Unitario]]*Tabla1[[#This Row],[OS-Cantidad]]</f>
        <v>435000</v>
      </c>
      <c r="X478" s="3">
        <f>Tabla1[[#This Row],[costo_antes_iva]]*Tabla1[[#This Row],[OS-Cantidad]]</f>
        <v>464000</v>
      </c>
      <c r="Y478" s="3">
        <f>Tabla1[[#This Row],[Valor total OS]]-Tabla1[[#This Row],[valor total op]]</f>
        <v>-29000</v>
      </c>
    </row>
    <row r="479" spans="1:25" x14ac:dyDescent="0.3">
      <c r="A479">
        <v>6378</v>
      </c>
      <c r="B479">
        <v>1</v>
      </c>
      <c r="C479" t="s">
        <v>1209</v>
      </c>
      <c r="D479">
        <v>4</v>
      </c>
      <c r="E479" s="5">
        <v>45958.464583333334</v>
      </c>
      <c r="F479" t="s">
        <v>1210</v>
      </c>
      <c r="G479" t="s">
        <v>1211</v>
      </c>
      <c r="H479" t="s">
        <v>182</v>
      </c>
      <c r="I479">
        <v>1</v>
      </c>
      <c r="J479">
        <v>74463474</v>
      </c>
      <c r="K479" s="5">
        <v>45958</v>
      </c>
      <c r="L479" s="3">
        <v>9500</v>
      </c>
      <c r="M479" t="s">
        <v>1212</v>
      </c>
      <c r="N479" t="s">
        <v>56</v>
      </c>
      <c r="O479" t="s">
        <v>1213</v>
      </c>
      <c r="P479" s="3">
        <v>25000</v>
      </c>
      <c r="Q479">
        <v>4</v>
      </c>
      <c r="R479" t="s">
        <v>1214</v>
      </c>
      <c r="S479" t="s">
        <v>1215</v>
      </c>
      <c r="T479" t="s">
        <v>1216</v>
      </c>
      <c r="U479" t="s">
        <v>31</v>
      </c>
      <c r="V479" s="3">
        <f>Tabla1[[#This Row],[OS-Valor Unitario]]-Tabla1[[#This Row],[costo_antes_iva]]</f>
        <v>15500</v>
      </c>
      <c r="W479" s="3">
        <f>Tabla1[[#This Row],[OS-Valor Unitario]]*Tabla1[[#This Row],[OS-Cantidad]]</f>
        <v>100000</v>
      </c>
      <c r="X479" s="3">
        <f>Tabla1[[#This Row],[costo_antes_iva]]*Tabla1[[#This Row],[OS-Cantidad]]</f>
        <v>38000</v>
      </c>
      <c r="Y479" s="3">
        <f>Tabla1[[#This Row],[Valor total OS]]-Tabla1[[#This Row],[valor total op]]</f>
        <v>62000</v>
      </c>
    </row>
    <row r="480" spans="1:25" x14ac:dyDescent="0.3">
      <c r="A480">
        <v>6378</v>
      </c>
      <c r="B480">
        <v>1</v>
      </c>
      <c r="C480" t="s">
        <v>1209</v>
      </c>
      <c r="D480">
        <v>4</v>
      </c>
      <c r="E480" s="5">
        <v>45958.464583333334</v>
      </c>
      <c r="F480" t="s">
        <v>1210</v>
      </c>
      <c r="G480" t="s">
        <v>1211</v>
      </c>
      <c r="H480" t="s">
        <v>182</v>
      </c>
      <c r="I480">
        <v>1</v>
      </c>
      <c r="J480">
        <v>74463474</v>
      </c>
      <c r="K480" s="5">
        <v>45958</v>
      </c>
      <c r="L480" s="3">
        <v>12500</v>
      </c>
      <c r="M480" t="s">
        <v>1212</v>
      </c>
      <c r="N480" t="s">
        <v>26</v>
      </c>
      <c r="O480" t="s">
        <v>1213</v>
      </c>
      <c r="P480" s="3">
        <v>11700</v>
      </c>
      <c r="Q480">
        <v>4</v>
      </c>
      <c r="R480" t="s">
        <v>1217</v>
      </c>
      <c r="S480" t="s">
        <v>1215</v>
      </c>
      <c r="T480" t="s">
        <v>1216</v>
      </c>
      <c r="U480" t="s">
        <v>31</v>
      </c>
      <c r="V480" s="3">
        <f>Tabla1[[#This Row],[OS-Valor Unitario]]-Tabla1[[#This Row],[costo_antes_iva]]</f>
        <v>-800</v>
      </c>
      <c r="W480" s="3">
        <f>Tabla1[[#This Row],[OS-Valor Unitario]]*Tabla1[[#This Row],[OS-Cantidad]]</f>
        <v>46800</v>
      </c>
      <c r="X480" s="3">
        <f>Tabla1[[#This Row],[costo_antes_iva]]*Tabla1[[#This Row],[OS-Cantidad]]</f>
        <v>50000</v>
      </c>
      <c r="Y480" s="3">
        <f>Tabla1[[#This Row],[Valor total OS]]-Tabla1[[#This Row],[valor total op]]</f>
        <v>-3200</v>
      </c>
    </row>
    <row r="481" spans="1:25" x14ac:dyDescent="0.3">
      <c r="A481">
        <v>6378</v>
      </c>
      <c r="B481">
        <v>1</v>
      </c>
      <c r="C481" t="s">
        <v>1209</v>
      </c>
      <c r="D481">
        <v>4</v>
      </c>
      <c r="E481" s="5">
        <v>45958.464583333334</v>
      </c>
      <c r="F481" t="s">
        <v>1210</v>
      </c>
      <c r="G481" t="s">
        <v>1211</v>
      </c>
      <c r="H481" t="s">
        <v>182</v>
      </c>
      <c r="I481">
        <v>1</v>
      </c>
      <c r="J481">
        <v>74463501</v>
      </c>
      <c r="K481" s="5">
        <v>45958</v>
      </c>
      <c r="L481" s="3">
        <v>9500</v>
      </c>
      <c r="M481" t="s">
        <v>1218</v>
      </c>
      <c r="N481" t="s">
        <v>56</v>
      </c>
      <c r="O481" t="s">
        <v>1213</v>
      </c>
      <c r="P481" s="3">
        <v>25000</v>
      </c>
      <c r="Q481">
        <v>4</v>
      </c>
      <c r="R481" t="s">
        <v>1214</v>
      </c>
      <c r="S481" t="s">
        <v>1215</v>
      </c>
      <c r="T481" t="s">
        <v>1216</v>
      </c>
      <c r="U481" t="s">
        <v>31</v>
      </c>
      <c r="V481" s="3">
        <f>Tabla1[[#This Row],[OS-Valor Unitario]]-Tabla1[[#This Row],[costo_antes_iva]]</f>
        <v>15500</v>
      </c>
      <c r="W481" s="3">
        <f>Tabla1[[#This Row],[OS-Valor Unitario]]*Tabla1[[#This Row],[OS-Cantidad]]</f>
        <v>100000</v>
      </c>
      <c r="X481" s="3">
        <f>Tabla1[[#This Row],[costo_antes_iva]]*Tabla1[[#This Row],[OS-Cantidad]]</f>
        <v>38000</v>
      </c>
      <c r="Y481" s="3">
        <f>Tabla1[[#This Row],[Valor total OS]]-Tabla1[[#This Row],[valor total op]]</f>
        <v>62000</v>
      </c>
    </row>
    <row r="482" spans="1:25" x14ac:dyDescent="0.3">
      <c r="A482">
        <v>6378</v>
      </c>
      <c r="B482">
        <v>1</v>
      </c>
      <c r="C482" t="s">
        <v>1209</v>
      </c>
      <c r="D482">
        <v>4</v>
      </c>
      <c r="E482" s="5">
        <v>45958.464583333334</v>
      </c>
      <c r="F482" t="s">
        <v>1210</v>
      </c>
      <c r="G482" t="s">
        <v>1211</v>
      </c>
      <c r="H482" t="s">
        <v>182</v>
      </c>
      <c r="I482">
        <v>1</v>
      </c>
      <c r="J482">
        <v>74463501</v>
      </c>
      <c r="K482" s="5">
        <v>45958</v>
      </c>
      <c r="L482" s="3">
        <v>12500</v>
      </c>
      <c r="M482" t="s">
        <v>1218</v>
      </c>
      <c r="N482" t="s">
        <v>26</v>
      </c>
      <c r="O482" t="s">
        <v>1213</v>
      </c>
      <c r="P482" s="3">
        <v>11700</v>
      </c>
      <c r="Q482">
        <v>4</v>
      </c>
      <c r="R482" t="s">
        <v>1217</v>
      </c>
      <c r="S482" t="s">
        <v>1215</v>
      </c>
      <c r="T482" t="s">
        <v>1216</v>
      </c>
      <c r="U482" t="s">
        <v>31</v>
      </c>
      <c r="V482" s="3">
        <f>Tabla1[[#This Row],[OS-Valor Unitario]]-Tabla1[[#This Row],[costo_antes_iva]]</f>
        <v>-800</v>
      </c>
      <c r="W482" s="3">
        <f>Tabla1[[#This Row],[OS-Valor Unitario]]*Tabla1[[#This Row],[OS-Cantidad]]</f>
        <v>46800</v>
      </c>
      <c r="X482" s="3">
        <f>Tabla1[[#This Row],[costo_antes_iva]]*Tabla1[[#This Row],[OS-Cantidad]]</f>
        <v>50000</v>
      </c>
      <c r="Y482" s="3">
        <f>Tabla1[[#This Row],[Valor total OS]]-Tabla1[[#This Row],[valor total op]]</f>
        <v>-3200</v>
      </c>
    </row>
    <row r="483" spans="1:25" x14ac:dyDescent="0.3">
      <c r="A483">
        <v>6378</v>
      </c>
      <c r="B483">
        <v>2</v>
      </c>
      <c r="C483" t="s">
        <v>1219</v>
      </c>
      <c r="D483">
        <v>1</v>
      </c>
      <c r="E483" s="5">
        <v>45958.464583333334</v>
      </c>
      <c r="F483" t="s">
        <v>1210</v>
      </c>
      <c r="G483" t="s">
        <v>1211</v>
      </c>
      <c r="H483" t="s">
        <v>182</v>
      </c>
      <c r="I483">
        <v>1</v>
      </c>
      <c r="J483">
        <v>74463474</v>
      </c>
      <c r="K483" s="5">
        <v>45958</v>
      </c>
      <c r="L483" s="3">
        <v>9500</v>
      </c>
      <c r="M483" t="s">
        <v>1212</v>
      </c>
      <c r="N483" t="s">
        <v>56</v>
      </c>
      <c r="O483" t="s">
        <v>1220</v>
      </c>
      <c r="P483" s="3">
        <v>25000</v>
      </c>
      <c r="Q483">
        <v>1</v>
      </c>
      <c r="R483" t="s">
        <v>1221</v>
      </c>
      <c r="S483" t="s">
        <v>1215</v>
      </c>
      <c r="T483" t="s">
        <v>1216</v>
      </c>
      <c r="U483" t="s">
        <v>31</v>
      </c>
      <c r="V483" s="3">
        <f>Tabla1[[#This Row],[OS-Valor Unitario]]-Tabla1[[#This Row],[costo_antes_iva]]</f>
        <v>15500</v>
      </c>
      <c r="W483" s="3">
        <f>Tabla1[[#This Row],[OS-Valor Unitario]]*Tabla1[[#This Row],[OS-Cantidad]]</f>
        <v>25000</v>
      </c>
      <c r="X483" s="3">
        <f>Tabla1[[#This Row],[costo_antes_iva]]*Tabla1[[#This Row],[OS-Cantidad]]</f>
        <v>9500</v>
      </c>
      <c r="Y483" s="3">
        <f>Tabla1[[#This Row],[Valor total OS]]-Tabla1[[#This Row],[valor total op]]</f>
        <v>15500</v>
      </c>
    </row>
    <row r="484" spans="1:25" x14ac:dyDescent="0.3">
      <c r="A484">
        <v>6378</v>
      </c>
      <c r="B484">
        <v>2</v>
      </c>
      <c r="C484" t="s">
        <v>1219</v>
      </c>
      <c r="D484">
        <v>1</v>
      </c>
      <c r="E484" s="5">
        <v>45958.464583333334</v>
      </c>
      <c r="F484" t="s">
        <v>1210</v>
      </c>
      <c r="G484" t="s">
        <v>1211</v>
      </c>
      <c r="H484" t="s">
        <v>182</v>
      </c>
      <c r="I484">
        <v>1</v>
      </c>
      <c r="J484">
        <v>74463474</v>
      </c>
      <c r="K484" s="5">
        <v>45958</v>
      </c>
      <c r="L484" s="3">
        <v>12500</v>
      </c>
      <c r="M484" t="s">
        <v>1212</v>
      </c>
      <c r="N484" t="s">
        <v>26</v>
      </c>
      <c r="O484" t="s">
        <v>1220</v>
      </c>
      <c r="P484" s="3">
        <v>11700</v>
      </c>
      <c r="Q484">
        <v>1</v>
      </c>
      <c r="R484" t="s">
        <v>1222</v>
      </c>
      <c r="S484" t="s">
        <v>1215</v>
      </c>
      <c r="T484" t="s">
        <v>1216</v>
      </c>
      <c r="U484" t="s">
        <v>31</v>
      </c>
      <c r="V484" s="3">
        <f>Tabla1[[#This Row],[OS-Valor Unitario]]-Tabla1[[#This Row],[costo_antes_iva]]</f>
        <v>-800</v>
      </c>
      <c r="W484" s="3">
        <f>Tabla1[[#This Row],[OS-Valor Unitario]]*Tabla1[[#This Row],[OS-Cantidad]]</f>
        <v>11700</v>
      </c>
      <c r="X484" s="3">
        <f>Tabla1[[#This Row],[costo_antes_iva]]*Tabla1[[#This Row],[OS-Cantidad]]</f>
        <v>12500</v>
      </c>
      <c r="Y484" s="3">
        <f>Tabla1[[#This Row],[Valor total OS]]-Tabla1[[#This Row],[valor total op]]</f>
        <v>-800</v>
      </c>
    </row>
    <row r="485" spans="1:25" x14ac:dyDescent="0.3">
      <c r="A485">
        <v>6378</v>
      </c>
      <c r="B485">
        <v>2</v>
      </c>
      <c r="C485" t="s">
        <v>1219</v>
      </c>
      <c r="D485">
        <v>1</v>
      </c>
      <c r="E485" s="5">
        <v>45958.464583333334</v>
      </c>
      <c r="F485" t="s">
        <v>1210</v>
      </c>
      <c r="G485" t="s">
        <v>1211</v>
      </c>
      <c r="H485" t="s">
        <v>182</v>
      </c>
      <c r="I485">
        <v>1</v>
      </c>
      <c r="J485">
        <v>74463501</v>
      </c>
      <c r="K485" s="5">
        <v>45958</v>
      </c>
      <c r="L485" s="3">
        <v>9500</v>
      </c>
      <c r="M485" t="s">
        <v>1218</v>
      </c>
      <c r="N485" t="s">
        <v>56</v>
      </c>
      <c r="O485" t="s">
        <v>1220</v>
      </c>
      <c r="P485" s="3">
        <v>25000</v>
      </c>
      <c r="Q485">
        <v>1</v>
      </c>
      <c r="R485" t="s">
        <v>1221</v>
      </c>
      <c r="S485" t="s">
        <v>1215</v>
      </c>
      <c r="T485" t="s">
        <v>1216</v>
      </c>
      <c r="U485" t="s">
        <v>31</v>
      </c>
      <c r="V485" s="3">
        <f>Tabla1[[#This Row],[OS-Valor Unitario]]-Tabla1[[#This Row],[costo_antes_iva]]</f>
        <v>15500</v>
      </c>
      <c r="W485" s="3">
        <f>Tabla1[[#This Row],[OS-Valor Unitario]]*Tabla1[[#This Row],[OS-Cantidad]]</f>
        <v>25000</v>
      </c>
      <c r="X485" s="3">
        <f>Tabla1[[#This Row],[costo_antes_iva]]*Tabla1[[#This Row],[OS-Cantidad]]</f>
        <v>9500</v>
      </c>
      <c r="Y485" s="3">
        <f>Tabla1[[#This Row],[Valor total OS]]-Tabla1[[#This Row],[valor total op]]</f>
        <v>15500</v>
      </c>
    </row>
    <row r="486" spans="1:25" x14ac:dyDescent="0.3">
      <c r="A486">
        <v>6378</v>
      </c>
      <c r="B486">
        <v>2</v>
      </c>
      <c r="C486" t="s">
        <v>1219</v>
      </c>
      <c r="D486">
        <v>1</v>
      </c>
      <c r="E486" s="5">
        <v>45958.464583333334</v>
      </c>
      <c r="F486" t="s">
        <v>1210</v>
      </c>
      <c r="G486" t="s">
        <v>1211</v>
      </c>
      <c r="H486" t="s">
        <v>182</v>
      </c>
      <c r="I486">
        <v>1</v>
      </c>
      <c r="J486">
        <v>74463501</v>
      </c>
      <c r="K486" s="5">
        <v>45958</v>
      </c>
      <c r="L486" s="3">
        <v>12500</v>
      </c>
      <c r="M486" t="s">
        <v>1218</v>
      </c>
      <c r="N486" t="s">
        <v>26</v>
      </c>
      <c r="O486" t="s">
        <v>1220</v>
      </c>
      <c r="P486" s="3">
        <v>11700</v>
      </c>
      <c r="Q486">
        <v>1</v>
      </c>
      <c r="R486" t="s">
        <v>1222</v>
      </c>
      <c r="S486" t="s">
        <v>1215</v>
      </c>
      <c r="T486" t="s">
        <v>1216</v>
      </c>
      <c r="U486" t="s">
        <v>31</v>
      </c>
      <c r="V486" s="3">
        <f>Tabla1[[#This Row],[OS-Valor Unitario]]-Tabla1[[#This Row],[costo_antes_iva]]</f>
        <v>-800</v>
      </c>
      <c r="W486" s="3">
        <f>Tabla1[[#This Row],[OS-Valor Unitario]]*Tabla1[[#This Row],[OS-Cantidad]]</f>
        <v>11700</v>
      </c>
      <c r="X486" s="3">
        <f>Tabla1[[#This Row],[costo_antes_iva]]*Tabla1[[#This Row],[OS-Cantidad]]</f>
        <v>12500</v>
      </c>
      <c r="Y486" s="3">
        <f>Tabla1[[#This Row],[Valor total OS]]-Tabla1[[#This Row],[valor total op]]</f>
        <v>-800</v>
      </c>
    </row>
    <row r="487" spans="1:25" x14ac:dyDescent="0.3">
      <c r="A487">
        <v>6378</v>
      </c>
      <c r="B487">
        <v>3</v>
      </c>
      <c r="C487" t="s">
        <v>1223</v>
      </c>
      <c r="D487">
        <v>4</v>
      </c>
      <c r="E487" s="5">
        <v>45958.464583333334</v>
      </c>
      <c r="F487" t="s">
        <v>1224</v>
      </c>
      <c r="G487" t="s">
        <v>1211</v>
      </c>
      <c r="H487" t="s">
        <v>182</v>
      </c>
      <c r="I487">
        <v>1</v>
      </c>
      <c r="J487">
        <v>74463519</v>
      </c>
      <c r="K487" s="5">
        <v>45958</v>
      </c>
      <c r="L487" s="3">
        <v>9500</v>
      </c>
      <c r="M487" t="s">
        <v>1225</v>
      </c>
      <c r="N487" t="s">
        <v>56</v>
      </c>
      <c r="O487" t="s">
        <v>1226</v>
      </c>
      <c r="P487" s="3">
        <v>9500</v>
      </c>
      <c r="Q487">
        <v>4</v>
      </c>
      <c r="R487" t="s">
        <v>1227</v>
      </c>
      <c r="S487" t="s">
        <v>1215</v>
      </c>
      <c r="T487" t="s">
        <v>1216</v>
      </c>
      <c r="U487" t="s">
        <v>31</v>
      </c>
      <c r="V487" s="3">
        <f>Tabla1[[#This Row],[OS-Valor Unitario]]-Tabla1[[#This Row],[costo_antes_iva]]</f>
        <v>0</v>
      </c>
      <c r="W487" s="3">
        <f>Tabla1[[#This Row],[OS-Valor Unitario]]*Tabla1[[#This Row],[OS-Cantidad]]</f>
        <v>38000</v>
      </c>
      <c r="X487" s="3">
        <f>Tabla1[[#This Row],[costo_antes_iva]]*Tabla1[[#This Row],[OS-Cantidad]]</f>
        <v>38000</v>
      </c>
      <c r="Y487" s="3">
        <f>Tabla1[[#This Row],[Valor total OS]]-Tabla1[[#This Row],[valor total op]]</f>
        <v>0</v>
      </c>
    </row>
    <row r="488" spans="1:25" x14ac:dyDescent="0.3">
      <c r="A488">
        <v>6378</v>
      </c>
      <c r="B488">
        <v>3</v>
      </c>
      <c r="C488" t="s">
        <v>1223</v>
      </c>
      <c r="D488">
        <v>4</v>
      </c>
      <c r="E488" s="5">
        <v>45958.464583333334</v>
      </c>
      <c r="F488" t="s">
        <v>1224</v>
      </c>
      <c r="G488" t="s">
        <v>1211</v>
      </c>
      <c r="H488" t="s">
        <v>182</v>
      </c>
      <c r="I488">
        <v>1</v>
      </c>
      <c r="J488">
        <v>74463519</v>
      </c>
      <c r="K488" s="5">
        <v>45958</v>
      </c>
      <c r="L488" s="3">
        <v>12500</v>
      </c>
      <c r="M488" t="s">
        <v>1225</v>
      </c>
      <c r="N488" t="s">
        <v>26</v>
      </c>
      <c r="O488" t="s">
        <v>1226</v>
      </c>
      <c r="P488" s="3">
        <v>11700</v>
      </c>
      <c r="Q488">
        <v>4</v>
      </c>
      <c r="R488" t="s">
        <v>1228</v>
      </c>
      <c r="S488" t="s">
        <v>1215</v>
      </c>
      <c r="T488" t="s">
        <v>1216</v>
      </c>
      <c r="U488" t="s">
        <v>31</v>
      </c>
      <c r="V488" s="3">
        <f>Tabla1[[#This Row],[OS-Valor Unitario]]-Tabla1[[#This Row],[costo_antes_iva]]</f>
        <v>-800</v>
      </c>
      <c r="W488" s="3">
        <f>Tabla1[[#This Row],[OS-Valor Unitario]]*Tabla1[[#This Row],[OS-Cantidad]]</f>
        <v>46800</v>
      </c>
      <c r="X488" s="3">
        <f>Tabla1[[#This Row],[costo_antes_iva]]*Tabla1[[#This Row],[OS-Cantidad]]</f>
        <v>50000</v>
      </c>
      <c r="Y488" s="3">
        <f>Tabla1[[#This Row],[Valor total OS]]-Tabla1[[#This Row],[valor total op]]</f>
        <v>-3200</v>
      </c>
    </row>
    <row r="489" spans="1:25" x14ac:dyDescent="0.3">
      <c r="A489">
        <v>6378</v>
      </c>
      <c r="B489">
        <v>4</v>
      </c>
      <c r="C489" t="s">
        <v>1229</v>
      </c>
      <c r="D489">
        <v>2</v>
      </c>
      <c r="E489" s="5">
        <v>45958.464583333334</v>
      </c>
      <c r="F489" t="s">
        <v>1230</v>
      </c>
      <c r="G489" t="s">
        <v>1211</v>
      </c>
      <c r="H489" t="s">
        <v>182</v>
      </c>
      <c r="I489">
        <v>1</v>
      </c>
      <c r="J489">
        <v>74463526</v>
      </c>
      <c r="K489" s="5">
        <v>45958</v>
      </c>
      <c r="L489" s="3">
        <v>9500</v>
      </c>
      <c r="M489" t="s">
        <v>1231</v>
      </c>
      <c r="N489" t="s">
        <v>56</v>
      </c>
      <c r="O489" t="s">
        <v>1232</v>
      </c>
      <c r="P489" s="3">
        <v>9500</v>
      </c>
      <c r="Q489">
        <v>2</v>
      </c>
      <c r="R489" t="s">
        <v>1233</v>
      </c>
      <c r="S489" t="s">
        <v>1215</v>
      </c>
      <c r="T489" t="s">
        <v>1216</v>
      </c>
      <c r="U489" t="s">
        <v>31</v>
      </c>
      <c r="V489" s="3">
        <f>Tabla1[[#This Row],[OS-Valor Unitario]]-Tabla1[[#This Row],[costo_antes_iva]]</f>
        <v>0</v>
      </c>
      <c r="W489" s="3">
        <f>Tabla1[[#This Row],[OS-Valor Unitario]]*Tabla1[[#This Row],[OS-Cantidad]]</f>
        <v>19000</v>
      </c>
      <c r="X489" s="3">
        <f>Tabla1[[#This Row],[costo_antes_iva]]*Tabla1[[#This Row],[OS-Cantidad]]</f>
        <v>19000</v>
      </c>
      <c r="Y489" s="3">
        <f>Tabla1[[#This Row],[Valor total OS]]-Tabla1[[#This Row],[valor total op]]</f>
        <v>0</v>
      </c>
    </row>
    <row r="490" spans="1:25" x14ac:dyDescent="0.3">
      <c r="A490">
        <v>6378</v>
      </c>
      <c r="B490">
        <v>4</v>
      </c>
      <c r="C490" t="s">
        <v>1229</v>
      </c>
      <c r="D490">
        <v>2</v>
      </c>
      <c r="E490" s="5">
        <v>45958.464583333334</v>
      </c>
      <c r="F490" t="s">
        <v>1230</v>
      </c>
      <c r="G490" t="s">
        <v>1211</v>
      </c>
      <c r="H490" t="s">
        <v>182</v>
      </c>
      <c r="I490">
        <v>1</v>
      </c>
      <c r="J490">
        <v>74463526</v>
      </c>
      <c r="K490" s="5">
        <v>45958</v>
      </c>
      <c r="L490" s="3">
        <v>12500</v>
      </c>
      <c r="M490" t="s">
        <v>1231</v>
      </c>
      <c r="N490" t="s">
        <v>26</v>
      </c>
      <c r="O490" t="s">
        <v>1232</v>
      </c>
      <c r="P490" s="3">
        <v>11700</v>
      </c>
      <c r="Q490">
        <v>2</v>
      </c>
      <c r="R490" t="s">
        <v>1234</v>
      </c>
      <c r="S490" t="s">
        <v>1215</v>
      </c>
      <c r="T490" t="s">
        <v>1216</v>
      </c>
      <c r="U490" t="s">
        <v>31</v>
      </c>
      <c r="V490" s="3">
        <f>Tabla1[[#This Row],[OS-Valor Unitario]]-Tabla1[[#This Row],[costo_antes_iva]]</f>
        <v>-800</v>
      </c>
      <c r="W490" s="3">
        <f>Tabla1[[#This Row],[OS-Valor Unitario]]*Tabla1[[#This Row],[OS-Cantidad]]</f>
        <v>23400</v>
      </c>
      <c r="X490" s="3">
        <f>Tabla1[[#This Row],[costo_antes_iva]]*Tabla1[[#This Row],[OS-Cantidad]]</f>
        <v>25000</v>
      </c>
      <c r="Y490" s="3">
        <f>Tabla1[[#This Row],[Valor total OS]]-Tabla1[[#This Row],[valor total op]]</f>
        <v>-1600</v>
      </c>
    </row>
    <row r="491" spans="1:25" x14ac:dyDescent="0.3">
      <c r="A491">
        <v>6377</v>
      </c>
      <c r="B491">
        <v>1</v>
      </c>
      <c r="C491" t="s">
        <v>1235</v>
      </c>
      <c r="D491">
        <v>11</v>
      </c>
      <c r="E491" s="5">
        <v>45957.578472222223</v>
      </c>
      <c r="F491" t="s">
        <v>1236</v>
      </c>
      <c r="G491" t="s">
        <v>264</v>
      </c>
      <c r="H491" t="s">
        <v>182</v>
      </c>
      <c r="I491">
        <v>1</v>
      </c>
      <c r="J491">
        <v>74399608</v>
      </c>
      <c r="K491" s="5">
        <v>45957</v>
      </c>
      <c r="L491" s="3">
        <v>12500</v>
      </c>
      <c r="M491" t="s">
        <v>1237</v>
      </c>
      <c r="N491" t="s">
        <v>56</v>
      </c>
      <c r="O491" t="s">
        <v>1238</v>
      </c>
      <c r="P491" s="3">
        <v>12000</v>
      </c>
      <c r="Q491">
        <v>11</v>
      </c>
      <c r="R491" t="s">
        <v>1239</v>
      </c>
      <c r="S491" t="s">
        <v>1240</v>
      </c>
      <c r="T491" t="s">
        <v>1241</v>
      </c>
      <c r="U491" t="s">
        <v>31</v>
      </c>
      <c r="V491" s="3">
        <f>Tabla1[[#This Row],[OS-Valor Unitario]]-Tabla1[[#This Row],[costo_antes_iva]]</f>
        <v>-500</v>
      </c>
      <c r="W491" s="3">
        <f>Tabla1[[#This Row],[OS-Valor Unitario]]*Tabla1[[#This Row],[OS-Cantidad]]</f>
        <v>132000</v>
      </c>
      <c r="X491" s="3">
        <f>Tabla1[[#This Row],[costo_antes_iva]]*Tabla1[[#This Row],[OS-Cantidad]]</f>
        <v>137500</v>
      </c>
      <c r="Y491" s="3">
        <f>Tabla1[[#This Row],[Valor total OS]]-Tabla1[[#This Row],[valor total op]]</f>
        <v>-5500</v>
      </c>
    </row>
    <row r="492" spans="1:25" x14ac:dyDescent="0.3">
      <c r="A492">
        <v>6377</v>
      </c>
      <c r="B492">
        <v>1</v>
      </c>
      <c r="C492" t="s">
        <v>1235</v>
      </c>
      <c r="D492">
        <v>11</v>
      </c>
      <c r="E492" s="5">
        <v>45957.578472222223</v>
      </c>
      <c r="F492" t="s">
        <v>1236</v>
      </c>
      <c r="G492" t="s">
        <v>264</v>
      </c>
      <c r="H492" t="s">
        <v>182</v>
      </c>
      <c r="I492">
        <v>1</v>
      </c>
      <c r="J492">
        <v>74399608</v>
      </c>
      <c r="K492" s="5">
        <v>45957</v>
      </c>
      <c r="L492" s="3">
        <v>1800</v>
      </c>
      <c r="M492" t="s">
        <v>1237</v>
      </c>
      <c r="N492" t="s">
        <v>26</v>
      </c>
      <c r="O492" t="s">
        <v>1238</v>
      </c>
      <c r="P492" s="3">
        <v>1650</v>
      </c>
      <c r="Q492">
        <v>11</v>
      </c>
      <c r="R492" t="s">
        <v>1242</v>
      </c>
      <c r="S492" t="s">
        <v>1240</v>
      </c>
      <c r="T492" t="s">
        <v>1241</v>
      </c>
      <c r="U492" t="s">
        <v>31</v>
      </c>
      <c r="V492" s="3">
        <f>Tabla1[[#This Row],[OS-Valor Unitario]]-Tabla1[[#This Row],[costo_antes_iva]]</f>
        <v>-150</v>
      </c>
      <c r="W492" s="3">
        <f>Tabla1[[#This Row],[OS-Valor Unitario]]*Tabla1[[#This Row],[OS-Cantidad]]</f>
        <v>18150</v>
      </c>
      <c r="X492" s="3">
        <f>Tabla1[[#This Row],[costo_antes_iva]]*Tabla1[[#This Row],[OS-Cantidad]]</f>
        <v>19800</v>
      </c>
      <c r="Y492" s="3">
        <f>Tabla1[[#This Row],[Valor total OS]]-Tabla1[[#This Row],[valor total op]]</f>
        <v>-1650</v>
      </c>
    </row>
    <row r="493" spans="1:25" x14ac:dyDescent="0.3">
      <c r="A493">
        <v>6377</v>
      </c>
      <c r="B493">
        <v>2</v>
      </c>
      <c r="C493" t="s">
        <v>1243</v>
      </c>
      <c r="D493">
        <v>20</v>
      </c>
      <c r="E493" s="5">
        <v>45957.578472222223</v>
      </c>
      <c r="F493" t="s">
        <v>1244</v>
      </c>
      <c r="G493" t="s">
        <v>128</v>
      </c>
      <c r="H493" t="s">
        <v>182</v>
      </c>
      <c r="I493">
        <v>1</v>
      </c>
      <c r="J493">
        <v>74399614</v>
      </c>
      <c r="K493" s="5">
        <v>45957</v>
      </c>
      <c r="L493" s="3">
        <v>12500</v>
      </c>
      <c r="M493" t="s">
        <v>1237</v>
      </c>
      <c r="N493" t="s">
        <v>56</v>
      </c>
      <c r="O493" t="s">
        <v>1245</v>
      </c>
      <c r="P493" s="3">
        <v>12500</v>
      </c>
      <c r="Q493">
        <v>20</v>
      </c>
      <c r="R493" t="s">
        <v>1246</v>
      </c>
      <c r="S493" t="s">
        <v>1240</v>
      </c>
      <c r="T493" t="s">
        <v>1241</v>
      </c>
      <c r="U493" t="s">
        <v>31</v>
      </c>
      <c r="V493" s="3">
        <f>Tabla1[[#This Row],[OS-Valor Unitario]]-Tabla1[[#This Row],[costo_antes_iva]]</f>
        <v>0</v>
      </c>
      <c r="W493" s="3">
        <f>Tabla1[[#This Row],[OS-Valor Unitario]]*Tabla1[[#This Row],[OS-Cantidad]]</f>
        <v>250000</v>
      </c>
      <c r="X493" s="3">
        <f>Tabla1[[#This Row],[costo_antes_iva]]*Tabla1[[#This Row],[OS-Cantidad]]</f>
        <v>250000</v>
      </c>
      <c r="Y493" s="3">
        <f>Tabla1[[#This Row],[Valor total OS]]-Tabla1[[#This Row],[valor total op]]</f>
        <v>0</v>
      </c>
    </row>
    <row r="494" spans="1:25" x14ac:dyDescent="0.3">
      <c r="A494">
        <v>6377</v>
      </c>
      <c r="B494">
        <v>2</v>
      </c>
      <c r="C494" t="s">
        <v>1243</v>
      </c>
      <c r="D494">
        <v>20</v>
      </c>
      <c r="E494" s="5">
        <v>45957.578472222223</v>
      </c>
      <c r="F494" t="s">
        <v>1244</v>
      </c>
      <c r="G494" t="s">
        <v>128</v>
      </c>
      <c r="H494" t="s">
        <v>182</v>
      </c>
      <c r="I494">
        <v>1</v>
      </c>
      <c r="J494">
        <v>74399614</v>
      </c>
      <c r="K494" s="5">
        <v>45957</v>
      </c>
      <c r="L494" s="3">
        <v>1800</v>
      </c>
      <c r="M494" t="s">
        <v>1237</v>
      </c>
      <c r="N494" t="s">
        <v>26</v>
      </c>
      <c r="O494" t="s">
        <v>1245</v>
      </c>
      <c r="P494" s="3">
        <v>1650</v>
      </c>
      <c r="Q494">
        <v>20</v>
      </c>
      <c r="R494" t="s">
        <v>1247</v>
      </c>
      <c r="S494" t="s">
        <v>1240</v>
      </c>
      <c r="T494" t="s">
        <v>1241</v>
      </c>
      <c r="U494" t="s">
        <v>31</v>
      </c>
      <c r="V494" s="3">
        <f>Tabla1[[#This Row],[OS-Valor Unitario]]-Tabla1[[#This Row],[costo_antes_iva]]</f>
        <v>-150</v>
      </c>
      <c r="W494" s="3">
        <f>Tabla1[[#This Row],[OS-Valor Unitario]]*Tabla1[[#This Row],[OS-Cantidad]]</f>
        <v>33000</v>
      </c>
      <c r="X494" s="3">
        <f>Tabla1[[#This Row],[costo_antes_iva]]*Tabla1[[#This Row],[OS-Cantidad]]</f>
        <v>36000</v>
      </c>
      <c r="Y494" s="3">
        <f>Tabla1[[#This Row],[Valor total OS]]-Tabla1[[#This Row],[valor total op]]</f>
        <v>-3000</v>
      </c>
    </row>
    <row r="495" spans="1:25" x14ac:dyDescent="0.3">
      <c r="A495">
        <v>6377</v>
      </c>
      <c r="B495">
        <v>3</v>
      </c>
      <c r="C495" t="s">
        <v>1248</v>
      </c>
      <c r="D495">
        <v>20</v>
      </c>
      <c r="E495" s="5">
        <v>45957.578472222223</v>
      </c>
      <c r="F495" t="s">
        <v>1249</v>
      </c>
      <c r="G495" t="s">
        <v>128</v>
      </c>
      <c r="H495" t="s">
        <v>182</v>
      </c>
      <c r="I495">
        <v>1</v>
      </c>
      <c r="J495">
        <v>74399620</v>
      </c>
      <c r="K495" s="5">
        <v>45957</v>
      </c>
      <c r="L495" s="3">
        <v>12500</v>
      </c>
      <c r="M495" t="s">
        <v>1237</v>
      </c>
      <c r="N495" t="s">
        <v>56</v>
      </c>
      <c r="O495" t="s">
        <v>1250</v>
      </c>
      <c r="P495" s="3">
        <v>12500</v>
      </c>
      <c r="Q495">
        <v>20</v>
      </c>
      <c r="R495" t="s">
        <v>1251</v>
      </c>
      <c r="S495" t="s">
        <v>1240</v>
      </c>
      <c r="T495" t="s">
        <v>1241</v>
      </c>
      <c r="U495" t="s">
        <v>31</v>
      </c>
      <c r="V495" s="3">
        <f>Tabla1[[#This Row],[OS-Valor Unitario]]-Tabla1[[#This Row],[costo_antes_iva]]</f>
        <v>0</v>
      </c>
      <c r="W495" s="3">
        <f>Tabla1[[#This Row],[OS-Valor Unitario]]*Tabla1[[#This Row],[OS-Cantidad]]</f>
        <v>250000</v>
      </c>
      <c r="X495" s="3">
        <f>Tabla1[[#This Row],[costo_antes_iva]]*Tabla1[[#This Row],[OS-Cantidad]]</f>
        <v>250000</v>
      </c>
      <c r="Y495" s="3">
        <f>Tabla1[[#This Row],[Valor total OS]]-Tabla1[[#This Row],[valor total op]]</f>
        <v>0</v>
      </c>
    </row>
    <row r="496" spans="1:25" x14ac:dyDescent="0.3">
      <c r="A496">
        <v>6377</v>
      </c>
      <c r="B496">
        <v>3</v>
      </c>
      <c r="C496" t="s">
        <v>1248</v>
      </c>
      <c r="D496">
        <v>20</v>
      </c>
      <c r="E496" s="5">
        <v>45957.578472222223</v>
      </c>
      <c r="F496" t="s">
        <v>1249</v>
      </c>
      <c r="G496" t="s">
        <v>128</v>
      </c>
      <c r="H496" t="s">
        <v>182</v>
      </c>
      <c r="I496">
        <v>1</v>
      </c>
      <c r="J496">
        <v>74399620</v>
      </c>
      <c r="K496" s="5">
        <v>45957</v>
      </c>
      <c r="L496" s="3">
        <v>1800</v>
      </c>
      <c r="M496" t="s">
        <v>1237</v>
      </c>
      <c r="N496" t="s">
        <v>26</v>
      </c>
      <c r="O496" t="s">
        <v>1250</v>
      </c>
      <c r="P496" s="3">
        <v>1650</v>
      </c>
      <c r="Q496">
        <v>20</v>
      </c>
      <c r="R496" t="s">
        <v>1252</v>
      </c>
      <c r="S496" t="s">
        <v>1240</v>
      </c>
      <c r="T496" t="s">
        <v>1241</v>
      </c>
      <c r="U496" t="s">
        <v>31</v>
      </c>
      <c r="V496" s="3">
        <f>Tabla1[[#This Row],[OS-Valor Unitario]]-Tabla1[[#This Row],[costo_antes_iva]]</f>
        <v>-150</v>
      </c>
      <c r="W496" s="3">
        <f>Tabla1[[#This Row],[OS-Valor Unitario]]*Tabla1[[#This Row],[OS-Cantidad]]</f>
        <v>33000</v>
      </c>
      <c r="X496" s="3">
        <f>Tabla1[[#This Row],[costo_antes_iva]]*Tabla1[[#This Row],[OS-Cantidad]]</f>
        <v>36000</v>
      </c>
      <c r="Y496" s="3">
        <f>Tabla1[[#This Row],[Valor total OS]]-Tabla1[[#This Row],[valor total op]]</f>
        <v>-3000</v>
      </c>
    </row>
    <row r="497" spans="1:25" x14ac:dyDescent="0.3">
      <c r="A497">
        <v>6377</v>
      </c>
      <c r="B497">
        <v>3</v>
      </c>
      <c r="C497" t="s">
        <v>1248</v>
      </c>
      <c r="D497">
        <v>20</v>
      </c>
      <c r="E497" s="5">
        <v>45957.578472222223</v>
      </c>
      <c r="F497" t="s">
        <v>1249</v>
      </c>
      <c r="G497" t="s">
        <v>264</v>
      </c>
      <c r="H497" t="s">
        <v>182</v>
      </c>
      <c r="I497">
        <v>1</v>
      </c>
      <c r="J497">
        <v>74403668</v>
      </c>
      <c r="K497" s="5">
        <v>45957</v>
      </c>
      <c r="L497" s="3">
        <v>12500</v>
      </c>
      <c r="M497" t="s">
        <v>1253</v>
      </c>
      <c r="N497" t="s">
        <v>56</v>
      </c>
      <c r="O497" t="s">
        <v>1250</v>
      </c>
      <c r="P497" s="3">
        <v>12500</v>
      </c>
      <c r="Q497">
        <v>20</v>
      </c>
      <c r="R497" t="s">
        <v>1251</v>
      </c>
      <c r="S497" t="s">
        <v>1240</v>
      </c>
      <c r="T497" t="s">
        <v>1241</v>
      </c>
      <c r="U497" t="s">
        <v>31</v>
      </c>
      <c r="V497" s="3">
        <f>Tabla1[[#This Row],[OS-Valor Unitario]]-Tabla1[[#This Row],[costo_antes_iva]]</f>
        <v>0</v>
      </c>
      <c r="W497" s="3">
        <f>Tabla1[[#This Row],[OS-Valor Unitario]]*Tabla1[[#This Row],[OS-Cantidad]]</f>
        <v>250000</v>
      </c>
      <c r="X497" s="3">
        <f>Tabla1[[#This Row],[costo_antes_iva]]*Tabla1[[#This Row],[OS-Cantidad]]</f>
        <v>250000</v>
      </c>
      <c r="Y497" s="3">
        <f>Tabla1[[#This Row],[Valor total OS]]-Tabla1[[#This Row],[valor total op]]</f>
        <v>0</v>
      </c>
    </row>
    <row r="498" spans="1:25" x14ac:dyDescent="0.3">
      <c r="A498">
        <v>6377</v>
      </c>
      <c r="B498">
        <v>3</v>
      </c>
      <c r="C498" t="s">
        <v>1248</v>
      </c>
      <c r="D498">
        <v>20</v>
      </c>
      <c r="E498" s="5">
        <v>45957.578472222223</v>
      </c>
      <c r="F498" t="s">
        <v>1249</v>
      </c>
      <c r="G498" t="s">
        <v>264</v>
      </c>
      <c r="H498" t="s">
        <v>182</v>
      </c>
      <c r="I498">
        <v>1</v>
      </c>
      <c r="J498">
        <v>74403668</v>
      </c>
      <c r="K498" s="5">
        <v>45957</v>
      </c>
      <c r="L498" s="3">
        <v>1800</v>
      </c>
      <c r="M498" t="s">
        <v>1253</v>
      </c>
      <c r="N498" t="s">
        <v>26</v>
      </c>
      <c r="O498" t="s">
        <v>1250</v>
      </c>
      <c r="P498" s="3">
        <v>1650</v>
      </c>
      <c r="Q498">
        <v>20</v>
      </c>
      <c r="R498" t="s">
        <v>1252</v>
      </c>
      <c r="S498" t="s">
        <v>1240</v>
      </c>
      <c r="T498" t="s">
        <v>1241</v>
      </c>
      <c r="U498" t="s">
        <v>31</v>
      </c>
      <c r="V498" s="3">
        <f>Tabla1[[#This Row],[OS-Valor Unitario]]-Tabla1[[#This Row],[costo_antes_iva]]</f>
        <v>-150</v>
      </c>
      <c r="W498" s="3">
        <f>Tabla1[[#This Row],[OS-Valor Unitario]]*Tabla1[[#This Row],[OS-Cantidad]]</f>
        <v>33000</v>
      </c>
      <c r="X498" s="3">
        <f>Tabla1[[#This Row],[costo_antes_iva]]*Tabla1[[#This Row],[OS-Cantidad]]</f>
        <v>36000</v>
      </c>
      <c r="Y498" s="3">
        <f>Tabla1[[#This Row],[Valor total OS]]-Tabla1[[#This Row],[valor total op]]</f>
        <v>-3000</v>
      </c>
    </row>
    <row r="499" spans="1:25" x14ac:dyDescent="0.3">
      <c r="A499">
        <v>6377</v>
      </c>
      <c r="B499">
        <v>4</v>
      </c>
      <c r="C499" t="s">
        <v>1254</v>
      </c>
      <c r="D499">
        <v>11</v>
      </c>
      <c r="E499" s="5">
        <v>45957.578472222223</v>
      </c>
      <c r="F499" t="s">
        <v>1249</v>
      </c>
      <c r="G499" t="s">
        <v>128</v>
      </c>
      <c r="H499" t="s">
        <v>182</v>
      </c>
      <c r="I499">
        <v>1</v>
      </c>
      <c r="J499">
        <v>74399620</v>
      </c>
      <c r="K499" s="5">
        <v>45957</v>
      </c>
      <c r="L499" s="3">
        <v>12500</v>
      </c>
      <c r="M499" t="s">
        <v>1237</v>
      </c>
      <c r="N499" t="s">
        <v>56</v>
      </c>
      <c r="O499" t="s">
        <v>1255</v>
      </c>
      <c r="P499" s="3">
        <v>12000</v>
      </c>
      <c r="Q499">
        <v>11</v>
      </c>
      <c r="R499" t="s">
        <v>1256</v>
      </c>
      <c r="S499" t="s">
        <v>1240</v>
      </c>
      <c r="T499" t="s">
        <v>1241</v>
      </c>
      <c r="U499" t="s">
        <v>31</v>
      </c>
      <c r="V499" s="3">
        <f>Tabla1[[#This Row],[OS-Valor Unitario]]-Tabla1[[#This Row],[costo_antes_iva]]</f>
        <v>-500</v>
      </c>
      <c r="W499" s="3">
        <f>Tabla1[[#This Row],[OS-Valor Unitario]]*Tabla1[[#This Row],[OS-Cantidad]]</f>
        <v>132000</v>
      </c>
      <c r="X499" s="3">
        <f>Tabla1[[#This Row],[costo_antes_iva]]*Tabla1[[#This Row],[OS-Cantidad]]</f>
        <v>137500</v>
      </c>
      <c r="Y499" s="3">
        <f>Tabla1[[#This Row],[Valor total OS]]-Tabla1[[#This Row],[valor total op]]</f>
        <v>-5500</v>
      </c>
    </row>
    <row r="500" spans="1:25" x14ac:dyDescent="0.3">
      <c r="A500">
        <v>6377</v>
      </c>
      <c r="B500">
        <v>4</v>
      </c>
      <c r="C500" t="s">
        <v>1254</v>
      </c>
      <c r="D500">
        <v>11</v>
      </c>
      <c r="E500" s="5">
        <v>45957.578472222223</v>
      </c>
      <c r="F500" t="s">
        <v>1249</v>
      </c>
      <c r="G500" t="s">
        <v>128</v>
      </c>
      <c r="H500" t="s">
        <v>182</v>
      </c>
      <c r="I500">
        <v>1</v>
      </c>
      <c r="J500">
        <v>74399620</v>
      </c>
      <c r="K500" s="5">
        <v>45957</v>
      </c>
      <c r="L500" s="3">
        <v>1800</v>
      </c>
      <c r="M500" t="s">
        <v>1237</v>
      </c>
      <c r="N500" t="s">
        <v>26</v>
      </c>
      <c r="O500" t="s">
        <v>1255</v>
      </c>
      <c r="P500" s="3">
        <v>1650</v>
      </c>
      <c r="Q500">
        <v>11</v>
      </c>
      <c r="R500" t="s">
        <v>1257</v>
      </c>
      <c r="S500" t="s">
        <v>1240</v>
      </c>
      <c r="T500" t="s">
        <v>1241</v>
      </c>
      <c r="U500" t="s">
        <v>31</v>
      </c>
      <c r="V500" s="3">
        <f>Tabla1[[#This Row],[OS-Valor Unitario]]-Tabla1[[#This Row],[costo_antes_iva]]</f>
        <v>-150</v>
      </c>
      <c r="W500" s="3">
        <f>Tabla1[[#This Row],[OS-Valor Unitario]]*Tabla1[[#This Row],[OS-Cantidad]]</f>
        <v>18150</v>
      </c>
      <c r="X500" s="3">
        <f>Tabla1[[#This Row],[costo_antes_iva]]*Tabla1[[#This Row],[OS-Cantidad]]</f>
        <v>19800</v>
      </c>
      <c r="Y500" s="3">
        <f>Tabla1[[#This Row],[Valor total OS]]-Tabla1[[#This Row],[valor total op]]</f>
        <v>-1650</v>
      </c>
    </row>
    <row r="501" spans="1:25" x14ac:dyDescent="0.3">
      <c r="A501">
        <v>6377</v>
      </c>
      <c r="B501">
        <v>4</v>
      </c>
      <c r="C501" t="s">
        <v>1254</v>
      </c>
      <c r="D501">
        <v>11</v>
      </c>
      <c r="E501" s="5">
        <v>45957.578472222223</v>
      </c>
      <c r="F501" t="s">
        <v>1249</v>
      </c>
      <c r="G501" t="s">
        <v>264</v>
      </c>
      <c r="H501" t="s">
        <v>182</v>
      </c>
      <c r="I501">
        <v>1</v>
      </c>
      <c r="J501">
        <v>74403668</v>
      </c>
      <c r="K501" s="5">
        <v>45957</v>
      </c>
      <c r="L501" s="3">
        <v>12500</v>
      </c>
      <c r="M501" t="s">
        <v>1253</v>
      </c>
      <c r="N501" t="s">
        <v>56</v>
      </c>
      <c r="O501" t="s">
        <v>1255</v>
      </c>
      <c r="P501" s="3">
        <v>12000</v>
      </c>
      <c r="Q501">
        <v>11</v>
      </c>
      <c r="R501" t="s">
        <v>1256</v>
      </c>
      <c r="S501" t="s">
        <v>1240</v>
      </c>
      <c r="T501" t="s">
        <v>1241</v>
      </c>
      <c r="U501" t="s">
        <v>31</v>
      </c>
      <c r="V501" s="3">
        <f>Tabla1[[#This Row],[OS-Valor Unitario]]-Tabla1[[#This Row],[costo_antes_iva]]</f>
        <v>-500</v>
      </c>
      <c r="W501" s="3">
        <f>Tabla1[[#This Row],[OS-Valor Unitario]]*Tabla1[[#This Row],[OS-Cantidad]]</f>
        <v>132000</v>
      </c>
      <c r="X501" s="3">
        <f>Tabla1[[#This Row],[costo_antes_iva]]*Tabla1[[#This Row],[OS-Cantidad]]</f>
        <v>137500</v>
      </c>
      <c r="Y501" s="3">
        <f>Tabla1[[#This Row],[Valor total OS]]-Tabla1[[#This Row],[valor total op]]</f>
        <v>-5500</v>
      </c>
    </row>
    <row r="502" spans="1:25" x14ac:dyDescent="0.3">
      <c r="A502">
        <v>6377</v>
      </c>
      <c r="B502">
        <v>4</v>
      </c>
      <c r="C502" t="s">
        <v>1254</v>
      </c>
      <c r="D502">
        <v>11</v>
      </c>
      <c r="E502" s="5">
        <v>45957.578472222223</v>
      </c>
      <c r="F502" t="s">
        <v>1249</v>
      </c>
      <c r="G502" t="s">
        <v>264</v>
      </c>
      <c r="H502" t="s">
        <v>182</v>
      </c>
      <c r="I502">
        <v>1</v>
      </c>
      <c r="J502">
        <v>74403668</v>
      </c>
      <c r="K502" s="5">
        <v>45957</v>
      </c>
      <c r="L502" s="3">
        <v>1800</v>
      </c>
      <c r="M502" t="s">
        <v>1253</v>
      </c>
      <c r="N502" t="s">
        <v>26</v>
      </c>
      <c r="O502" t="s">
        <v>1255</v>
      </c>
      <c r="P502" s="3">
        <v>1650</v>
      </c>
      <c r="Q502">
        <v>11</v>
      </c>
      <c r="R502" t="s">
        <v>1257</v>
      </c>
      <c r="S502" t="s">
        <v>1240</v>
      </c>
      <c r="T502" t="s">
        <v>1241</v>
      </c>
      <c r="U502" t="s">
        <v>31</v>
      </c>
      <c r="V502" s="3">
        <f>Tabla1[[#This Row],[OS-Valor Unitario]]-Tabla1[[#This Row],[costo_antes_iva]]</f>
        <v>-150</v>
      </c>
      <c r="W502" s="3">
        <f>Tabla1[[#This Row],[OS-Valor Unitario]]*Tabla1[[#This Row],[OS-Cantidad]]</f>
        <v>18150</v>
      </c>
      <c r="X502" s="3">
        <f>Tabla1[[#This Row],[costo_antes_iva]]*Tabla1[[#This Row],[OS-Cantidad]]</f>
        <v>19800</v>
      </c>
      <c r="Y502" s="3">
        <f>Tabla1[[#This Row],[Valor total OS]]-Tabla1[[#This Row],[valor total op]]</f>
        <v>-1650</v>
      </c>
    </row>
    <row r="503" spans="1:25" x14ac:dyDescent="0.3">
      <c r="A503">
        <v>6376</v>
      </c>
      <c r="B503">
        <v>2</v>
      </c>
      <c r="C503" t="s">
        <v>1258</v>
      </c>
      <c r="D503">
        <v>12</v>
      </c>
      <c r="E503" s="5">
        <v>45957.494444444441</v>
      </c>
      <c r="F503" t="s">
        <v>1259</v>
      </c>
      <c r="G503" t="s">
        <v>809</v>
      </c>
      <c r="H503" t="s">
        <v>182</v>
      </c>
      <c r="I503">
        <v>1</v>
      </c>
      <c r="J503">
        <v>74394103</v>
      </c>
      <c r="K503" s="5">
        <v>45957</v>
      </c>
      <c r="L503" s="3">
        <v>7000</v>
      </c>
      <c r="M503" t="s">
        <v>1260</v>
      </c>
      <c r="N503" t="s">
        <v>56</v>
      </c>
      <c r="O503" t="s">
        <v>1261</v>
      </c>
      <c r="P503" s="3">
        <v>5500</v>
      </c>
      <c r="Q503">
        <v>12</v>
      </c>
      <c r="R503" t="s">
        <v>1262</v>
      </c>
      <c r="S503" t="s">
        <v>1263</v>
      </c>
      <c r="T503" t="s">
        <v>1264</v>
      </c>
      <c r="U503" t="s">
        <v>450</v>
      </c>
      <c r="V503" s="3">
        <f>Tabla1[[#This Row],[OS-Valor Unitario]]-Tabla1[[#This Row],[costo_antes_iva]]</f>
        <v>-1500</v>
      </c>
      <c r="W503" s="3">
        <f>Tabla1[[#This Row],[OS-Valor Unitario]]*Tabla1[[#This Row],[OS-Cantidad]]</f>
        <v>66000</v>
      </c>
      <c r="X503" s="3">
        <f>Tabla1[[#This Row],[costo_antes_iva]]*Tabla1[[#This Row],[OS-Cantidad]]</f>
        <v>84000</v>
      </c>
      <c r="Y503" s="3">
        <f>Tabla1[[#This Row],[Valor total OS]]-Tabla1[[#This Row],[valor total op]]</f>
        <v>-18000</v>
      </c>
    </row>
    <row r="504" spans="1:25" x14ac:dyDescent="0.3">
      <c r="A504">
        <v>6376</v>
      </c>
      <c r="B504">
        <v>2</v>
      </c>
      <c r="C504" t="s">
        <v>1258</v>
      </c>
      <c r="D504">
        <v>12</v>
      </c>
      <c r="E504" s="5">
        <v>45957.494444444441</v>
      </c>
      <c r="F504" t="s">
        <v>1259</v>
      </c>
      <c r="G504" t="s">
        <v>809</v>
      </c>
      <c r="H504" t="s">
        <v>182</v>
      </c>
      <c r="I504">
        <v>1</v>
      </c>
      <c r="J504">
        <v>74394103</v>
      </c>
      <c r="K504" s="5">
        <v>45957</v>
      </c>
      <c r="L504" s="3">
        <v>7000</v>
      </c>
      <c r="M504" t="s">
        <v>1260</v>
      </c>
      <c r="N504" t="s">
        <v>56</v>
      </c>
      <c r="O504" t="s">
        <v>1261</v>
      </c>
      <c r="P504" s="3">
        <v>5500</v>
      </c>
      <c r="Q504">
        <v>12</v>
      </c>
      <c r="R504" t="s">
        <v>1262</v>
      </c>
      <c r="S504" t="s">
        <v>1263</v>
      </c>
      <c r="T504" t="s">
        <v>1265</v>
      </c>
      <c r="U504" t="s">
        <v>31</v>
      </c>
      <c r="V504" s="3">
        <f>Tabla1[[#This Row],[OS-Valor Unitario]]-Tabla1[[#This Row],[costo_antes_iva]]</f>
        <v>-1500</v>
      </c>
      <c r="W504" s="3">
        <f>Tabla1[[#This Row],[OS-Valor Unitario]]*Tabla1[[#This Row],[OS-Cantidad]]</f>
        <v>66000</v>
      </c>
      <c r="X504" s="3">
        <f>Tabla1[[#This Row],[costo_antes_iva]]*Tabla1[[#This Row],[OS-Cantidad]]</f>
        <v>84000</v>
      </c>
      <c r="Y504" s="3">
        <f>Tabla1[[#This Row],[Valor total OS]]-Tabla1[[#This Row],[valor total op]]</f>
        <v>-18000</v>
      </c>
    </row>
    <row r="505" spans="1:25" x14ac:dyDescent="0.3">
      <c r="A505">
        <v>6376</v>
      </c>
      <c r="B505">
        <v>3</v>
      </c>
      <c r="C505" t="s">
        <v>1266</v>
      </c>
      <c r="D505">
        <v>4</v>
      </c>
      <c r="E505" s="5">
        <v>45957.494444444441</v>
      </c>
      <c r="F505" t="s">
        <v>1267</v>
      </c>
      <c r="G505" t="s">
        <v>818</v>
      </c>
      <c r="H505" t="s">
        <v>182</v>
      </c>
      <c r="I505">
        <v>1</v>
      </c>
      <c r="J505">
        <v>74394176</v>
      </c>
      <c r="K505" s="5">
        <v>45957</v>
      </c>
      <c r="L505" s="3">
        <v>17000</v>
      </c>
      <c r="M505" t="s">
        <v>1260</v>
      </c>
      <c r="N505" t="s">
        <v>56</v>
      </c>
      <c r="O505" t="s">
        <v>1268</v>
      </c>
      <c r="P505" s="3">
        <v>17500</v>
      </c>
      <c r="Q505">
        <v>4</v>
      </c>
      <c r="R505" t="s">
        <v>1269</v>
      </c>
      <c r="S505" t="s">
        <v>1263</v>
      </c>
      <c r="T505" t="s">
        <v>1264</v>
      </c>
      <c r="U505" t="s">
        <v>450</v>
      </c>
      <c r="V505" s="3">
        <f>Tabla1[[#This Row],[OS-Valor Unitario]]-Tabla1[[#This Row],[costo_antes_iva]]</f>
        <v>500</v>
      </c>
      <c r="W505" s="3">
        <f>Tabla1[[#This Row],[OS-Valor Unitario]]*Tabla1[[#This Row],[OS-Cantidad]]</f>
        <v>70000</v>
      </c>
      <c r="X505" s="3">
        <f>Tabla1[[#This Row],[costo_antes_iva]]*Tabla1[[#This Row],[OS-Cantidad]]</f>
        <v>68000</v>
      </c>
      <c r="Y505" s="3">
        <f>Tabla1[[#This Row],[Valor total OS]]-Tabla1[[#This Row],[valor total op]]</f>
        <v>2000</v>
      </c>
    </row>
    <row r="506" spans="1:25" x14ac:dyDescent="0.3">
      <c r="A506">
        <v>6376</v>
      </c>
      <c r="B506">
        <v>3</v>
      </c>
      <c r="C506" t="s">
        <v>1266</v>
      </c>
      <c r="D506">
        <v>4</v>
      </c>
      <c r="E506" s="5">
        <v>45957.494444444441</v>
      </c>
      <c r="F506" t="s">
        <v>1267</v>
      </c>
      <c r="G506" t="s">
        <v>818</v>
      </c>
      <c r="H506" t="s">
        <v>182</v>
      </c>
      <c r="I506">
        <v>1</v>
      </c>
      <c r="J506">
        <v>74394176</v>
      </c>
      <c r="K506" s="5">
        <v>45957</v>
      </c>
      <c r="L506" s="3">
        <v>17000</v>
      </c>
      <c r="M506" t="s">
        <v>1260</v>
      </c>
      <c r="N506" t="s">
        <v>56</v>
      </c>
      <c r="O506" t="s">
        <v>1268</v>
      </c>
      <c r="P506" s="3">
        <v>17500</v>
      </c>
      <c r="Q506">
        <v>4</v>
      </c>
      <c r="R506" t="s">
        <v>1269</v>
      </c>
      <c r="S506" t="s">
        <v>1263</v>
      </c>
      <c r="T506" t="s">
        <v>1265</v>
      </c>
      <c r="U506" t="s">
        <v>31</v>
      </c>
      <c r="V506" s="3">
        <f>Tabla1[[#This Row],[OS-Valor Unitario]]-Tabla1[[#This Row],[costo_antes_iva]]</f>
        <v>500</v>
      </c>
      <c r="W506" s="3">
        <f>Tabla1[[#This Row],[OS-Valor Unitario]]*Tabla1[[#This Row],[OS-Cantidad]]</f>
        <v>70000</v>
      </c>
      <c r="X506" s="3">
        <f>Tabla1[[#This Row],[costo_antes_iva]]*Tabla1[[#This Row],[OS-Cantidad]]</f>
        <v>68000</v>
      </c>
      <c r="Y506" s="3">
        <f>Tabla1[[#This Row],[Valor total OS]]-Tabla1[[#This Row],[valor total op]]</f>
        <v>2000</v>
      </c>
    </row>
    <row r="507" spans="1:25" x14ac:dyDescent="0.3">
      <c r="A507">
        <v>6376</v>
      </c>
      <c r="B507">
        <v>3</v>
      </c>
      <c r="C507" t="s">
        <v>1266</v>
      </c>
      <c r="D507">
        <v>4</v>
      </c>
      <c r="E507" s="5">
        <v>45957.494444444441</v>
      </c>
      <c r="F507" t="s">
        <v>1267</v>
      </c>
      <c r="G507" t="s">
        <v>818</v>
      </c>
      <c r="H507" t="s">
        <v>182</v>
      </c>
      <c r="I507">
        <v>1</v>
      </c>
      <c r="J507">
        <v>74394176</v>
      </c>
      <c r="K507" s="5">
        <v>45957</v>
      </c>
      <c r="L507" s="3">
        <v>1600</v>
      </c>
      <c r="M507" t="s">
        <v>1260</v>
      </c>
      <c r="N507" t="s">
        <v>26</v>
      </c>
      <c r="O507" t="s">
        <v>1268</v>
      </c>
      <c r="P507" s="3">
        <v>1400</v>
      </c>
      <c r="Q507">
        <v>4</v>
      </c>
      <c r="R507" t="s">
        <v>1270</v>
      </c>
      <c r="S507" t="s">
        <v>1263</v>
      </c>
      <c r="T507" t="s">
        <v>1264</v>
      </c>
      <c r="U507" t="s">
        <v>450</v>
      </c>
      <c r="V507" s="3">
        <f>Tabla1[[#This Row],[OS-Valor Unitario]]-Tabla1[[#This Row],[costo_antes_iva]]</f>
        <v>-200</v>
      </c>
      <c r="W507" s="3">
        <f>Tabla1[[#This Row],[OS-Valor Unitario]]*Tabla1[[#This Row],[OS-Cantidad]]</f>
        <v>5600</v>
      </c>
      <c r="X507" s="3">
        <f>Tabla1[[#This Row],[costo_antes_iva]]*Tabla1[[#This Row],[OS-Cantidad]]</f>
        <v>6400</v>
      </c>
      <c r="Y507" s="3">
        <f>Tabla1[[#This Row],[Valor total OS]]-Tabla1[[#This Row],[valor total op]]</f>
        <v>-800</v>
      </c>
    </row>
    <row r="508" spans="1:25" x14ac:dyDescent="0.3">
      <c r="A508">
        <v>6376</v>
      </c>
      <c r="B508">
        <v>3</v>
      </c>
      <c r="C508" t="s">
        <v>1266</v>
      </c>
      <c r="D508">
        <v>4</v>
      </c>
      <c r="E508" s="5">
        <v>45957.494444444441</v>
      </c>
      <c r="F508" t="s">
        <v>1267</v>
      </c>
      <c r="G508" t="s">
        <v>818</v>
      </c>
      <c r="H508" t="s">
        <v>182</v>
      </c>
      <c r="I508">
        <v>1</v>
      </c>
      <c r="J508">
        <v>74394176</v>
      </c>
      <c r="K508" s="5">
        <v>45957</v>
      </c>
      <c r="L508" s="3">
        <v>1600</v>
      </c>
      <c r="M508" t="s">
        <v>1260</v>
      </c>
      <c r="N508" t="s">
        <v>26</v>
      </c>
      <c r="O508" t="s">
        <v>1268</v>
      </c>
      <c r="P508" s="3">
        <v>1400</v>
      </c>
      <c r="Q508">
        <v>4</v>
      </c>
      <c r="R508" t="s">
        <v>1270</v>
      </c>
      <c r="S508" t="s">
        <v>1263</v>
      </c>
      <c r="T508" t="s">
        <v>1265</v>
      </c>
      <c r="U508" t="s">
        <v>31</v>
      </c>
      <c r="V508" s="3">
        <f>Tabla1[[#This Row],[OS-Valor Unitario]]-Tabla1[[#This Row],[costo_antes_iva]]</f>
        <v>-200</v>
      </c>
      <c r="W508" s="3">
        <f>Tabla1[[#This Row],[OS-Valor Unitario]]*Tabla1[[#This Row],[OS-Cantidad]]</f>
        <v>5600</v>
      </c>
      <c r="X508" s="3">
        <f>Tabla1[[#This Row],[costo_antes_iva]]*Tabla1[[#This Row],[OS-Cantidad]]</f>
        <v>6400</v>
      </c>
      <c r="Y508" s="3">
        <f>Tabla1[[#This Row],[Valor total OS]]-Tabla1[[#This Row],[valor total op]]</f>
        <v>-800</v>
      </c>
    </row>
    <row r="509" spans="1:25" x14ac:dyDescent="0.3">
      <c r="A509">
        <v>6376</v>
      </c>
      <c r="B509">
        <v>4</v>
      </c>
      <c r="C509" t="s">
        <v>1271</v>
      </c>
      <c r="D509">
        <v>4</v>
      </c>
      <c r="E509" s="5">
        <v>45957.494444444441</v>
      </c>
      <c r="F509" t="s">
        <v>1272</v>
      </c>
      <c r="G509" t="s">
        <v>818</v>
      </c>
      <c r="H509" t="s">
        <v>182</v>
      </c>
      <c r="I509">
        <v>1</v>
      </c>
      <c r="J509">
        <v>74394188</v>
      </c>
      <c r="K509" s="5">
        <v>45957</v>
      </c>
      <c r="L509" s="3">
        <v>17000</v>
      </c>
      <c r="M509" t="s">
        <v>1260</v>
      </c>
      <c r="N509" t="s">
        <v>56</v>
      </c>
      <c r="O509" t="s">
        <v>1273</v>
      </c>
      <c r="P509" s="3">
        <v>17500</v>
      </c>
      <c r="Q509">
        <v>4</v>
      </c>
      <c r="R509" t="s">
        <v>1274</v>
      </c>
      <c r="S509" t="s">
        <v>1263</v>
      </c>
      <c r="T509" t="s">
        <v>1264</v>
      </c>
      <c r="U509" t="s">
        <v>450</v>
      </c>
      <c r="V509" s="3">
        <f>Tabla1[[#This Row],[OS-Valor Unitario]]-Tabla1[[#This Row],[costo_antes_iva]]</f>
        <v>500</v>
      </c>
      <c r="W509" s="3">
        <f>Tabla1[[#This Row],[OS-Valor Unitario]]*Tabla1[[#This Row],[OS-Cantidad]]</f>
        <v>70000</v>
      </c>
      <c r="X509" s="3">
        <f>Tabla1[[#This Row],[costo_antes_iva]]*Tabla1[[#This Row],[OS-Cantidad]]</f>
        <v>68000</v>
      </c>
      <c r="Y509" s="3">
        <f>Tabla1[[#This Row],[Valor total OS]]-Tabla1[[#This Row],[valor total op]]</f>
        <v>2000</v>
      </c>
    </row>
    <row r="510" spans="1:25" x14ac:dyDescent="0.3">
      <c r="A510">
        <v>6376</v>
      </c>
      <c r="B510">
        <v>4</v>
      </c>
      <c r="C510" t="s">
        <v>1271</v>
      </c>
      <c r="D510">
        <v>4</v>
      </c>
      <c r="E510" s="5">
        <v>45957.494444444441</v>
      </c>
      <c r="F510" t="s">
        <v>1272</v>
      </c>
      <c r="G510" t="s">
        <v>818</v>
      </c>
      <c r="H510" t="s">
        <v>182</v>
      </c>
      <c r="I510">
        <v>1</v>
      </c>
      <c r="J510">
        <v>74394188</v>
      </c>
      <c r="K510" s="5">
        <v>45957</v>
      </c>
      <c r="L510" s="3">
        <v>17000</v>
      </c>
      <c r="M510" t="s">
        <v>1260</v>
      </c>
      <c r="N510" t="s">
        <v>56</v>
      </c>
      <c r="O510" t="s">
        <v>1273</v>
      </c>
      <c r="P510" s="3">
        <v>17500</v>
      </c>
      <c r="Q510">
        <v>4</v>
      </c>
      <c r="R510" t="s">
        <v>1274</v>
      </c>
      <c r="S510" t="s">
        <v>1263</v>
      </c>
      <c r="T510" t="s">
        <v>1265</v>
      </c>
      <c r="U510" t="s">
        <v>31</v>
      </c>
      <c r="V510" s="3">
        <f>Tabla1[[#This Row],[OS-Valor Unitario]]-Tabla1[[#This Row],[costo_antes_iva]]</f>
        <v>500</v>
      </c>
      <c r="W510" s="3">
        <f>Tabla1[[#This Row],[OS-Valor Unitario]]*Tabla1[[#This Row],[OS-Cantidad]]</f>
        <v>70000</v>
      </c>
      <c r="X510" s="3">
        <f>Tabla1[[#This Row],[costo_antes_iva]]*Tabla1[[#This Row],[OS-Cantidad]]</f>
        <v>68000</v>
      </c>
      <c r="Y510" s="3">
        <f>Tabla1[[#This Row],[Valor total OS]]-Tabla1[[#This Row],[valor total op]]</f>
        <v>2000</v>
      </c>
    </row>
    <row r="511" spans="1:25" x14ac:dyDescent="0.3">
      <c r="A511">
        <v>6376</v>
      </c>
      <c r="B511">
        <v>4</v>
      </c>
      <c r="C511" t="s">
        <v>1271</v>
      </c>
      <c r="D511">
        <v>4</v>
      </c>
      <c r="E511" s="5">
        <v>45957.494444444441</v>
      </c>
      <c r="F511" t="s">
        <v>1272</v>
      </c>
      <c r="G511" t="s">
        <v>818</v>
      </c>
      <c r="H511" t="s">
        <v>182</v>
      </c>
      <c r="I511">
        <v>1</v>
      </c>
      <c r="J511">
        <v>74394188</v>
      </c>
      <c r="K511" s="5">
        <v>45957</v>
      </c>
      <c r="L511" s="3">
        <v>1600</v>
      </c>
      <c r="M511" t="s">
        <v>1260</v>
      </c>
      <c r="N511" t="s">
        <v>26</v>
      </c>
      <c r="O511" t="s">
        <v>1273</v>
      </c>
      <c r="P511" s="3">
        <v>1400</v>
      </c>
      <c r="Q511">
        <v>4</v>
      </c>
      <c r="R511" t="s">
        <v>1275</v>
      </c>
      <c r="S511" t="s">
        <v>1263</v>
      </c>
      <c r="T511" t="s">
        <v>1264</v>
      </c>
      <c r="U511" t="s">
        <v>450</v>
      </c>
      <c r="V511" s="3">
        <f>Tabla1[[#This Row],[OS-Valor Unitario]]-Tabla1[[#This Row],[costo_antes_iva]]</f>
        <v>-200</v>
      </c>
      <c r="W511" s="3">
        <f>Tabla1[[#This Row],[OS-Valor Unitario]]*Tabla1[[#This Row],[OS-Cantidad]]</f>
        <v>5600</v>
      </c>
      <c r="X511" s="3">
        <f>Tabla1[[#This Row],[costo_antes_iva]]*Tabla1[[#This Row],[OS-Cantidad]]</f>
        <v>6400</v>
      </c>
      <c r="Y511" s="3">
        <f>Tabla1[[#This Row],[Valor total OS]]-Tabla1[[#This Row],[valor total op]]</f>
        <v>-800</v>
      </c>
    </row>
    <row r="512" spans="1:25" x14ac:dyDescent="0.3">
      <c r="A512">
        <v>6376</v>
      </c>
      <c r="B512">
        <v>4</v>
      </c>
      <c r="C512" t="s">
        <v>1271</v>
      </c>
      <c r="D512">
        <v>4</v>
      </c>
      <c r="E512" s="5">
        <v>45957.494444444441</v>
      </c>
      <c r="F512" t="s">
        <v>1272</v>
      </c>
      <c r="G512" t="s">
        <v>818</v>
      </c>
      <c r="H512" t="s">
        <v>182</v>
      </c>
      <c r="I512">
        <v>1</v>
      </c>
      <c r="J512">
        <v>74394188</v>
      </c>
      <c r="K512" s="5">
        <v>45957</v>
      </c>
      <c r="L512" s="3">
        <v>1600</v>
      </c>
      <c r="M512" t="s">
        <v>1260</v>
      </c>
      <c r="N512" t="s">
        <v>26</v>
      </c>
      <c r="O512" t="s">
        <v>1273</v>
      </c>
      <c r="P512" s="3">
        <v>1400</v>
      </c>
      <c r="Q512">
        <v>4</v>
      </c>
      <c r="R512" t="s">
        <v>1275</v>
      </c>
      <c r="S512" t="s">
        <v>1263</v>
      </c>
      <c r="T512" t="s">
        <v>1265</v>
      </c>
      <c r="U512" t="s">
        <v>31</v>
      </c>
      <c r="V512" s="3">
        <f>Tabla1[[#This Row],[OS-Valor Unitario]]-Tabla1[[#This Row],[costo_antes_iva]]</f>
        <v>-200</v>
      </c>
      <c r="W512" s="3">
        <f>Tabla1[[#This Row],[OS-Valor Unitario]]*Tabla1[[#This Row],[OS-Cantidad]]</f>
        <v>5600</v>
      </c>
      <c r="X512" s="3">
        <f>Tabla1[[#This Row],[costo_antes_iva]]*Tabla1[[#This Row],[OS-Cantidad]]</f>
        <v>6400</v>
      </c>
      <c r="Y512" s="3">
        <f>Tabla1[[#This Row],[Valor total OS]]-Tabla1[[#This Row],[valor total op]]</f>
        <v>-800</v>
      </c>
    </row>
    <row r="513" spans="1:25" x14ac:dyDescent="0.3">
      <c r="A513">
        <v>6376</v>
      </c>
      <c r="B513">
        <v>5</v>
      </c>
      <c r="C513" t="s">
        <v>1276</v>
      </c>
      <c r="D513">
        <v>4</v>
      </c>
      <c r="E513" s="5">
        <v>45957.494444444441</v>
      </c>
      <c r="F513" t="s">
        <v>1277</v>
      </c>
      <c r="G513" t="s">
        <v>818</v>
      </c>
      <c r="H513" t="s">
        <v>182</v>
      </c>
      <c r="I513">
        <v>1</v>
      </c>
      <c r="J513">
        <v>74397403</v>
      </c>
      <c r="K513" s="5">
        <v>45957</v>
      </c>
      <c r="L513" s="3">
        <v>17000</v>
      </c>
      <c r="M513" t="s">
        <v>1278</v>
      </c>
      <c r="N513" t="s">
        <v>56</v>
      </c>
      <c r="O513" t="s">
        <v>1279</v>
      </c>
      <c r="P513" s="3">
        <v>17500</v>
      </c>
      <c r="Q513">
        <v>4</v>
      </c>
      <c r="R513" t="s">
        <v>1280</v>
      </c>
      <c r="S513" t="s">
        <v>1263</v>
      </c>
      <c r="T513" t="s">
        <v>1264</v>
      </c>
      <c r="U513" t="s">
        <v>450</v>
      </c>
      <c r="V513" s="3">
        <f>Tabla1[[#This Row],[OS-Valor Unitario]]-Tabla1[[#This Row],[costo_antes_iva]]</f>
        <v>500</v>
      </c>
      <c r="W513" s="3">
        <f>Tabla1[[#This Row],[OS-Valor Unitario]]*Tabla1[[#This Row],[OS-Cantidad]]</f>
        <v>70000</v>
      </c>
      <c r="X513" s="3">
        <f>Tabla1[[#This Row],[costo_antes_iva]]*Tabla1[[#This Row],[OS-Cantidad]]</f>
        <v>68000</v>
      </c>
      <c r="Y513" s="3">
        <f>Tabla1[[#This Row],[Valor total OS]]-Tabla1[[#This Row],[valor total op]]</f>
        <v>2000</v>
      </c>
    </row>
    <row r="514" spans="1:25" x14ac:dyDescent="0.3">
      <c r="A514">
        <v>6376</v>
      </c>
      <c r="B514">
        <v>5</v>
      </c>
      <c r="C514" t="s">
        <v>1276</v>
      </c>
      <c r="D514">
        <v>4</v>
      </c>
      <c r="E514" s="5">
        <v>45957.494444444441</v>
      </c>
      <c r="F514" t="s">
        <v>1277</v>
      </c>
      <c r="G514" t="s">
        <v>818</v>
      </c>
      <c r="H514" t="s">
        <v>182</v>
      </c>
      <c r="I514">
        <v>1</v>
      </c>
      <c r="J514">
        <v>74397403</v>
      </c>
      <c r="K514" s="5">
        <v>45957</v>
      </c>
      <c r="L514" s="3">
        <v>17000</v>
      </c>
      <c r="M514" t="s">
        <v>1278</v>
      </c>
      <c r="N514" t="s">
        <v>56</v>
      </c>
      <c r="O514" t="s">
        <v>1279</v>
      </c>
      <c r="P514" s="3">
        <v>17500</v>
      </c>
      <c r="Q514">
        <v>4</v>
      </c>
      <c r="R514" t="s">
        <v>1280</v>
      </c>
      <c r="S514" t="s">
        <v>1263</v>
      </c>
      <c r="T514" t="s">
        <v>1265</v>
      </c>
      <c r="U514" t="s">
        <v>31</v>
      </c>
      <c r="V514" s="3">
        <f>Tabla1[[#This Row],[OS-Valor Unitario]]-Tabla1[[#This Row],[costo_antes_iva]]</f>
        <v>500</v>
      </c>
      <c r="W514" s="3">
        <f>Tabla1[[#This Row],[OS-Valor Unitario]]*Tabla1[[#This Row],[OS-Cantidad]]</f>
        <v>70000</v>
      </c>
      <c r="X514" s="3">
        <f>Tabla1[[#This Row],[costo_antes_iva]]*Tabla1[[#This Row],[OS-Cantidad]]</f>
        <v>68000</v>
      </c>
      <c r="Y514" s="3">
        <f>Tabla1[[#This Row],[Valor total OS]]-Tabla1[[#This Row],[valor total op]]</f>
        <v>2000</v>
      </c>
    </row>
    <row r="515" spans="1:25" x14ac:dyDescent="0.3">
      <c r="A515">
        <v>6376</v>
      </c>
      <c r="B515">
        <v>5</v>
      </c>
      <c r="C515" t="s">
        <v>1276</v>
      </c>
      <c r="D515">
        <v>4</v>
      </c>
      <c r="E515" s="5">
        <v>45957.494444444441</v>
      </c>
      <c r="F515" t="s">
        <v>1277</v>
      </c>
      <c r="G515" t="s">
        <v>818</v>
      </c>
      <c r="H515" t="s">
        <v>182</v>
      </c>
      <c r="I515">
        <v>1</v>
      </c>
      <c r="J515">
        <v>74397403</v>
      </c>
      <c r="K515" s="5">
        <v>45957</v>
      </c>
      <c r="L515" s="3">
        <v>1600</v>
      </c>
      <c r="M515" t="s">
        <v>1278</v>
      </c>
      <c r="N515" t="s">
        <v>26</v>
      </c>
      <c r="O515" t="s">
        <v>1279</v>
      </c>
      <c r="P515" s="3">
        <v>1400</v>
      </c>
      <c r="Q515">
        <v>4</v>
      </c>
      <c r="R515" t="s">
        <v>1281</v>
      </c>
      <c r="S515" t="s">
        <v>1263</v>
      </c>
      <c r="T515" t="s">
        <v>1264</v>
      </c>
      <c r="U515" t="s">
        <v>450</v>
      </c>
      <c r="V515" s="3">
        <f>Tabla1[[#This Row],[OS-Valor Unitario]]-Tabla1[[#This Row],[costo_antes_iva]]</f>
        <v>-200</v>
      </c>
      <c r="W515" s="3">
        <f>Tabla1[[#This Row],[OS-Valor Unitario]]*Tabla1[[#This Row],[OS-Cantidad]]</f>
        <v>5600</v>
      </c>
      <c r="X515" s="3">
        <f>Tabla1[[#This Row],[costo_antes_iva]]*Tabla1[[#This Row],[OS-Cantidad]]</f>
        <v>6400</v>
      </c>
      <c r="Y515" s="3">
        <f>Tabla1[[#This Row],[Valor total OS]]-Tabla1[[#This Row],[valor total op]]</f>
        <v>-800</v>
      </c>
    </row>
    <row r="516" spans="1:25" x14ac:dyDescent="0.3">
      <c r="A516">
        <v>6376</v>
      </c>
      <c r="B516">
        <v>5</v>
      </c>
      <c r="C516" t="s">
        <v>1276</v>
      </c>
      <c r="D516">
        <v>4</v>
      </c>
      <c r="E516" s="5">
        <v>45957.494444444441</v>
      </c>
      <c r="F516" t="s">
        <v>1277</v>
      </c>
      <c r="G516" t="s">
        <v>818</v>
      </c>
      <c r="H516" t="s">
        <v>182</v>
      </c>
      <c r="I516">
        <v>1</v>
      </c>
      <c r="J516">
        <v>74397403</v>
      </c>
      <c r="K516" s="5">
        <v>45957</v>
      </c>
      <c r="L516" s="3">
        <v>1600</v>
      </c>
      <c r="M516" t="s">
        <v>1278</v>
      </c>
      <c r="N516" t="s">
        <v>26</v>
      </c>
      <c r="O516" t="s">
        <v>1279</v>
      </c>
      <c r="P516" s="3">
        <v>1400</v>
      </c>
      <c r="Q516">
        <v>4</v>
      </c>
      <c r="R516" t="s">
        <v>1281</v>
      </c>
      <c r="S516" t="s">
        <v>1263</v>
      </c>
      <c r="T516" t="s">
        <v>1265</v>
      </c>
      <c r="U516" t="s">
        <v>31</v>
      </c>
      <c r="V516" s="3">
        <f>Tabla1[[#This Row],[OS-Valor Unitario]]-Tabla1[[#This Row],[costo_antes_iva]]</f>
        <v>-200</v>
      </c>
      <c r="W516" s="3">
        <f>Tabla1[[#This Row],[OS-Valor Unitario]]*Tabla1[[#This Row],[OS-Cantidad]]</f>
        <v>5600</v>
      </c>
      <c r="X516" s="3">
        <f>Tabla1[[#This Row],[costo_antes_iva]]*Tabla1[[#This Row],[OS-Cantidad]]</f>
        <v>6400</v>
      </c>
      <c r="Y516" s="3">
        <f>Tabla1[[#This Row],[Valor total OS]]-Tabla1[[#This Row],[valor total op]]</f>
        <v>-800</v>
      </c>
    </row>
    <row r="517" spans="1:25" x14ac:dyDescent="0.3">
      <c r="A517">
        <v>6376</v>
      </c>
      <c r="B517">
        <v>6</v>
      </c>
      <c r="C517" t="s">
        <v>1282</v>
      </c>
      <c r="D517">
        <v>5</v>
      </c>
      <c r="E517" s="5">
        <v>45957.494444444441</v>
      </c>
      <c r="F517" t="s">
        <v>1283</v>
      </c>
      <c r="G517" t="s">
        <v>791</v>
      </c>
      <c r="H517" t="s">
        <v>182</v>
      </c>
      <c r="I517">
        <v>1</v>
      </c>
      <c r="J517">
        <v>74394200</v>
      </c>
      <c r="K517" s="5">
        <v>45957</v>
      </c>
      <c r="L517" s="3">
        <v>16000</v>
      </c>
      <c r="M517" t="s">
        <v>1260</v>
      </c>
      <c r="N517" t="s">
        <v>56</v>
      </c>
      <c r="O517" t="s">
        <v>1284</v>
      </c>
      <c r="P517" s="3">
        <v>16000</v>
      </c>
      <c r="Q517">
        <v>5</v>
      </c>
      <c r="R517" t="s">
        <v>1285</v>
      </c>
      <c r="S517" t="s">
        <v>1263</v>
      </c>
      <c r="T517" t="s">
        <v>1264</v>
      </c>
      <c r="U517" t="s">
        <v>450</v>
      </c>
      <c r="V517" s="3">
        <f>Tabla1[[#This Row],[OS-Valor Unitario]]-Tabla1[[#This Row],[costo_antes_iva]]</f>
        <v>0</v>
      </c>
      <c r="W517" s="3">
        <f>Tabla1[[#This Row],[OS-Valor Unitario]]*Tabla1[[#This Row],[OS-Cantidad]]</f>
        <v>80000</v>
      </c>
      <c r="X517" s="3">
        <f>Tabla1[[#This Row],[costo_antes_iva]]*Tabla1[[#This Row],[OS-Cantidad]]</f>
        <v>80000</v>
      </c>
      <c r="Y517" s="3">
        <f>Tabla1[[#This Row],[Valor total OS]]-Tabla1[[#This Row],[valor total op]]</f>
        <v>0</v>
      </c>
    </row>
    <row r="518" spans="1:25" x14ac:dyDescent="0.3">
      <c r="A518">
        <v>6376</v>
      </c>
      <c r="B518">
        <v>6</v>
      </c>
      <c r="C518" t="s">
        <v>1282</v>
      </c>
      <c r="D518">
        <v>5</v>
      </c>
      <c r="E518" s="5">
        <v>45957.494444444441</v>
      </c>
      <c r="F518" t="s">
        <v>1283</v>
      </c>
      <c r="G518" t="s">
        <v>791</v>
      </c>
      <c r="H518" t="s">
        <v>182</v>
      </c>
      <c r="I518">
        <v>1</v>
      </c>
      <c r="J518">
        <v>74394200</v>
      </c>
      <c r="K518" s="5">
        <v>45957</v>
      </c>
      <c r="L518" s="3">
        <v>16000</v>
      </c>
      <c r="M518" t="s">
        <v>1260</v>
      </c>
      <c r="N518" t="s">
        <v>56</v>
      </c>
      <c r="O518" t="s">
        <v>1284</v>
      </c>
      <c r="P518" s="3">
        <v>16000</v>
      </c>
      <c r="Q518">
        <v>5</v>
      </c>
      <c r="R518" t="s">
        <v>1285</v>
      </c>
      <c r="S518" t="s">
        <v>1263</v>
      </c>
      <c r="T518" t="s">
        <v>1265</v>
      </c>
      <c r="U518" t="s">
        <v>31</v>
      </c>
      <c r="V518" s="3">
        <f>Tabla1[[#This Row],[OS-Valor Unitario]]-Tabla1[[#This Row],[costo_antes_iva]]</f>
        <v>0</v>
      </c>
      <c r="W518" s="3">
        <f>Tabla1[[#This Row],[OS-Valor Unitario]]*Tabla1[[#This Row],[OS-Cantidad]]</f>
        <v>80000</v>
      </c>
      <c r="X518" s="3">
        <f>Tabla1[[#This Row],[costo_antes_iva]]*Tabla1[[#This Row],[OS-Cantidad]]</f>
        <v>80000</v>
      </c>
      <c r="Y518" s="3">
        <f>Tabla1[[#This Row],[Valor total OS]]-Tabla1[[#This Row],[valor total op]]</f>
        <v>0</v>
      </c>
    </row>
    <row r="519" spans="1:25" x14ac:dyDescent="0.3">
      <c r="A519">
        <v>6376</v>
      </c>
      <c r="B519">
        <v>6</v>
      </c>
      <c r="C519" t="s">
        <v>1282</v>
      </c>
      <c r="D519">
        <v>5</v>
      </c>
      <c r="E519" s="5">
        <v>45957.494444444441</v>
      </c>
      <c r="F519" t="s">
        <v>1283</v>
      </c>
      <c r="G519" t="s">
        <v>791</v>
      </c>
      <c r="H519" t="s">
        <v>182</v>
      </c>
      <c r="I519">
        <v>1</v>
      </c>
      <c r="J519">
        <v>74394200</v>
      </c>
      <c r="K519" s="5">
        <v>45957</v>
      </c>
      <c r="L519" s="3">
        <v>1600</v>
      </c>
      <c r="M519" t="s">
        <v>1260</v>
      </c>
      <c r="N519" t="s">
        <v>26</v>
      </c>
      <c r="O519" t="s">
        <v>1284</v>
      </c>
      <c r="P519" s="3">
        <v>1400</v>
      </c>
      <c r="Q519">
        <v>10</v>
      </c>
      <c r="R519" t="s">
        <v>1286</v>
      </c>
      <c r="S519" t="s">
        <v>1263</v>
      </c>
      <c r="T519" t="s">
        <v>1264</v>
      </c>
      <c r="U519" t="s">
        <v>450</v>
      </c>
      <c r="V519" s="3">
        <f>Tabla1[[#This Row],[OS-Valor Unitario]]-Tabla1[[#This Row],[costo_antes_iva]]</f>
        <v>-200</v>
      </c>
      <c r="W519" s="3">
        <f>Tabla1[[#This Row],[OS-Valor Unitario]]*Tabla1[[#This Row],[OS-Cantidad]]</f>
        <v>14000</v>
      </c>
      <c r="X519" s="3">
        <f>Tabla1[[#This Row],[costo_antes_iva]]*Tabla1[[#This Row],[OS-Cantidad]]</f>
        <v>16000</v>
      </c>
      <c r="Y519" s="3">
        <f>Tabla1[[#This Row],[Valor total OS]]-Tabla1[[#This Row],[valor total op]]</f>
        <v>-2000</v>
      </c>
    </row>
    <row r="520" spans="1:25" x14ac:dyDescent="0.3">
      <c r="A520">
        <v>6376</v>
      </c>
      <c r="B520">
        <v>6</v>
      </c>
      <c r="C520" t="s">
        <v>1282</v>
      </c>
      <c r="D520">
        <v>5</v>
      </c>
      <c r="E520" s="5">
        <v>45957.494444444441</v>
      </c>
      <c r="F520" t="s">
        <v>1283</v>
      </c>
      <c r="G520" t="s">
        <v>791</v>
      </c>
      <c r="H520" t="s">
        <v>182</v>
      </c>
      <c r="I520">
        <v>1</v>
      </c>
      <c r="J520">
        <v>74394200</v>
      </c>
      <c r="K520" s="5">
        <v>45957</v>
      </c>
      <c r="L520" s="3">
        <v>1600</v>
      </c>
      <c r="M520" t="s">
        <v>1260</v>
      </c>
      <c r="N520" t="s">
        <v>26</v>
      </c>
      <c r="O520" t="s">
        <v>1284</v>
      </c>
      <c r="P520" s="3">
        <v>1400</v>
      </c>
      <c r="Q520">
        <v>10</v>
      </c>
      <c r="R520" t="s">
        <v>1286</v>
      </c>
      <c r="S520" t="s">
        <v>1263</v>
      </c>
      <c r="T520" t="s">
        <v>1265</v>
      </c>
      <c r="U520" t="s">
        <v>31</v>
      </c>
      <c r="V520" s="3">
        <f>Tabla1[[#This Row],[OS-Valor Unitario]]-Tabla1[[#This Row],[costo_antes_iva]]</f>
        <v>-200</v>
      </c>
      <c r="W520" s="3">
        <f>Tabla1[[#This Row],[OS-Valor Unitario]]*Tabla1[[#This Row],[OS-Cantidad]]</f>
        <v>14000</v>
      </c>
      <c r="X520" s="3">
        <f>Tabla1[[#This Row],[costo_antes_iva]]*Tabla1[[#This Row],[OS-Cantidad]]</f>
        <v>16000</v>
      </c>
      <c r="Y520" s="3">
        <f>Tabla1[[#This Row],[Valor total OS]]-Tabla1[[#This Row],[valor total op]]</f>
        <v>-2000</v>
      </c>
    </row>
    <row r="521" spans="1:25" x14ac:dyDescent="0.3">
      <c r="A521">
        <v>6376</v>
      </c>
      <c r="B521">
        <v>6</v>
      </c>
      <c r="C521" t="s">
        <v>1282</v>
      </c>
      <c r="D521">
        <v>5</v>
      </c>
      <c r="E521" s="5">
        <v>45957.494444444441</v>
      </c>
      <c r="F521" t="s">
        <v>1283</v>
      </c>
      <c r="G521" t="s">
        <v>791</v>
      </c>
      <c r="H521" t="s">
        <v>182</v>
      </c>
      <c r="I521">
        <v>1</v>
      </c>
      <c r="J521">
        <v>74394200</v>
      </c>
      <c r="K521" s="5">
        <v>45957</v>
      </c>
      <c r="L521" s="3">
        <v>2000</v>
      </c>
      <c r="M521" t="s">
        <v>1260</v>
      </c>
      <c r="N521" t="s">
        <v>26</v>
      </c>
      <c r="O521" t="s">
        <v>1284</v>
      </c>
      <c r="P521" s="3">
        <v>1400</v>
      </c>
      <c r="Q521">
        <v>10</v>
      </c>
      <c r="R521" t="s">
        <v>1286</v>
      </c>
      <c r="S521" t="s">
        <v>1263</v>
      </c>
      <c r="T521" t="s">
        <v>1264</v>
      </c>
      <c r="U521" t="s">
        <v>450</v>
      </c>
      <c r="V521" s="3">
        <f>Tabla1[[#This Row],[OS-Valor Unitario]]-Tabla1[[#This Row],[costo_antes_iva]]</f>
        <v>-600</v>
      </c>
      <c r="W521" s="3">
        <f>Tabla1[[#This Row],[OS-Valor Unitario]]*Tabla1[[#This Row],[OS-Cantidad]]</f>
        <v>14000</v>
      </c>
      <c r="X521" s="3">
        <f>Tabla1[[#This Row],[costo_antes_iva]]*Tabla1[[#This Row],[OS-Cantidad]]</f>
        <v>20000</v>
      </c>
      <c r="Y521" s="3">
        <f>Tabla1[[#This Row],[Valor total OS]]-Tabla1[[#This Row],[valor total op]]</f>
        <v>-6000</v>
      </c>
    </row>
    <row r="522" spans="1:25" x14ac:dyDescent="0.3">
      <c r="A522">
        <v>6376</v>
      </c>
      <c r="B522">
        <v>6</v>
      </c>
      <c r="C522" t="s">
        <v>1282</v>
      </c>
      <c r="D522">
        <v>5</v>
      </c>
      <c r="E522" s="5">
        <v>45957.494444444441</v>
      </c>
      <c r="F522" t="s">
        <v>1283</v>
      </c>
      <c r="G522" t="s">
        <v>791</v>
      </c>
      <c r="H522" t="s">
        <v>182</v>
      </c>
      <c r="I522">
        <v>1</v>
      </c>
      <c r="J522">
        <v>74394200</v>
      </c>
      <c r="K522" s="5">
        <v>45957</v>
      </c>
      <c r="L522" s="3">
        <v>2000</v>
      </c>
      <c r="M522" t="s">
        <v>1260</v>
      </c>
      <c r="N522" t="s">
        <v>26</v>
      </c>
      <c r="O522" t="s">
        <v>1284</v>
      </c>
      <c r="P522" s="3">
        <v>1400</v>
      </c>
      <c r="Q522">
        <v>10</v>
      </c>
      <c r="R522" t="s">
        <v>1286</v>
      </c>
      <c r="S522" t="s">
        <v>1263</v>
      </c>
      <c r="T522" t="s">
        <v>1265</v>
      </c>
      <c r="U522" t="s">
        <v>31</v>
      </c>
      <c r="V522" s="3">
        <f>Tabla1[[#This Row],[OS-Valor Unitario]]-Tabla1[[#This Row],[costo_antes_iva]]</f>
        <v>-600</v>
      </c>
      <c r="W522" s="3">
        <f>Tabla1[[#This Row],[OS-Valor Unitario]]*Tabla1[[#This Row],[OS-Cantidad]]</f>
        <v>14000</v>
      </c>
      <c r="X522" s="3">
        <f>Tabla1[[#This Row],[costo_antes_iva]]*Tabla1[[#This Row],[OS-Cantidad]]</f>
        <v>20000</v>
      </c>
      <c r="Y522" s="3">
        <f>Tabla1[[#This Row],[Valor total OS]]-Tabla1[[#This Row],[valor total op]]</f>
        <v>-6000</v>
      </c>
    </row>
    <row r="523" spans="1:25" x14ac:dyDescent="0.3">
      <c r="A523">
        <v>6376</v>
      </c>
      <c r="B523">
        <v>7</v>
      </c>
      <c r="C523" t="s">
        <v>1287</v>
      </c>
      <c r="D523">
        <v>10</v>
      </c>
      <c r="E523" s="5">
        <v>45957.494444444441</v>
      </c>
      <c r="F523" t="s">
        <v>1288</v>
      </c>
      <c r="G523" t="s">
        <v>368</v>
      </c>
      <c r="H523" t="s">
        <v>182</v>
      </c>
      <c r="I523">
        <v>1</v>
      </c>
      <c r="J523">
        <v>74394251</v>
      </c>
      <c r="K523" s="5">
        <v>45957</v>
      </c>
      <c r="L523" s="3">
        <v>2500</v>
      </c>
      <c r="M523" t="s">
        <v>1260</v>
      </c>
      <c r="N523" t="s">
        <v>56</v>
      </c>
      <c r="O523" t="s">
        <v>1289</v>
      </c>
      <c r="P523" s="3">
        <v>2000</v>
      </c>
      <c r="Q523">
        <v>12</v>
      </c>
      <c r="R523" t="s">
        <v>1290</v>
      </c>
      <c r="S523" t="s">
        <v>1263</v>
      </c>
      <c r="T523" t="s">
        <v>1264</v>
      </c>
      <c r="U523" t="s">
        <v>450</v>
      </c>
      <c r="V523" s="3">
        <f>Tabla1[[#This Row],[OS-Valor Unitario]]-Tabla1[[#This Row],[costo_antes_iva]]</f>
        <v>-500</v>
      </c>
      <c r="W523" s="3">
        <f>Tabla1[[#This Row],[OS-Valor Unitario]]*Tabla1[[#This Row],[OS-Cantidad]]</f>
        <v>24000</v>
      </c>
      <c r="X523" s="3">
        <f>Tabla1[[#This Row],[costo_antes_iva]]*Tabla1[[#This Row],[OS-Cantidad]]</f>
        <v>30000</v>
      </c>
      <c r="Y523" s="3">
        <f>Tabla1[[#This Row],[Valor total OS]]-Tabla1[[#This Row],[valor total op]]</f>
        <v>-6000</v>
      </c>
    </row>
    <row r="524" spans="1:25" x14ac:dyDescent="0.3">
      <c r="A524">
        <v>6376</v>
      </c>
      <c r="B524">
        <v>7</v>
      </c>
      <c r="C524" t="s">
        <v>1287</v>
      </c>
      <c r="D524">
        <v>10</v>
      </c>
      <c r="E524" s="5">
        <v>45957.494444444441</v>
      </c>
      <c r="F524" t="s">
        <v>1288</v>
      </c>
      <c r="G524" t="s">
        <v>368</v>
      </c>
      <c r="H524" t="s">
        <v>182</v>
      </c>
      <c r="I524">
        <v>1</v>
      </c>
      <c r="J524">
        <v>74394251</v>
      </c>
      <c r="K524" s="5">
        <v>45957</v>
      </c>
      <c r="L524" s="3">
        <v>2500</v>
      </c>
      <c r="M524" t="s">
        <v>1260</v>
      </c>
      <c r="N524" t="s">
        <v>56</v>
      </c>
      <c r="O524" t="s">
        <v>1289</v>
      </c>
      <c r="P524" s="3">
        <v>2000</v>
      </c>
      <c r="Q524">
        <v>12</v>
      </c>
      <c r="R524" t="s">
        <v>1290</v>
      </c>
      <c r="S524" t="s">
        <v>1263</v>
      </c>
      <c r="T524" t="s">
        <v>1265</v>
      </c>
      <c r="U524" t="s">
        <v>31</v>
      </c>
      <c r="V524" s="3">
        <f>Tabla1[[#This Row],[OS-Valor Unitario]]-Tabla1[[#This Row],[costo_antes_iva]]</f>
        <v>-500</v>
      </c>
      <c r="W524" s="3">
        <f>Tabla1[[#This Row],[OS-Valor Unitario]]*Tabla1[[#This Row],[OS-Cantidad]]</f>
        <v>24000</v>
      </c>
      <c r="X524" s="3">
        <f>Tabla1[[#This Row],[costo_antes_iva]]*Tabla1[[#This Row],[OS-Cantidad]]</f>
        <v>30000</v>
      </c>
      <c r="Y524" s="3">
        <f>Tabla1[[#This Row],[Valor total OS]]-Tabla1[[#This Row],[valor total op]]</f>
        <v>-6000</v>
      </c>
    </row>
    <row r="525" spans="1:25" x14ac:dyDescent="0.3">
      <c r="A525">
        <v>6376</v>
      </c>
      <c r="B525">
        <v>8</v>
      </c>
      <c r="C525" t="s">
        <v>1291</v>
      </c>
      <c r="D525">
        <v>12</v>
      </c>
      <c r="E525" s="5">
        <v>45957.494444444441</v>
      </c>
      <c r="F525" t="s">
        <v>1292</v>
      </c>
      <c r="G525" t="s">
        <v>833</v>
      </c>
      <c r="H525" t="s">
        <v>182</v>
      </c>
      <c r="I525">
        <v>1</v>
      </c>
      <c r="J525">
        <v>74394272</v>
      </c>
      <c r="K525" s="5">
        <v>45957</v>
      </c>
      <c r="L525" s="3">
        <v>5000</v>
      </c>
      <c r="M525" t="s">
        <v>1260</v>
      </c>
      <c r="N525" t="s">
        <v>56</v>
      </c>
      <c r="O525" t="s">
        <v>1293</v>
      </c>
      <c r="P525" s="3">
        <v>5500</v>
      </c>
      <c r="Q525">
        <v>12</v>
      </c>
      <c r="R525" t="s">
        <v>1294</v>
      </c>
      <c r="S525" t="s">
        <v>1263</v>
      </c>
      <c r="T525" t="s">
        <v>1264</v>
      </c>
      <c r="U525" t="s">
        <v>450</v>
      </c>
      <c r="V525" s="3">
        <f>Tabla1[[#This Row],[OS-Valor Unitario]]-Tabla1[[#This Row],[costo_antes_iva]]</f>
        <v>500</v>
      </c>
      <c r="W525" s="3">
        <f>Tabla1[[#This Row],[OS-Valor Unitario]]*Tabla1[[#This Row],[OS-Cantidad]]</f>
        <v>66000</v>
      </c>
      <c r="X525" s="3">
        <f>Tabla1[[#This Row],[costo_antes_iva]]*Tabla1[[#This Row],[OS-Cantidad]]</f>
        <v>60000</v>
      </c>
      <c r="Y525" s="3">
        <f>Tabla1[[#This Row],[Valor total OS]]-Tabla1[[#This Row],[valor total op]]</f>
        <v>6000</v>
      </c>
    </row>
    <row r="526" spans="1:25" x14ac:dyDescent="0.3">
      <c r="A526">
        <v>6376</v>
      </c>
      <c r="B526">
        <v>8</v>
      </c>
      <c r="C526" t="s">
        <v>1291</v>
      </c>
      <c r="D526">
        <v>12</v>
      </c>
      <c r="E526" s="5">
        <v>45957.494444444441</v>
      </c>
      <c r="F526" t="s">
        <v>1292</v>
      </c>
      <c r="G526" t="s">
        <v>833</v>
      </c>
      <c r="H526" t="s">
        <v>182</v>
      </c>
      <c r="I526">
        <v>1</v>
      </c>
      <c r="J526">
        <v>74394272</v>
      </c>
      <c r="K526" s="5">
        <v>45957</v>
      </c>
      <c r="L526" s="3">
        <v>5000</v>
      </c>
      <c r="M526" t="s">
        <v>1260</v>
      </c>
      <c r="N526" t="s">
        <v>56</v>
      </c>
      <c r="O526" t="s">
        <v>1293</v>
      </c>
      <c r="P526" s="3">
        <v>5500</v>
      </c>
      <c r="Q526">
        <v>12</v>
      </c>
      <c r="R526" t="s">
        <v>1294</v>
      </c>
      <c r="S526" t="s">
        <v>1263</v>
      </c>
      <c r="T526" t="s">
        <v>1265</v>
      </c>
      <c r="U526" t="s">
        <v>31</v>
      </c>
      <c r="V526" s="3">
        <f>Tabla1[[#This Row],[OS-Valor Unitario]]-Tabla1[[#This Row],[costo_antes_iva]]</f>
        <v>500</v>
      </c>
      <c r="W526" s="3">
        <f>Tabla1[[#This Row],[OS-Valor Unitario]]*Tabla1[[#This Row],[OS-Cantidad]]</f>
        <v>66000</v>
      </c>
      <c r="X526" s="3">
        <f>Tabla1[[#This Row],[costo_antes_iva]]*Tabla1[[#This Row],[OS-Cantidad]]</f>
        <v>60000</v>
      </c>
      <c r="Y526" s="3">
        <f>Tabla1[[#This Row],[Valor total OS]]-Tabla1[[#This Row],[valor total op]]</f>
        <v>6000</v>
      </c>
    </row>
    <row r="527" spans="1:25" x14ac:dyDescent="0.3">
      <c r="A527">
        <v>6376</v>
      </c>
      <c r="B527">
        <v>11</v>
      </c>
      <c r="C527" t="s">
        <v>1295</v>
      </c>
      <c r="D527">
        <v>4</v>
      </c>
      <c r="E527" s="5">
        <v>45957.494444444441</v>
      </c>
      <c r="F527" t="s">
        <v>1296</v>
      </c>
      <c r="G527" t="s">
        <v>181</v>
      </c>
      <c r="H527" t="s">
        <v>182</v>
      </c>
      <c r="I527">
        <v>1</v>
      </c>
      <c r="J527">
        <v>74394291</v>
      </c>
      <c r="K527" s="5">
        <v>45957</v>
      </c>
      <c r="L527" s="3">
        <v>10000</v>
      </c>
      <c r="M527" t="s">
        <v>1260</v>
      </c>
      <c r="N527" t="s">
        <v>56</v>
      </c>
      <c r="O527" t="s">
        <v>1297</v>
      </c>
      <c r="P527" s="3">
        <v>10000</v>
      </c>
      <c r="Q527">
        <v>4</v>
      </c>
      <c r="R527" t="s">
        <v>1298</v>
      </c>
      <c r="S527" t="s">
        <v>1263</v>
      </c>
      <c r="T527" t="s">
        <v>1264</v>
      </c>
      <c r="U527" t="s">
        <v>450</v>
      </c>
      <c r="V527" s="3">
        <f>Tabla1[[#This Row],[OS-Valor Unitario]]-Tabla1[[#This Row],[costo_antes_iva]]</f>
        <v>0</v>
      </c>
      <c r="W527" s="3">
        <f>Tabla1[[#This Row],[OS-Valor Unitario]]*Tabla1[[#This Row],[OS-Cantidad]]</f>
        <v>40000</v>
      </c>
      <c r="X527" s="3">
        <f>Tabla1[[#This Row],[costo_antes_iva]]*Tabla1[[#This Row],[OS-Cantidad]]</f>
        <v>40000</v>
      </c>
      <c r="Y527" s="3">
        <f>Tabla1[[#This Row],[Valor total OS]]-Tabla1[[#This Row],[valor total op]]</f>
        <v>0</v>
      </c>
    </row>
    <row r="528" spans="1:25" x14ac:dyDescent="0.3">
      <c r="A528">
        <v>6376</v>
      </c>
      <c r="B528">
        <v>11</v>
      </c>
      <c r="C528" t="s">
        <v>1295</v>
      </c>
      <c r="D528">
        <v>4</v>
      </c>
      <c r="E528" s="5">
        <v>45957.494444444441</v>
      </c>
      <c r="F528" t="s">
        <v>1296</v>
      </c>
      <c r="G528" t="s">
        <v>181</v>
      </c>
      <c r="H528" t="s">
        <v>182</v>
      </c>
      <c r="I528">
        <v>1</v>
      </c>
      <c r="J528">
        <v>74394291</v>
      </c>
      <c r="K528" s="5">
        <v>45957</v>
      </c>
      <c r="L528" s="3">
        <v>10000</v>
      </c>
      <c r="M528" t="s">
        <v>1260</v>
      </c>
      <c r="N528" t="s">
        <v>56</v>
      </c>
      <c r="O528" t="s">
        <v>1297</v>
      </c>
      <c r="P528" s="3">
        <v>10000</v>
      </c>
      <c r="Q528">
        <v>4</v>
      </c>
      <c r="R528" t="s">
        <v>1298</v>
      </c>
      <c r="S528" t="s">
        <v>1263</v>
      </c>
      <c r="T528" t="s">
        <v>1265</v>
      </c>
      <c r="U528" t="s">
        <v>31</v>
      </c>
      <c r="V528" s="3">
        <f>Tabla1[[#This Row],[OS-Valor Unitario]]-Tabla1[[#This Row],[costo_antes_iva]]</f>
        <v>0</v>
      </c>
      <c r="W528" s="3">
        <f>Tabla1[[#This Row],[OS-Valor Unitario]]*Tabla1[[#This Row],[OS-Cantidad]]</f>
        <v>40000</v>
      </c>
      <c r="X528" s="3">
        <f>Tabla1[[#This Row],[costo_antes_iva]]*Tabla1[[#This Row],[OS-Cantidad]]</f>
        <v>40000</v>
      </c>
      <c r="Y528" s="3">
        <f>Tabla1[[#This Row],[Valor total OS]]-Tabla1[[#This Row],[valor total op]]</f>
        <v>0</v>
      </c>
    </row>
    <row r="529" spans="1:25" x14ac:dyDescent="0.3">
      <c r="A529">
        <v>6376</v>
      </c>
      <c r="B529">
        <v>12</v>
      </c>
      <c r="C529" t="s">
        <v>1299</v>
      </c>
      <c r="D529">
        <v>4</v>
      </c>
      <c r="E529" s="5">
        <v>45957.494444444441</v>
      </c>
      <c r="F529" t="s">
        <v>1300</v>
      </c>
      <c r="G529" t="s">
        <v>181</v>
      </c>
      <c r="H529" t="s">
        <v>182</v>
      </c>
      <c r="I529">
        <v>1</v>
      </c>
      <c r="J529">
        <v>74394496</v>
      </c>
      <c r="K529" s="5">
        <v>45957</v>
      </c>
      <c r="L529" s="3">
        <v>10000</v>
      </c>
      <c r="M529" t="s">
        <v>1260</v>
      </c>
      <c r="N529" t="s">
        <v>56</v>
      </c>
      <c r="O529" t="s">
        <v>1301</v>
      </c>
      <c r="P529" s="3">
        <v>10000</v>
      </c>
      <c r="Q529">
        <v>4</v>
      </c>
      <c r="R529" t="s">
        <v>1302</v>
      </c>
      <c r="S529" t="s">
        <v>1263</v>
      </c>
      <c r="T529" t="s">
        <v>1264</v>
      </c>
      <c r="U529" t="s">
        <v>450</v>
      </c>
      <c r="V529" s="3">
        <f>Tabla1[[#This Row],[OS-Valor Unitario]]-Tabla1[[#This Row],[costo_antes_iva]]</f>
        <v>0</v>
      </c>
      <c r="W529" s="3">
        <f>Tabla1[[#This Row],[OS-Valor Unitario]]*Tabla1[[#This Row],[OS-Cantidad]]</f>
        <v>40000</v>
      </c>
      <c r="X529" s="3">
        <f>Tabla1[[#This Row],[costo_antes_iva]]*Tabla1[[#This Row],[OS-Cantidad]]</f>
        <v>40000</v>
      </c>
      <c r="Y529" s="3">
        <f>Tabla1[[#This Row],[Valor total OS]]-Tabla1[[#This Row],[valor total op]]</f>
        <v>0</v>
      </c>
    </row>
    <row r="530" spans="1:25" x14ac:dyDescent="0.3">
      <c r="A530">
        <v>6376</v>
      </c>
      <c r="B530">
        <v>12</v>
      </c>
      <c r="C530" t="s">
        <v>1299</v>
      </c>
      <c r="D530">
        <v>4</v>
      </c>
      <c r="E530" s="5">
        <v>45957.494444444441</v>
      </c>
      <c r="F530" t="s">
        <v>1300</v>
      </c>
      <c r="G530" t="s">
        <v>181</v>
      </c>
      <c r="H530" t="s">
        <v>182</v>
      </c>
      <c r="I530">
        <v>1</v>
      </c>
      <c r="J530">
        <v>74394496</v>
      </c>
      <c r="K530" s="5">
        <v>45957</v>
      </c>
      <c r="L530" s="3">
        <v>10000</v>
      </c>
      <c r="M530" t="s">
        <v>1260</v>
      </c>
      <c r="N530" t="s">
        <v>56</v>
      </c>
      <c r="O530" t="s">
        <v>1301</v>
      </c>
      <c r="P530" s="3">
        <v>10000</v>
      </c>
      <c r="Q530">
        <v>4</v>
      </c>
      <c r="R530" t="s">
        <v>1302</v>
      </c>
      <c r="S530" t="s">
        <v>1263</v>
      </c>
      <c r="T530" t="s">
        <v>1265</v>
      </c>
      <c r="U530" t="s">
        <v>31</v>
      </c>
      <c r="V530" s="3">
        <f>Tabla1[[#This Row],[OS-Valor Unitario]]-Tabla1[[#This Row],[costo_antes_iva]]</f>
        <v>0</v>
      </c>
      <c r="W530" s="3">
        <f>Tabla1[[#This Row],[OS-Valor Unitario]]*Tabla1[[#This Row],[OS-Cantidad]]</f>
        <v>40000</v>
      </c>
      <c r="X530" s="3">
        <f>Tabla1[[#This Row],[costo_antes_iva]]*Tabla1[[#This Row],[OS-Cantidad]]</f>
        <v>40000</v>
      </c>
      <c r="Y530" s="3">
        <f>Tabla1[[#This Row],[Valor total OS]]-Tabla1[[#This Row],[valor total op]]</f>
        <v>0</v>
      </c>
    </row>
    <row r="531" spans="1:25" x14ac:dyDescent="0.3">
      <c r="A531">
        <v>6376</v>
      </c>
      <c r="B531">
        <v>13</v>
      </c>
      <c r="C531" t="s">
        <v>1303</v>
      </c>
      <c r="D531">
        <v>4</v>
      </c>
      <c r="E531" s="5">
        <v>45957.494444444441</v>
      </c>
      <c r="F531" t="s">
        <v>1304</v>
      </c>
      <c r="G531" t="s">
        <v>181</v>
      </c>
      <c r="H531" t="s">
        <v>182</v>
      </c>
      <c r="I531">
        <v>1</v>
      </c>
      <c r="J531">
        <v>74394506</v>
      </c>
      <c r="K531" s="5">
        <v>45957</v>
      </c>
      <c r="L531" s="3">
        <v>10000</v>
      </c>
      <c r="M531" t="s">
        <v>1260</v>
      </c>
      <c r="N531" t="s">
        <v>56</v>
      </c>
      <c r="O531" t="s">
        <v>1305</v>
      </c>
      <c r="P531" s="3">
        <v>10000</v>
      </c>
      <c r="Q531">
        <v>4</v>
      </c>
      <c r="R531" t="s">
        <v>1306</v>
      </c>
      <c r="S531" t="s">
        <v>1263</v>
      </c>
      <c r="T531" t="s">
        <v>1264</v>
      </c>
      <c r="U531" t="s">
        <v>450</v>
      </c>
      <c r="V531" s="3">
        <f>Tabla1[[#This Row],[OS-Valor Unitario]]-Tabla1[[#This Row],[costo_antes_iva]]</f>
        <v>0</v>
      </c>
      <c r="W531" s="3">
        <f>Tabla1[[#This Row],[OS-Valor Unitario]]*Tabla1[[#This Row],[OS-Cantidad]]</f>
        <v>40000</v>
      </c>
      <c r="X531" s="3">
        <f>Tabla1[[#This Row],[costo_antes_iva]]*Tabla1[[#This Row],[OS-Cantidad]]</f>
        <v>40000</v>
      </c>
      <c r="Y531" s="3">
        <f>Tabla1[[#This Row],[Valor total OS]]-Tabla1[[#This Row],[valor total op]]</f>
        <v>0</v>
      </c>
    </row>
    <row r="532" spans="1:25" x14ac:dyDescent="0.3">
      <c r="A532">
        <v>6376</v>
      </c>
      <c r="B532">
        <v>13</v>
      </c>
      <c r="C532" t="s">
        <v>1303</v>
      </c>
      <c r="D532">
        <v>4</v>
      </c>
      <c r="E532" s="5">
        <v>45957.494444444441</v>
      </c>
      <c r="F532" t="s">
        <v>1304</v>
      </c>
      <c r="G532" t="s">
        <v>181</v>
      </c>
      <c r="H532" t="s">
        <v>182</v>
      </c>
      <c r="I532">
        <v>1</v>
      </c>
      <c r="J532">
        <v>74394506</v>
      </c>
      <c r="K532" s="5">
        <v>45957</v>
      </c>
      <c r="L532" s="3">
        <v>10000</v>
      </c>
      <c r="M532" t="s">
        <v>1260</v>
      </c>
      <c r="N532" t="s">
        <v>56</v>
      </c>
      <c r="O532" t="s">
        <v>1305</v>
      </c>
      <c r="P532" s="3">
        <v>10000</v>
      </c>
      <c r="Q532">
        <v>4</v>
      </c>
      <c r="R532" t="s">
        <v>1306</v>
      </c>
      <c r="S532" t="s">
        <v>1263</v>
      </c>
      <c r="T532" t="s">
        <v>1265</v>
      </c>
      <c r="U532" t="s">
        <v>31</v>
      </c>
      <c r="V532" s="3">
        <f>Tabla1[[#This Row],[OS-Valor Unitario]]-Tabla1[[#This Row],[costo_antes_iva]]</f>
        <v>0</v>
      </c>
      <c r="W532" s="3">
        <f>Tabla1[[#This Row],[OS-Valor Unitario]]*Tabla1[[#This Row],[OS-Cantidad]]</f>
        <v>40000</v>
      </c>
      <c r="X532" s="3">
        <f>Tabla1[[#This Row],[costo_antes_iva]]*Tabla1[[#This Row],[OS-Cantidad]]</f>
        <v>40000</v>
      </c>
      <c r="Y532" s="3">
        <f>Tabla1[[#This Row],[Valor total OS]]-Tabla1[[#This Row],[valor total op]]</f>
        <v>0</v>
      </c>
    </row>
    <row r="533" spans="1:25" x14ac:dyDescent="0.3">
      <c r="A533">
        <v>6376</v>
      </c>
      <c r="B533">
        <v>14</v>
      </c>
      <c r="C533" t="s">
        <v>1307</v>
      </c>
      <c r="D533">
        <v>12</v>
      </c>
      <c r="E533" s="5">
        <v>45957.494444444441</v>
      </c>
      <c r="F533" t="s">
        <v>1308</v>
      </c>
      <c r="G533" t="s">
        <v>1309</v>
      </c>
      <c r="H533" t="s">
        <v>182</v>
      </c>
      <c r="I533">
        <v>1</v>
      </c>
      <c r="J533">
        <v>74394389</v>
      </c>
      <c r="K533" s="5">
        <v>45957</v>
      </c>
      <c r="L533" s="3">
        <v>5000</v>
      </c>
      <c r="M533" t="s">
        <v>1260</v>
      </c>
      <c r="N533" t="s">
        <v>56</v>
      </c>
      <c r="O533" t="s">
        <v>1310</v>
      </c>
      <c r="P533" s="3">
        <v>4500</v>
      </c>
      <c r="Q533">
        <v>12</v>
      </c>
      <c r="R533" t="s">
        <v>1311</v>
      </c>
      <c r="S533" t="s">
        <v>1263</v>
      </c>
      <c r="T533" t="s">
        <v>1264</v>
      </c>
      <c r="U533" t="s">
        <v>450</v>
      </c>
      <c r="V533" s="3">
        <f>Tabla1[[#This Row],[OS-Valor Unitario]]-Tabla1[[#This Row],[costo_antes_iva]]</f>
        <v>-500</v>
      </c>
      <c r="W533" s="3">
        <f>Tabla1[[#This Row],[OS-Valor Unitario]]*Tabla1[[#This Row],[OS-Cantidad]]</f>
        <v>54000</v>
      </c>
      <c r="X533" s="3">
        <f>Tabla1[[#This Row],[costo_antes_iva]]*Tabla1[[#This Row],[OS-Cantidad]]</f>
        <v>60000</v>
      </c>
      <c r="Y533" s="3">
        <f>Tabla1[[#This Row],[Valor total OS]]-Tabla1[[#This Row],[valor total op]]</f>
        <v>-6000</v>
      </c>
    </row>
    <row r="534" spans="1:25" x14ac:dyDescent="0.3">
      <c r="A534">
        <v>6376</v>
      </c>
      <c r="B534">
        <v>14</v>
      </c>
      <c r="C534" t="s">
        <v>1307</v>
      </c>
      <c r="D534">
        <v>12</v>
      </c>
      <c r="E534" s="5">
        <v>45957.494444444441</v>
      </c>
      <c r="F534" t="s">
        <v>1308</v>
      </c>
      <c r="G534" t="s">
        <v>1309</v>
      </c>
      <c r="H534" t="s">
        <v>182</v>
      </c>
      <c r="I534">
        <v>1</v>
      </c>
      <c r="J534">
        <v>74394389</v>
      </c>
      <c r="K534" s="5">
        <v>45957</v>
      </c>
      <c r="L534" s="3">
        <v>5000</v>
      </c>
      <c r="M534" t="s">
        <v>1260</v>
      </c>
      <c r="N534" t="s">
        <v>56</v>
      </c>
      <c r="O534" t="s">
        <v>1310</v>
      </c>
      <c r="P534" s="3">
        <v>4500</v>
      </c>
      <c r="Q534">
        <v>12</v>
      </c>
      <c r="R534" t="s">
        <v>1311</v>
      </c>
      <c r="S534" t="s">
        <v>1263</v>
      </c>
      <c r="T534" t="s">
        <v>1265</v>
      </c>
      <c r="U534" t="s">
        <v>31</v>
      </c>
      <c r="V534" s="3">
        <f>Tabla1[[#This Row],[OS-Valor Unitario]]-Tabla1[[#This Row],[costo_antes_iva]]</f>
        <v>-500</v>
      </c>
      <c r="W534" s="3">
        <f>Tabla1[[#This Row],[OS-Valor Unitario]]*Tabla1[[#This Row],[OS-Cantidad]]</f>
        <v>54000</v>
      </c>
      <c r="X534" s="3">
        <f>Tabla1[[#This Row],[costo_antes_iva]]*Tabla1[[#This Row],[OS-Cantidad]]</f>
        <v>60000</v>
      </c>
      <c r="Y534" s="3">
        <f>Tabla1[[#This Row],[Valor total OS]]-Tabla1[[#This Row],[valor total op]]</f>
        <v>-6000</v>
      </c>
    </row>
    <row r="535" spans="1:25" x14ac:dyDescent="0.3">
      <c r="A535">
        <v>6376</v>
      </c>
      <c r="B535">
        <v>14</v>
      </c>
      <c r="C535" t="s">
        <v>1307</v>
      </c>
      <c r="D535">
        <v>12</v>
      </c>
      <c r="E535" s="5">
        <v>45957.494444444441</v>
      </c>
      <c r="F535" t="s">
        <v>1308</v>
      </c>
      <c r="G535" t="s">
        <v>1309</v>
      </c>
      <c r="H535" t="s">
        <v>182</v>
      </c>
      <c r="I535">
        <v>1</v>
      </c>
      <c r="J535">
        <v>74394389</v>
      </c>
      <c r="K535" s="5">
        <v>45957</v>
      </c>
      <c r="L535" s="3">
        <v>700</v>
      </c>
      <c r="M535" t="s">
        <v>1260</v>
      </c>
      <c r="N535" t="s">
        <v>26</v>
      </c>
      <c r="O535" t="s">
        <v>1310</v>
      </c>
      <c r="P535" s="3">
        <v>700</v>
      </c>
      <c r="Q535">
        <v>12</v>
      </c>
      <c r="R535" t="s">
        <v>1312</v>
      </c>
      <c r="S535" t="s">
        <v>1263</v>
      </c>
      <c r="T535" t="s">
        <v>1264</v>
      </c>
      <c r="U535" t="s">
        <v>450</v>
      </c>
      <c r="V535" s="3">
        <f>Tabla1[[#This Row],[OS-Valor Unitario]]-Tabla1[[#This Row],[costo_antes_iva]]</f>
        <v>0</v>
      </c>
      <c r="W535" s="3">
        <f>Tabla1[[#This Row],[OS-Valor Unitario]]*Tabla1[[#This Row],[OS-Cantidad]]</f>
        <v>8400</v>
      </c>
      <c r="X535" s="3">
        <f>Tabla1[[#This Row],[costo_antes_iva]]*Tabla1[[#This Row],[OS-Cantidad]]</f>
        <v>8400</v>
      </c>
      <c r="Y535" s="3">
        <f>Tabla1[[#This Row],[Valor total OS]]-Tabla1[[#This Row],[valor total op]]</f>
        <v>0</v>
      </c>
    </row>
    <row r="536" spans="1:25" x14ac:dyDescent="0.3">
      <c r="A536">
        <v>6376</v>
      </c>
      <c r="B536">
        <v>14</v>
      </c>
      <c r="C536" t="s">
        <v>1307</v>
      </c>
      <c r="D536">
        <v>12</v>
      </c>
      <c r="E536" s="5">
        <v>45957.494444444441</v>
      </c>
      <c r="F536" t="s">
        <v>1308</v>
      </c>
      <c r="G536" t="s">
        <v>1309</v>
      </c>
      <c r="H536" t="s">
        <v>182</v>
      </c>
      <c r="I536">
        <v>1</v>
      </c>
      <c r="J536">
        <v>74394389</v>
      </c>
      <c r="K536" s="5">
        <v>45957</v>
      </c>
      <c r="L536" s="3">
        <v>700</v>
      </c>
      <c r="M536" t="s">
        <v>1260</v>
      </c>
      <c r="N536" t="s">
        <v>26</v>
      </c>
      <c r="O536" t="s">
        <v>1310</v>
      </c>
      <c r="P536" s="3">
        <v>700</v>
      </c>
      <c r="Q536">
        <v>12</v>
      </c>
      <c r="R536" t="s">
        <v>1312</v>
      </c>
      <c r="S536" t="s">
        <v>1263</v>
      </c>
      <c r="T536" t="s">
        <v>1265</v>
      </c>
      <c r="U536" t="s">
        <v>31</v>
      </c>
      <c r="V536" s="3">
        <f>Tabla1[[#This Row],[OS-Valor Unitario]]-Tabla1[[#This Row],[costo_antes_iva]]</f>
        <v>0</v>
      </c>
      <c r="W536" s="3">
        <f>Tabla1[[#This Row],[OS-Valor Unitario]]*Tabla1[[#This Row],[OS-Cantidad]]</f>
        <v>8400</v>
      </c>
      <c r="X536" s="3">
        <f>Tabla1[[#This Row],[costo_antes_iva]]*Tabla1[[#This Row],[OS-Cantidad]]</f>
        <v>8400</v>
      </c>
      <c r="Y536" s="3">
        <f>Tabla1[[#This Row],[Valor total OS]]-Tabla1[[#This Row],[valor total op]]</f>
        <v>0</v>
      </c>
    </row>
    <row r="537" spans="1:25" x14ac:dyDescent="0.3">
      <c r="A537">
        <v>6374</v>
      </c>
      <c r="B537">
        <v>1</v>
      </c>
      <c r="C537" t="s">
        <v>1313</v>
      </c>
      <c r="D537">
        <v>200</v>
      </c>
      <c r="E537" s="5">
        <v>45954.675694444442</v>
      </c>
      <c r="F537" t="s">
        <v>1314</v>
      </c>
      <c r="G537" t="s">
        <v>230</v>
      </c>
      <c r="H537" t="s">
        <v>1315</v>
      </c>
      <c r="I537">
        <v>200</v>
      </c>
      <c r="J537">
        <v>74292087</v>
      </c>
      <c r="K537" s="5">
        <v>45954</v>
      </c>
      <c r="L537" s="3">
        <v>2800</v>
      </c>
      <c r="M537" t="s">
        <v>1316</v>
      </c>
      <c r="N537" t="s">
        <v>26</v>
      </c>
      <c r="O537" t="s">
        <v>1317</v>
      </c>
      <c r="P537" s="3">
        <v>3200</v>
      </c>
      <c r="Q537">
        <v>202</v>
      </c>
      <c r="R537" t="s">
        <v>1318</v>
      </c>
      <c r="S537" t="s">
        <v>1319</v>
      </c>
      <c r="T537" t="s">
        <v>1320</v>
      </c>
      <c r="U537" t="s">
        <v>450</v>
      </c>
      <c r="V537" s="3">
        <f>Tabla1[[#This Row],[OS-Valor Unitario]]-Tabla1[[#This Row],[costo_antes_iva]]</f>
        <v>400</v>
      </c>
      <c r="W537" s="3">
        <f>Tabla1[[#This Row],[OS-Valor Unitario]]*Tabla1[[#This Row],[OS-Cantidad]]</f>
        <v>646400</v>
      </c>
      <c r="X537" s="3">
        <f>Tabla1[[#This Row],[costo_antes_iva]]*Tabla1[[#This Row],[OS-Cantidad]]</f>
        <v>565600</v>
      </c>
      <c r="Y537" s="3">
        <f>Tabla1[[#This Row],[Valor total OS]]-Tabla1[[#This Row],[valor total op]]</f>
        <v>80800</v>
      </c>
    </row>
    <row r="538" spans="1:25" x14ac:dyDescent="0.3">
      <c r="A538">
        <v>6373</v>
      </c>
      <c r="B538">
        <v>1</v>
      </c>
      <c r="C538" t="s">
        <v>1321</v>
      </c>
      <c r="D538">
        <v>1</v>
      </c>
      <c r="E538" s="5">
        <v>45954.635416666664</v>
      </c>
      <c r="F538" t="s">
        <v>1322</v>
      </c>
      <c r="G538" t="s">
        <v>791</v>
      </c>
      <c r="H538" t="s">
        <v>182</v>
      </c>
      <c r="I538">
        <v>1</v>
      </c>
      <c r="J538">
        <v>74280383</v>
      </c>
      <c r="K538" s="5">
        <v>45954</v>
      </c>
      <c r="L538" s="3">
        <v>17000</v>
      </c>
      <c r="M538" t="s">
        <v>1323</v>
      </c>
      <c r="N538" t="s">
        <v>56</v>
      </c>
      <c r="O538" t="s">
        <v>1324</v>
      </c>
      <c r="P538" s="3">
        <v>15000</v>
      </c>
      <c r="Q538">
        <v>1</v>
      </c>
      <c r="R538" t="s">
        <v>1325</v>
      </c>
      <c r="S538" t="s">
        <v>1326</v>
      </c>
      <c r="T538" t="s">
        <v>1327</v>
      </c>
      <c r="U538" t="s">
        <v>31</v>
      </c>
      <c r="V538" s="3">
        <f>Tabla1[[#This Row],[OS-Valor Unitario]]-Tabla1[[#This Row],[costo_antes_iva]]</f>
        <v>-2000</v>
      </c>
      <c r="W538" s="3">
        <f>Tabla1[[#This Row],[OS-Valor Unitario]]*Tabla1[[#This Row],[OS-Cantidad]]</f>
        <v>15000</v>
      </c>
      <c r="X538" s="3">
        <f>Tabla1[[#This Row],[costo_antes_iva]]*Tabla1[[#This Row],[OS-Cantidad]]</f>
        <v>17000</v>
      </c>
      <c r="Y538" s="3">
        <f>Tabla1[[#This Row],[Valor total OS]]-Tabla1[[#This Row],[valor total op]]</f>
        <v>-2000</v>
      </c>
    </row>
    <row r="539" spans="1:25" x14ac:dyDescent="0.3">
      <c r="A539">
        <v>6373</v>
      </c>
      <c r="B539">
        <v>1</v>
      </c>
      <c r="C539" t="s">
        <v>1321</v>
      </c>
      <c r="D539">
        <v>1</v>
      </c>
      <c r="E539" s="5">
        <v>45954.635416666664</v>
      </c>
      <c r="F539" t="s">
        <v>1322</v>
      </c>
      <c r="G539" t="s">
        <v>791</v>
      </c>
      <c r="H539" t="s">
        <v>182</v>
      </c>
      <c r="I539">
        <v>1</v>
      </c>
      <c r="J539">
        <v>74280383</v>
      </c>
      <c r="K539" s="5">
        <v>45954</v>
      </c>
      <c r="L539" s="3">
        <v>2500</v>
      </c>
      <c r="M539" t="s">
        <v>1323</v>
      </c>
      <c r="N539" t="s">
        <v>26</v>
      </c>
      <c r="O539" t="s">
        <v>1324</v>
      </c>
      <c r="P539" s="3">
        <v>1000</v>
      </c>
      <c r="Q539">
        <v>1</v>
      </c>
      <c r="R539" t="s">
        <v>1328</v>
      </c>
      <c r="S539" t="s">
        <v>1326</v>
      </c>
      <c r="T539" t="s">
        <v>1327</v>
      </c>
      <c r="U539" t="s">
        <v>31</v>
      </c>
      <c r="V539" s="3">
        <f>Tabla1[[#This Row],[OS-Valor Unitario]]-Tabla1[[#This Row],[costo_antes_iva]]</f>
        <v>-1500</v>
      </c>
      <c r="W539" s="3">
        <f>Tabla1[[#This Row],[OS-Valor Unitario]]*Tabla1[[#This Row],[OS-Cantidad]]</f>
        <v>1000</v>
      </c>
      <c r="X539" s="3">
        <f>Tabla1[[#This Row],[costo_antes_iva]]*Tabla1[[#This Row],[OS-Cantidad]]</f>
        <v>2500</v>
      </c>
      <c r="Y539" s="3">
        <f>Tabla1[[#This Row],[Valor total OS]]-Tabla1[[#This Row],[valor total op]]</f>
        <v>-1500</v>
      </c>
    </row>
    <row r="540" spans="1:25" x14ac:dyDescent="0.3">
      <c r="A540">
        <v>6373</v>
      </c>
      <c r="B540">
        <v>2</v>
      </c>
      <c r="C540" t="s">
        <v>1329</v>
      </c>
      <c r="D540">
        <v>16</v>
      </c>
      <c r="E540" s="5">
        <v>45954.635416666664</v>
      </c>
      <c r="F540" t="s">
        <v>1330</v>
      </c>
      <c r="G540" t="s">
        <v>791</v>
      </c>
      <c r="H540" t="s">
        <v>182</v>
      </c>
      <c r="I540">
        <v>16</v>
      </c>
      <c r="J540">
        <v>74289414</v>
      </c>
      <c r="K540" s="5">
        <v>45954</v>
      </c>
      <c r="L540" s="3">
        <v>17000</v>
      </c>
      <c r="M540" t="s">
        <v>1331</v>
      </c>
      <c r="N540" t="s">
        <v>56</v>
      </c>
      <c r="O540" t="s">
        <v>1332</v>
      </c>
      <c r="P540" s="3">
        <v>15000</v>
      </c>
      <c r="Q540">
        <v>16</v>
      </c>
      <c r="R540" t="s">
        <v>1333</v>
      </c>
      <c r="S540" t="s">
        <v>1326</v>
      </c>
      <c r="T540" t="s">
        <v>1327</v>
      </c>
      <c r="U540" t="s">
        <v>31</v>
      </c>
      <c r="V540" s="3">
        <f>Tabla1[[#This Row],[OS-Valor Unitario]]-Tabla1[[#This Row],[costo_antes_iva]]</f>
        <v>-2000</v>
      </c>
      <c r="W540" s="3">
        <f>Tabla1[[#This Row],[OS-Valor Unitario]]*Tabla1[[#This Row],[OS-Cantidad]]</f>
        <v>240000</v>
      </c>
      <c r="X540" s="3">
        <f>Tabla1[[#This Row],[costo_antes_iva]]*Tabla1[[#This Row],[OS-Cantidad]]</f>
        <v>272000</v>
      </c>
      <c r="Y540" s="3">
        <f>Tabla1[[#This Row],[Valor total OS]]-Tabla1[[#This Row],[valor total op]]</f>
        <v>-32000</v>
      </c>
    </row>
    <row r="541" spans="1:25" x14ac:dyDescent="0.3">
      <c r="A541">
        <v>6373</v>
      </c>
      <c r="B541">
        <v>2</v>
      </c>
      <c r="C541" t="s">
        <v>1329</v>
      </c>
      <c r="D541">
        <v>16</v>
      </c>
      <c r="E541" s="5">
        <v>45954.635416666664</v>
      </c>
      <c r="F541" t="s">
        <v>1330</v>
      </c>
      <c r="G541" t="s">
        <v>791</v>
      </c>
      <c r="H541" t="s">
        <v>182</v>
      </c>
      <c r="I541">
        <v>16</v>
      </c>
      <c r="J541">
        <v>74289414</v>
      </c>
      <c r="K541" s="5">
        <v>45954</v>
      </c>
      <c r="L541" s="3">
        <v>2500</v>
      </c>
      <c r="M541" t="s">
        <v>1331</v>
      </c>
      <c r="N541" t="s">
        <v>26</v>
      </c>
      <c r="O541" t="s">
        <v>1332</v>
      </c>
      <c r="P541" s="3">
        <v>1000</v>
      </c>
      <c r="Q541">
        <v>16</v>
      </c>
      <c r="R541" t="s">
        <v>1334</v>
      </c>
      <c r="S541" t="s">
        <v>1326</v>
      </c>
      <c r="T541" t="s">
        <v>1327</v>
      </c>
      <c r="U541" t="s">
        <v>31</v>
      </c>
      <c r="V541" s="3">
        <f>Tabla1[[#This Row],[OS-Valor Unitario]]-Tabla1[[#This Row],[costo_antes_iva]]</f>
        <v>-1500</v>
      </c>
      <c r="W541" s="3">
        <f>Tabla1[[#This Row],[OS-Valor Unitario]]*Tabla1[[#This Row],[OS-Cantidad]]</f>
        <v>16000</v>
      </c>
      <c r="X541" s="3">
        <f>Tabla1[[#This Row],[costo_antes_iva]]*Tabla1[[#This Row],[OS-Cantidad]]</f>
        <v>40000</v>
      </c>
      <c r="Y541" s="3">
        <f>Tabla1[[#This Row],[Valor total OS]]-Tabla1[[#This Row],[valor total op]]</f>
        <v>-24000</v>
      </c>
    </row>
    <row r="542" spans="1:25" x14ac:dyDescent="0.3">
      <c r="A542">
        <v>6373</v>
      </c>
      <c r="B542">
        <v>2</v>
      </c>
      <c r="C542" t="s">
        <v>1329</v>
      </c>
      <c r="D542">
        <v>16</v>
      </c>
      <c r="E542" s="5">
        <v>45954.635416666664</v>
      </c>
      <c r="F542" t="s">
        <v>1330</v>
      </c>
      <c r="G542" t="s">
        <v>119</v>
      </c>
      <c r="H542" t="s">
        <v>182</v>
      </c>
      <c r="I542">
        <v>13</v>
      </c>
      <c r="J542">
        <v>74280393</v>
      </c>
      <c r="K542" s="5">
        <v>45954</v>
      </c>
      <c r="L542" s="3">
        <v>6000</v>
      </c>
      <c r="M542" t="s">
        <v>1323</v>
      </c>
      <c r="N542" t="s">
        <v>56</v>
      </c>
      <c r="O542" t="s">
        <v>1332</v>
      </c>
      <c r="P542" s="3">
        <v>15000</v>
      </c>
      <c r="Q542">
        <v>16</v>
      </c>
      <c r="R542" t="s">
        <v>1333</v>
      </c>
      <c r="S542" t="s">
        <v>1326</v>
      </c>
      <c r="T542" t="s">
        <v>1327</v>
      </c>
      <c r="U542" t="s">
        <v>31</v>
      </c>
      <c r="V542" s="3">
        <f>Tabla1[[#This Row],[OS-Valor Unitario]]-Tabla1[[#This Row],[costo_antes_iva]]</f>
        <v>9000</v>
      </c>
      <c r="W542" s="3">
        <f>Tabla1[[#This Row],[OS-Valor Unitario]]*Tabla1[[#This Row],[OS-Cantidad]]</f>
        <v>240000</v>
      </c>
      <c r="X542" s="3">
        <f>Tabla1[[#This Row],[costo_antes_iva]]*Tabla1[[#This Row],[OS-Cantidad]]</f>
        <v>96000</v>
      </c>
      <c r="Y542" s="3">
        <f>Tabla1[[#This Row],[Valor total OS]]-Tabla1[[#This Row],[valor total op]]</f>
        <v>144000</v>
      </c>
    </row>
    <row r="543" spans="1:25" x14ac:dyDescent="0.3">
      <c r="A543">
        <v>6373</v>
      </c>
      <c r="B543">
        <v>2</v>
      </c>
      <c r="C543" t="s">
        <v>1329</v>
      </c>
      <c r="D543">
        <v>16</v>
      </c>
      <c r="E543" s="5">
        <v>45954.635416666664</v>
      </c>
      <c r="F543" t="s">
        <v>1330</v>
      </c>
      <c r="G543" t="s">
        <v>119</v>
      </c>
      <c r="H543" t="s">
        <v>182</v>
      </c>
      <c r="I543">
        <v>13</v>
      </c>
      <c r="J543">
        <v>74280393</v>
      </c>
      <c r="K543" s="5">
        <v>45954</v>
      </c>
      <c r="L543" s="3">
        <v>1700</v>
      </c>
      <c r="M543" t="s">
        <v>1323</v>
      </c>
      <c r="N543" t="s">
        <v>26</v>
      </c>
      <c r="O543" t="s">
        <v>1332</v>
      </c>
      <c r="P543" s="3">
        <v>1000</v>
      </c>
      <c r="Q543">
        <v>16</v>
      </c>
      <c r="R543" t="s">
        <v>1334</v>
      </c>
      <c r="S543" t="s">
        <v>1326</v>
      </c>
      <c r="T543" t="s">
        <v>1327</v>
      </c>
      <c r="U543" t="s">
        <v>31</v>
      </c>
      <c r="V543" s="3">
        <f>Tabla1[[#This Row],[OS-Valor Unitario]]-Tabla1[[#This Row],[costo_antes_iva]]</f>
        <v>-700</v>
      </c>
      <c r="W543" s="3">
        <f>Tabla1[[#This Row],[OS-Valor Unitario]]*Tabla1[[#This Row],[OS-Cantidad]]</f>
        <v>16000</v>
      </c>
      <c r="X543" s="3">
        <f>Tabla1[[#This Row],[costo_antes_iva]]*Tabla1[[#This Row],[OS-Cantidad]]</f>
        <v>27200</v>
      </c>
      <c r="Y543" s="3">
        <f>Tabla1[[#This Row],[Valor total OS]]-Tabla1[[#This Row],[valor total op]]</f>
        <v>-11200</v>
      </c>
    </row>
    <row r="544" spans="1:25" x14ac:dyDescent="0.3">
      <c r="A544">
        <v>6372</v>
      </c>
      <c r="B544">
        <v>1</v>
      </c>
      <c r="C544" t="s">
        <v>1335</v>
      </c>
      <c r="D544">
        <v>25</v>
      </c>
      <c r="E544" s="5">
        <v>45953.581250000003</v>
      </c>
      <c r="F544" t="s">
        <v>1336</v>
      </c>
      <c r="G544" t="s">
        <v>809</v>
      </c>
      <c r="H544" t="s">
        <v>1337</v>
      </c>
      <c r="I544">
        <v>25</v>
      </c>
      <c r="J544">
        <v>74213806</v>
      </c>
      <c r="K544" s="5">
        <v>45953</v>
      </c>
      <c r="L544" s="3">
        <v>4000</v>
      </c>
      <c r="M544" t="s">
        <v>1338</v>
      </c>
      <c r="N544" t="s">
        <v>26</v>
      </c>
      <c r="O544" t="s">
        <v>1339</v>
      </c>
      <c r="P544" s="3">
        <v>4000</v>
      </c>
      <c r="Q544">
        <v>25</v>
      </c>
      <c r="R544" t="s">
        <v>1340</v>
      </c>
      <c r="S544" t="s">
        <v>1341</v>
      </c>
      <c r="T544" t="s">
        <v>1342</v>
      </c>
      <c r="U544" t="s">
        <v>31</v>
      </c>
      <c r="V544" s="3">
        <f>Tabla1[[#This Row],[OS-Valor Unitario]]-Tabla1[[#This Row],[costo_antes_iva]]</f>
        <v>0</v>
      </c>
      <c r="W544" s="3">
        <f>Tabla1[[#This Row],[OS-Valor Unitario]]*Tabla1[[#This Row],[OS-Cantidad]]</f>
        <v>100000</v>
      </c>
      <c r="X544" s="3">
        <f>Tabla1[[#This Row],[costo_antes_iva]]*Tabla1[[#This Row],[OS-Cantidad]]</f>
        <v>100000</v>
      </c>
      <c r="Y544" s="3">
        <f>Tabla1[[#This Row],[Valor total OS]]-Tabla1[[#This Row],[valor total op]]</f>
        <v>0</v>
      </c>
    </row>
    <row r="545" spans="1:25" x14ac:dyDescent="0.3">
      <c r="A545">
        <v>6372</v>
      </c>
      <c r="B545">
        <v>2</v>
      </c>
      <c r="C545" t="s">
        <v>1343</v>
      </c>
      <c r="D545">
        <v>25</v>
      </c>
      <c r="E545" s="5">
        <v>45953.581250000003</v>
      </c>
      <c r="F545" t="s">
        <v>1344</v>
      </c>
      <c r="G545" t="s">
        <v>100</v>
      </c>
      <c r="H545" t="s">
        <v>1337</v>
      </c>
      <c r="I545">
        <v>25</v>
      </c>
      <c r="J545">
        <v>74213810</v>
      </c>
      <c r="K545" s="5">
        <v>45953</v>
      </c>
      <c r="L545" s="3">
        <v>4000</v>
      </c>
      <c r="M545" t="s">
        <v>1338</v>
      </c>
      <c r="N545" t="s">
        <v>26</v>
      </c>
      <c r="O545" t="s">
        <v>1345</v>
      </c>
      <c r="P545" s="3">
        <v>4000</v>
      </c>
      <c r="Q545">
        <v>25</v>
      </c>
      <c r="R545" t="s">
        <v>1346</v>
      </c>
      <c r="S545" t="s">
        <v>1341</v>
      </c>
      <c r="T545" t="s">
        <v>1342</v>
      </c>
      <c r="U545" t="s">
        <v>31</v>
      </c>
      <c r="V545" s="3">
        <f>Tabla1[[#This Row],[OS-Valor Unitario]]-Tabla1[[#This Row],[costo_antes_iva]]</f>
        <v>0</v>
      </c>
      <c r="W545" s="3">
        <f>Tabla1[[#This Row],[OS-Valor Unitario]]*Tabla1[[#This Row],[OS-Cantidad]]</f>
        <v>100000</v>
      </c>
      <c r="X545" s="3">
        <f>Tabla1[[#This Row],[costo_antes_iva]]*Tabla1[[#This Row],[OS-Cantidad]]</f>
        <v>100000</v>
      </c>
      <c r="Y545" s="3">
        <f>Tabla1[[#This Row],[Valor total OS]]-Tabla1[[#This Row],[valor total op]]</f>
        <v>0</v>
      </c>
    </row>
    <row r="546" spans="1:25" x14ac:dyDescent="0.3">
      <c r="A546">
        <v>6372</v>
      </c>
      <c r="B546">
        <v>3</v>
      </c>
      <c r="C546" t="s">
        <v>1347</v>
      </c>
      <c r="D546">
        <v>25</v>
      </c>
      <c r="E546" s="5">
        <v>45953.581250000003</v>
      </c>
      <c r="F546" t="s">
        <v>1348</v>
      </c>
      <c r="G546" t="s">
        <v>405</v>
      </c>
      <c r="H546" t="s">
        <v>1337</v>
      </c>
      <c r="I546">
        <v>25</v>
      </c>
      <c r="J546">
        <v>74213816</v>
      </c>
      <c r="K546" s="5">
        <v>45953</v>
      </c>
      <c r="L546" s="3">
        <v>4000</v>
      </c>
      <c r="M546" t="s">
        <v>1338</v>
      </c>
      <c r="N546" t="s">
        <v>26</v>
      </c>
      <c r="O546" t="s">
        <v>1349</v>
      </c>
      <c r="P546" s="3">
        <v>4000</v>
      </c>
      <c r="Q546">
        <v>25</v>
      </c>
      <c r="R546" t="s">
        <v>1350</v>
      </c>
      <c r="S546" t="s">
        <v>1341</v>
      </c>
      <c r="T546" t="s">
        <v>1342</v>
      </c>
      <c r="U546" t="s">
        <v>31</v>
      </c>
      <c r="V546" s="3">
        <f>Tabla1[[#This Row],[OS-Valor Unitario]]-Tabla1[[#This Row],[costo_antes_iva]]</f>
        <v>0</v>
      </c>
      <c r="W546" s="3">
        <f>Tabla1[[#This Row],[OS-Valor Unitario]]*Tabla1[[#This Row],[OS-Cantidad]]</f>
        <v>100000</v>
      </c>
      <c r="X546" s="3">
        <f>Tabla1[[#This Row],[costo_antes_iva]]*Tabla1[[#This Row],[OS-Cantidad]]</f>
        <v>100000</v>
      </c>
      <c r="Y546" s="3">
        <f>Tabla1[[#This Row],[Valor total OS]]-Tabla1[[#This Row],[valor total op]]</f>
        <v>0</v>
      </c>
    </row>
    <row r="547" spans="1:25" x14ac:dyDescent="0.3">
      <c r="A547">
        <v>6371</v>
      </c>
      <c r="B547">
        <v>1</v>
      </c>
      <c r="C547" t="s">
        <v>1351</v>
      </c>
      <c r="D547">
        <v>48</v>
      </c>
      <c r="E547" s="5">
        <v>45953.575694444444</v>
      </c>
      <c r="F547" t="s">
        <v>1352</v>
      </c>
      <c r="G547" t="s">
        <v>517</v>
      </c>
      <c r="H547" t="s">
        <v>346</v>
      </c>
      <c r="I547">
        <v>48</v>
      </c>
      <c r="J547">
        <v>74212926</v>
      </c>
      <c r="K547" s="5">
        <v>45953</v>
      </c>
      <c r="L547" s="3">
        <v>800</v>
      </c>
      <c r="M547" t="s">
        <v>1353</v>
      </c>
      <c r="N547" t="s">
        <v>72</v>
      </c>
      <c r="O547" t="s">
        <v>1354</v>
      </c>
      <c r="P547" s="3">
        <v>1900</v>
      </c>
      <c r="Q547">
        <v>48</v>
      </c>
      <c r="R547" t="s">
        <v>1355</v>
      </c>
      <c r="S547" t="s">
        <v>1356</v>
      </c>
      <c r="U547" t="s">
        <v>177</v>
      </c>
      <c r="V547" s="3">
        <f>Tabla1[[#This Row],[OS-Valor Unitario]]-Tabla1[[#This Row],[costo_antes_iva]]</f>
        <v>1100</v>
      </c>
      <c r="W547" s="3">
        <f>Tabla1[[#This Row],[OS-Valor Unitario]]*Tabla1[[#This Row],[OS-Cantidad]]</f>
        <v>91200</v>
      </c>
      <c r="X547" s="3">
        <f>Tabla1[[#This Row],[costo_antes_iva]]*Tabla1[[#This Row],[OS-Cantidad]]</f>
        <v>38400</v>
      </c>
      <c r="Y547" s="3">
        <f>Tabla1[[#This Row],[Valor total OS]]-Tabla1[[#This Row],[valor total op]]</f>
        <v>52800</v>
      </c>
    </row>
    <row r="548" spans="1:25" x14ac:dyDescent="0.3">
      <c r="A548">
        <v>6371</v>
      </c>
      <c r="B548">
        <v>1</v>
      </c>
      <c r="C548" t="s">
        <v>1351</v>
      </c>
      <c r="D548">
        <v>48</v>
      </c>
      <c r="E548" s="5">
        <v>45953.575694444444</v>
      </c>
      <c r="F548" t="s">
        <v>1352</v>
      </c>
      <c r="G548" t="s">
        <v>517</v>
      </c>
      <c r="H548" t="s">
        <v>346</v>
      </c>
      <c r="I548">
        <v>48</v>
      </c>
      <c r="J548">
        <v>74212926</v>
      </c>
      <c r="K548" s="5">
        <v>45953</v>
      </c>
      <c r="L548" s="3">
        <v>12500</v>
      </c>
      <c r="M548" t="s">
        <v>1353</v>
      </c>
      <c r="N548" t="s">
        <v>56</v>
      </c>
      <c r="O548" t="s">
        <v>1354</v>
      </c>
      <c r="P548" s="3">
        <v>8000</v>
      </c>
      <c r="Q548">
        <v>48</v>
      </c>
      <c r="R548" t="s">
        <v>1357</v>
      </c>
      <c r="S548" t="s">
        <v>1356</v>
      </c>
      <c r="U548" t="s">
        <v>177</v>
      </c>
      <c r="V548" s="3">
        <f>Tabla1[[#This Row],[OS-Valor Unitario]]-Tabla1[[#This Row],[costo_antes_iva]]</f>
        <v>-4500</v>
      </c>
      <c r="W548" s="3">
        <f>Tabla1[[#This Row],[OS-Valor Unitario]]*Tabla1[[#This Row],[OS-Cantidad]]</f>
        <v>384000</v>
      </c>
      <c r="X548" s="3">
        <f>Tabla1[[#This Row],[costo_antes_iva]]*Tabla1[[#This Row],[OS-Cantidad]]</f>
        <v>600000</v>
      </c>
      <c r="Y548" s="3">
        <f>Tabla1[[#This Row],[Valor total OS]]-Tabla1[[#This Row],[valor total op]]</f>
        <v>-216000</v>
      </c>
    </row>
    <row r="549" spans="1:25" x14ac:dyDescent="0.3">
      <c r="A549">
        <v>6371</v>
      </c>
      <c r="B549">
        <v>2</v>
      </c>
      <c r="C549" t="s">
        <v>1358</v>
      </c>
      <c r="D549">
        <v>16</v>
      </c>
      <c r="E549" s="5">
        <v>45953.575694444444</v>
      </c>
      <c r="F549" t="s">
        <v>1012</v>
      </c>
      <c r="G549" t="s">
        <v>23</v>
      </c>
      <c r="H549" t="s">
        <v>346</v>
      </c>
      <c r="I549">
        <v>1</v>
      </c>
      <c r="J549">
        <v>75728285</v>
      </c>
      <c r="K549" s="5">
        <v>45982</v>
      </c>
      <c r="L549" s="3">
        <v>19610</v>
      </c>
      <c r="M549" t="s">
        <v>1013</v>
      </c>
      <c r="N549" t="s">
        <v>56</v>
      </c>
      <c r="O549" t="s">
        <v>1359</v>
      </c>
      <c r="P549" s="3">
        <v>12000</v>
      </c>
      <c r="Q549">
        <v>16</v>
      </c>
      <c r="R549" t="s">
        <v>1360</v>
      </c>
      <c r="S549" t="s">
        <v>433</v>
      </c>
      <c r="T549" t="s">
        <v>434</v>
      </c>
      <c r="U549" t="s">
        <v>177</v>
      </c>
      <c r="V549" s="3">
        <f>Tabla1[[#This Row],[OS-Valor Unitario]]-Tabla1[[#This Row],[costo_antes_iva]]</f>
        <v>-7610</v>
      </c>
      <c r="W549" s="3">
        <f>Tabla1[[#This Row],[OS-Valor Unitario]]*Tabla1[[#This Row],[OS-Cantidad]]</f>
        <v>192000</v>
      </c>
      <c r="X549" s="3">
        <f>Tabla1[[#This Row],[costo_antes_iva]]*Tabla1[[#This Row],[OS-Cantidad]]</f>
        <v>313760</v>
      </c>
      <c r="Y549" s="3">
        <f>Tabla1[[#This Row],[Valor total OS]]-Tabla1[[#This Row],[valor total op]]</f>
        <v>-121760</v>
      </c>
    </row>
    <row r="550" spans="1:25" x14ac:dyDescent="0.3">
      <c r="A550">
        <v>6371</v>
      </c>
      <c r="B550">
        <v>2</v>
      </c>
      <c r="C550" t="s">
        <v>1358</v>
      </c>
      <c r="D550">
        <v>16</v>
      </c>
      <c r="E550" s="5">
        <v>45953.575694444444</v>
      </c>
      <c r="F550" t="s">
        <v>1012</v>
      </c>
      <c r="G550" t="s">
        <v>294</v>
      </c>
      <c r="H550" t="s">
        <v>346</v>
      </c>
      <c r="I550">
        <v>144</v>
      </c>
      <c r="J550">
        <v>74212373</v>
      </c>
      <c r="K550" s="5">
        <v>45953</v>
      </c>
      <c r="L550" s="3">
        <v>7500</v>
      </c>
      <c r="M550" t="s">
        <v>1016</v>
      </c>
      <c r="N550" t="s">
        <v>56</v>
      </c>
      <c r="O550" t="s">
        <v>1359</v>
      </c>
      <c r="P550" s="3">
        <v>12000</v>
      </c>
      <c r="Q550">
        <v>16</v>
      </c>
      <c r="R550" t="s">
        <v>1360</v>
      </c>
      <c r="S550" t="s">
        <v>433</v>
      </c>
      <c r="T550" t="s">
        <v>434</v>
      </c>
      <c r="U550" t="s">
        <v>177</v>
      </c>
      <c r="V550" s="3">
        <f>Tabla1[[#This Row],[OS-Valor Unitario]]-Tabla1[[#This Row],[costo_antes_iva]]</f>
        <v>4500</v>
      </c>
      <c r="W550" s="3">
        <f>Tabla1[[#This Row],[OS-Valor Unitario]]*Tabla1[[#This Row],[OS-Cantidad]]</f>
        <v>192000</v>
      </c>
      <c r="X550" s="3">
        <f>Tabla1[[#This Row],[costo_antes_iva]]*Tabla1[[#This Row],[OS-Cantidad]]</f>
        <v>120000</v>
      </c>
      <c r="Y550" s="3">
        <f>Tabla1[[#This Row],[Valor total OS]]-Tabla1[[#This Row],[valor total op]]</f>
        <v>72000</v>
      </c>
    </row>
    <row r="551" spans="1:25" x14ac:dyDescent="0.3">
      <c r="A551">
        <v>6371</v>
      </c>
      <c r="B551">
        <v>2</v>
      </c>
      <c r="C551" t="s">
        <v>1358</v>
      </c>
      <c r="D551">
        <v>16</v>
      </c>
      <c r="E551" s="5">
        <v>45953.575694444444</v>
      </c>
      <c r="F551" t="s">
        <v>1012</v>
      </c>
      <c r="G551" t="s">
        <v>435</v>
      </c>
      <c r="H551" t="s">
        <v>346</v>
      </c>
      <c r="I551">
        <v>76</v>
      </c>
      <c r="J551">
        <v>75885113</v>
      </c>
      <c r="K551" s="5">
        <v>45986</v>
      </c>
      <c r="L551" s="3">
        <v>4500</v>
      </c>
      <c r="M551" t="s">
        <v>1017</v>
      </c>
      <c r="N551" t="s">
        <v>56</v>
      </c>
      <c r="O551" t="s">
        <v>1359</v>
      </c>
      <c r="P551" s="3">
        <v>12000</v>
      </c>
      <c r="Q551">
        <v>16</v>
      </c>
      <c r="R551" t="s">
        <v>1360</v>
      </c>
      <c r="S551" t="s">
        <v>433</v>
      </c>
      <c r="T551" t="s">
        <v>434</v>
      </c>
      <c r="U551" t="s">
        <v>177</v>
      </c>
      <c r="V551" s="3">
        <f>Tabla1[[#This Row],[OS-Valor Unitario]]-Tabla1[[#This Row],[costo_antes_iva]]</f>
        <v>7500</v>
      </c>
      <c r="W551" s="3">
        <f>Tabla1[[#This Row],[OS-Valor Unitario]]*Tabla1[[#This Row],[OS-Cantidad]]</f>
        <v>192000</v>
      </c>
      <c r="X551" s="3">
        <f>Tabla1[[#This Row],[costo_antes_iva]]*Tabla1[[#This Row],[OS-Cantidad]]</f>
        <v>72000</v>
      </c>
      <c r="Y551" s="3">
        <f>Tabla1[[#This Row],[Valor total OS]]-Tabla1[[#This Row],[valor total op]]</f>
        <v>120000</v>
      </c>
    </row>
    <row r="552" spans="1:25" x14ac:dyDescent="0.3">
      <c r="A552">
        <v>6371</v>
      </c>
      <c r="B552">
        <v>2</v>
      </c>
      <c r="C552" t="s">
        <v>1358</v>
      </c>
      <c r="D552">
        <v>16</v>
      </c>
      <c r="E552" s="5">
        <v>45953.575694444444</v>
      </c>
      <c r="F552" t="s">
        <v>1012</v>
      </c>
      <c r="G552" t="s">
        <v>568</v>
      </c>
      <c r="H552" t="s">
        <v>346</v>
      </c>
      <c r="I552">
        <v>16</v>
      </c>
      <c r="J552">
        <v>74212668</v>
      </c>
      <c r="K552" s="5">
        <v>45953</v>
      </c>
      <c r="L552" s="3">
        <v>900</v>
      </c>
      <c r="M552" t="s">
        <v>1019</v>
      </c>
      <c r="N552" t="s">
        <v>26</v>
      </c>
      <c r="O552" t="s">
        <v>1359</v>
      </c>
      <c r="P552" s="3">
        <v>900</v>
      </c>
      <c r="Q552">
        <v>16</v>
      </c>
      <c r="R552" t="s">
        <v>1361</v>
      </c>
      <c r="S552" t="s">
        <v>433</v>
      </c>
      <c r="T552" t="s">
        <v>434</v>
      </c>
      <c r="U552" t="s">
        <v>177</v>
      </c>
      <c r="V552" s="3">
        <f>Tabla1[[#This Row],[OS-Valor Unitario]]-Tabla1[[#This Row],[costo_antes_iva]]</f>
        <v>0</v>
      </c>
      <c r="W552" s="3">
        <f>Tabla1[[#This Row],[OS-Valor Unitario]]*Tabla1[[#This Row],[OS-Cantidad]]</f>
        <v>14400</v>
      </c>
      <c r="X552" s="3">
        <f>Tabla1[[#This Row],[costo_antes_iva]]*Tabla1[[#This Row],[OS-Cantidad]]</f>
        <v>14400</v>
      </c>
      <c r="Y552" s="3">
        <f>Tabla1[[#This Row],[Valor total OS]]-Tabla1[[#This Row],[valor total op]]</f>
        <v>0</v>
      </c>
    </row>
    <row r="553" spans="1:25" x14ac:dyDescent="0.3">
      <c r="A553">
        <v>6371</v>
      </c>
      <c r="B553">
        <v>2</v>
      </c>
      <c r="C553" t="s">
        <v>1358</v>
      </c>
      <c r="D553">
        <v>16</v>
      </c>
      <c r="E553" s="5">
        <v>45953.575694444444</v>
      </c>
      <c r="F553" t="s">
        <v>1012</v>
      </c>
      <c r="G553" t="s">
        <v>568</v>
      </c>
      <c r="H553" t="s">
        <v>346</v>
      </c>
      <c r="I553">
        <v>16</v>
      </c>
      <c r="J553">
        <v>74212668</v>
      </c>
      <c r="K553" s="5">
        <v>45953</v>
      </c>
      <c r="L553" s="3">
        <v>13000</v>
      </c>
      <c r="M553" t="s">
        <v>1019</v>
      </c>
      <c r="N553" t="s">
        <v>56</v>
      </c>
      <c r="O553" t="s">
        <v>1359</v>
      </c>
      <c r="P553" s="3">
        <v>12000</v>
      </c>
      <c r="Q553">
        <v>16</v>
      </c>
      <c r="R553" t="s">
        <v>1360</v>
      </c>
      <c r="S553" t="s">
        <v>433</v>
      </c>
      <c r="T553" t="s">
        <v>434</v>
      </c>
      <c r="U553" t="s">
        <v>177</v>
      </c>
      <c r="V553" s="3">
        <f>Tabla1[[#This Row],[OS-Valor Unitario]]-Tabla1[[#This Row],[costo_antes_iva]]</f>
        <v>-1000</v>
      </c>
      <c r="W553" s="3">
        <f>Tabla1[[#This Row],[OS-Valor Unitario]]*Tabla1[[#This Row],[OS-Cantidad]]</f>
        <v>192000</v>
      </c>
      <c r="X553" s="3">
        <f>Tabla1[[#This Row],[costo_antes_iva]]*Tabla1[[#This Row],[OS-Cantidad]]</f>
        <v>208000</v>
      </c>
      <c r="Y553" s="3">
        <f>Tabla1[[#This Row],[Valor total OS]]-Tabla1[[#This Row],[valor total op]]</f>
        <v>-16000</v>
      </c>
    </row>
    <row r="554" spans="1:25" x14ac:dyDescent="0.3">
      <c r="A554">
        <v>6371</v>
      </c>
      <c r="B554">
        <v>3</v>
      </c>
      <c r="C554" t="s">
        <v>1362</v>
      </c>
      <c r="D554">
        <v>12</v>
      </c>
      <c r="E554" s="5">
        <v>45953.575694444444</v>
      </c>
      <c r="F554" t="s">
        <v>1363</v>
      </c>
      <c r="G554" t="s">
        <v>517</v>
      </c>
      <c r="H554" t="s">
        <v>346</v>
      </c>
      <c r="I554">
        <v>12</v>
      </c>
      <c r="J554">
        <v>74212941</v>
      </c>
      <c r="K554" s="5">
        <v>45953</v>
      </c>
      <c r="L554" s="3">
        <v>11200</v>
      </c>
      <c r="M554" t="s">
        <v>1364</v>
      </c>
      <c r="N554" t="s">
        <v>56</v>
      </c>
      <c r="O554" t="s">
        <v>1365</v>
      </c>
      <c r="P554" s="3">
        <v>13000</v>
      </c>
      <c r="Q554">
        <v>12</v>
      </c>
      <c r="R554" t="s">
        <v>1366</v>
      </c>
      <c r="S554" t="s">
        <v>1367</v>
      </c>
      <c r="T554" t="s">
        <v>1368</v>
      </c>
      <c r="U554" t="s">
        <v>177</v>
      </c>
      <c r="V554" s="3">
        <f>Tabla1[[#This Row],[OS-Valor Unitario]]-Tabla1[[#This Row],[costo_antes_iva]]</f>
        <v>1800</v>
      </c>
      <c r="W554" s="3">
        <f>Tabla1[[#This Row],[OS-Valor Unitario]]*Tabla1[[#This Row],[OS-Cantidad]]</f>
        <v>156000</v>
      </c>
      <c r="X554" s="3">
        <f>Tabla1[[#This Row],[costo_antes_iva]]*Tabla1[[#This Row],[OS-Cantidad]]</f>
        <v>134400</v>
      </c>
      <c r="Y554" s="3">
        <f>Tabla1[[#This Row],[Valor total OS]]-Tabla1[[#This Row],[valor total op]]</f>
        <v>21600</v>
      </c>
    </row>
    <row r="555" spans="1:25" x14ac:dyDescent="0.3">
      <c r="A555">
        <v>6371</v>
      </c>
      <c r="B555">
        <v>3</v>
      </c>
      <c r="C555" t="s">
        <v>1362</v>
      </c>
      <c r="D555">
        <v>12</v>
      </c>
      <c r="E555" s="5">
        <v>45953.575694444444</v>
      </c>
      <c r="F555" t="s">
        <v>1363</v>
      </c>
      <c r="G555" t="s">
        <v>517</v>
      </c>
      <c r="H555" t="s">
        <v>346</v>
      </c>
      <c r="I555">
        <v>12</v>
      </c>
      <c r="J555">
        <v>74212941</v>
      </c>
      <c r="K555" s="5">
        <v>45953</v>
      </c>
      <c r="L555" s="3">
        <v>6200</v>
      </c>
      <c r="M555" t="s">
        <v>1364</v>
      </c>
      <c r="N555" t="s">
        <v>72</v>
      </c>
      <c r="O555" t="s">
        <v>1365</v>
      </c>
      <c r="P555" s="3">
        <v>4200</v>
      </c>
      <c r="Q555">
        <v>12</v>
      </c>
      <c r="R555" t="s">
        <v>1369</v>
      </c>
      <c r="S555" t="s">
        <v>1367</v>
      </c>
      <c r="T555" t="s">
        <v>1368</v>
      </c>
      <c r="U555" t="s">
        <v>177</v>
      </c>
      <c r="V555" s="3">
        <f>Tabla1[[#This Row],[OS-Valor Unitario]]-Tabla1[[#This Row],[costo_antes_iva]]</f>
        <v>-2000</v>
      </c>
      <c r="W555" s="3">
        <f>Tabla1[[#This Row],[OS-Valor Unitario]]*Tabla1[[#This Row],[OS-Cantidad]]</f>
        <v>50400</v>
      </c>
      <c r="X555" s="3">
        <f>Tabla1[[#This Row],[costo_antes_iva]]*Tabla1[[#This Row],[OS-Cantidad]]</f>
        <v>74400</v>
      </c>
      <c r="Y555" s="3">
        <f>Tabla1[[#This Row],[Valor total OS]]-Tabla1[[#This Row],[valor total op]]</f>
        <v>-24000</v>
      </c>
    </row>
    <row r="556" spans="1:25" x14ac:dyDescent="0.3">
      <c r="A556">
        <v>6370</v>
      </c>
      <c r="B556">
        <v>1</v>
      </c>
      <c r="C556" t="s">
        <v>1370</v>
      </c>
      <c r="D556">
        <v>58</v>
      </c>
      <c r="E556" s="5">
        <v>45953.54791666667</v>
      </c>
      <c r="F556" t="s">
        <v>1371</v>
      </c>
      <c r="G556" t="s">
        <v>809</v>
      </c>
      <c r="H556" t="s">
        <v>1372</v>
      </c>
      <c r="I556">
        <v>58</v>
      </c>
      <c r="J556">
        <v>74208230</v>
      </c>
      <c r="K556" s="5">
        <v>45953</v>
      </c>
      <c r="L556" s="3">
        <v>1665</v>
      </c>
      <c r="M556" t="s">
        <v>1373</v>
      </c>
      <c r="N556" t="s">
        <v>26</v>
      </c>
      <c r="O556" t="s">
        <v>1374</v>
      </c>
      <c r="P556" s="3">
        <v>3500</v>
      </c>
      <c r="Q556">
        <v>58</v>
      </c>
      <c r="R556" t="s">
        <v>1375</v>
      </c>
      <c r="S556" t="s">
        <v>1376</v>
      </c>
      <c r="T556" t="s">
        <v>1377</v>
      </c>
      <c r="U556" t="s">
        <v>31</v>
      </c>
      <c r="V556" s="3">
        <f>Tabla1[[#This Row],[OS-Valor Unitario]]-Tabla1[[#This Row],[costo_antes_iva]]</f>
        <v>1835</v>
      </c>
      <c r="W556" s="3">
        <f>Tabla1[[#This Row],[OS-Valor Unitario]]*Tabla1[[#This Row],[OS-Cantidad]]</f>
        <v>203000</v>
      </c>
      <c r="X556" s="3">
        <f>Tabla1[[#This Row],[costo_antes_iva]]*Tabla1[[#This Row],[OS-Cantidad]]</f>
        <v>96570</v>
      </c>
      <c r="Y556" s="3">
        <f>Tabla1[[#This Row],[Valor total OS]]-Tabla1[[#This Row],[valor total op]]</f>
        <v>106430</v>
      </c>
    </row>
    <row r="557" spans="1:25" x14ac:dyDescent="0.3">
      <c r="A557">
        <v>6370</v>
      </c>
      <c r="B557">
        <v>2</v>
      </c>
      <c r="C557" t="s">
        <v>1378</v>
      </c>
      <c r="D557">
        <v>58</v>
      </c>
      <c r="E557" s="5">
        <v>45953.54791666667</v>
      </c>
      <c r="F557" t="s">
        <v>1379</v>
      </c>
      <c r="G557" t="s">
        <v>405</v>
      </c>
      <c r="H557" t="s">
        <v>1372</v>
      </c>
      <c r="I557">
        <v>58</v>
      </c>
      <c r="J557">
        <v>74208232</v>
      </c>
      <c r="K557" s="5">
        <v>45953</v>
      </c>
      <c r="L557" s="3">
        <v>3800</v>
      </c>
      <c r="M557" t="s">
        <v>1380</v>
      </c>
      <c r="N557" t="s">
        <v>26</v>
      </c>
      <c r="O557" t="s">
        <v>1381</v>
      </c>
      <c r="P557" s="3">
        <v>3200</v>
      </c>
      <c r="Q557">
        <v>58</v>
      </c>
      <c r="R557" t="s">
        <v>1382</v>
      </c>
      <c r="S557" t="s">
        <v>1376</v>
      </c>
      <c r="T557" t="s">
        <v>1377</v>
      </c>
      <c r="U557" t="s">
        <v>31</v>
      </c>
      <c r="V557" s="3">
        <f>Tabla1[[#This Row],[OS-Valor Unitario]]-Tabla1[[#This Row],[costo_antes_iva]]</f>
        <v>-600</v>
      </c>
      <c r="W557" s="3">
        <f>Tabla1[[#This Row],[OS-Valor Unitario]]*Tabla1[[#This Row],[OS-Cantidad]]</f>
        <v>185600</v>
      </c>
      <c r="X557" s="3">
        <f>Tabla1[[#This Row],[costo_antes_iva]]*Tabla1[[#This Row],[OS-Cantidad]]</f>
        <v>220400</v>
      </c>
      <c r="Y557" s="3">
        <f>Tabla1[[#This Row],[Valor total OS]]-Tabla1[[#This Row],[valor total op]]</f>
        <v>-34800</v>
      </c>
    </row>
    <row r="558" spans="1:25" x14ac:dyDescent="0.3">
      <c r="A558">
        <v>6364</v>
      </c>
      <c r="B558">
        <v>6</v>
      </c>
      <c r="C558" t="s">
        <v>1383</v>
      </c>
      <c r="D558">
        <v>70</v>
      </c>
      <c r="E558" s="5">
        <v>45952.368055555555</v>
      </c>
      <c r="F558" t="s">
        <v>1384</v>
      </c>
      <c r="G558" t="s">
        <v>1385</v>
      </c>
      <c r="H558" t="s">
        <v>337</v>
      </c>
      <c r="I558">
        <v>70</v>
      </c>
      <c r="J558">
        <v>74126431</v>
      </c>
      <c r="K558" s="5">
        <v>45952</v>
      </c>
      <c r="L558" s="3">
        <v>12500</v>
      </c>
      <c r="M558" t="s">
        <v>1386</v>
      </c>
      <c r="N558" t="s">
        <v>56</v>
      </c>
      <c r="O558" t="s">
        <v>1387</v>
      </c>
      <c r="P558" s="3">
        <v>13000</v>
      </c>
      <c r="Q558">
        <v>70</v>
      </c>
      <c r="R558" t="s">
        <v>1388</v>
      </c>
      <c r="S558" t="s">
        <v>1389</v>
      </c>
      <c r="T558" t="s">
        <v>1390</v>
      </c>
      <c r="U558" t="s">
        <v>31</v>
      </c>
      <c r="V558" s="3">
        <f>Tabla1[[#This Row],[OS-Valor Unitario]]-Tabla1[[#This Row],[costo_antes_iva]]</f>
        <v>500</v>
      </c>
      <c r="W558" s="3">
        <f>Tabla1[[#This Row],[OS-Valor Unitario]]*Tabla1[[#This Row],[OS-Cantidad]]</f>
        <v>910000</v>
      </c>
      <c r="X558" s="3">
        <f>Tabla1[[#This Row],[costo_antes_iva]]*Tabla1[[#This Row],[OS-Cantidad]]</f>
        <v>875000</v>
      </c>
      <c r="Y558" s="3">
        <f>Tabla1[[#This Row],[Valor total OS]]-Tabla1[[#This Row],[valor total op]]</f>
        <v>35000</v>
      </c>
    </row>
    <row r="559" spans="1:25" x14ac:dyDescent="0.3">
      <c r="A559">
        <v>6364</v>
      </c>
      <c r="B559">
        <v>6</v>
      </c>
      <c r="C559" t="s">
        <v>1383</v>
      </c>
      <c r="D559">
        <v>70</v>
      </c>
      <c r="E559" s="5">
        <v>45952.368055555555</v>
      </c>
      <c r="F559" t="s">
        <v>1384</v>
      </c>
      <c r="G559" t="s">
        <v>1385</v>
      </c>
      <c r="H559" t="s">
        <v>337</v>
      </c>
      <c r="I559">
        <v>70</v>
      </c>
      <c r="J559">
        <v>74126431</v>
      </c>
      <c r="K559" s="5">
        <v>45952</v>
      </c>
      <c r="L559" s="3">
        <v>4250</v>
      </c>
      <c r="M559" t="s">
        <v>1386</v>
      </c>
      <c r="N559" t="s">
        <v>26</v>
      </c>
      <c r="O559" t="s">
        <v>1387</v>
      </c>
      <c r="P559" s="3">
        <v>2000</v>
      </c>
      <c r="Q559">
        <v>122</v>
      </c>
      <c r="R559" t="s">
        <v>1391</v>
      </c>
      <c r="S559" t="s">
        <v>1389</v>
      </c>
      <c r="T559" t="s">
        <v>1390</v>
      </c>
      <c r="U559" t="s">
        <v>31</v>
      </c>
      <c r="V559" s="3">
        <f>Tabla1[[#This Row],[OS-Valor Unitario]]-Tabla1[[#This Row],[costo_antes_iva]]</f>
        <v>-2250</v>
      </c>
      <c r="W559" s="3">
        <f>Tabla1[[#This Row],[OS-Valor Unitario]]*Tabla1[[#This Row],[OS-Cantidad]]</f>
        <v>244000</v>
      </c>
      <c r="X559" s="3">
        <f>Tabla1[[#This Row],[costo_antes_iva]]*Tabla1[[#This Row],[OS-Cantidad]]</f>
        <v>518500</v>
      </c>
      <c r="Y559" s="3">
        <f>Tabla1[[#This Row],[Valor total OS]]-Tabla1[[#This Row],[valor total op]]</f>
        <v>-274500</v>
      </c>
    </row>
    <row r="560" spans="1:25" x14ac:dyDescent="0.3">
      <c r="A560">
        <v>6363</v>
      </c>
      <c r="B560">
        <v>1</v>
      </c>
      <c r="C560" t="s">
        <v>1392</v>
      </c>
      <c r="D560">
        <v>2</v>
      </c>
      <c r="E560" s="5">
        <v>45951.703472222223</v>
      </c>
      <c r="F560" t="s">
        <v>1393</v>
      </c>
      <c r="G560" t="s">
        <v>264</v>
      </c>
      <c r="H560" t="s">
        <v>1394</v>
      </c>
      <c r="I560">
        <v>2</v>
      </c>
      <c r="J560">
        <v>74081481</v>
      </c>
      <c r="K560" s="5">
        <v>45951</v>
      </c>
      <c r="L560" s="3">
        <v>1300</v>
      </c>
      <c r="M560" t="s">
        <v>1395</v>
      </c>
      <c r="N560" t="s">
        <v>26</v>
      </c>
      <c r="O560" t="s">
        <v>1396</v>
      </c>
      <c r="P560" s="3">
        <v>2300</v>
      </c>
      <c r="Q560">
        <v>2</v>
      </c>
      <c r="R560" t="s">
        <v>1397</v>
      </c>
      <c r="S560" t="s">
        <v>1398</v>
      </c>
      <c r="T560" t="s">
        <v>1399</v>
      </c>
      <c r="U560" t="s">
        <v>177</v>
      </c>
      <c r="V560" s="3">
        <f>Tabla1[[#This Row],[OS-Valor Unitario]]-Tabla1[[#This Row],[costo_antes_iva]]</f>
        <v>1000</v>
      </c>
      <c r="W560" s="3">
        <f>Tabla1[[#This Row],[OS-Valor Unitario]]*Tabla1[[#This Row],[OS-Cantidad]]</f>
        <v>4600</v>
      </c>
      <c r="X560" s="3">
        <f>Tabla1[[#This Row],[costo_antes_iva]]*Tabla1[[#This Row],[OS-Cantidad]]</f>
        <v>2600</v>
      </c>
      <c r="Y560" s="3">
        <f>Tabla1[[#This Row],[Valor total OS]]-Tabla1[[#This Row],[valor total op]]</f>
        <v>2000</v>
      </c>
    </row>
    <row r="561" spans="1:25" x14ac:dyDescent="0.3">
      <c r="A561">
        <v>6363</v>
      </c>
      <c r="B561">
        <v>1</v>
      </c>
      <c r="C561" t="s">
        <v>1392</v>
      </c>
      <c r="D561">
        <v>2</v>
      </c>
      <c r="E561" s="5">
        <v>45951.703472222223</v>
      </c>
      <c r="F561" t="s">
        <v>1393</v>
      </c>
      <c r="G561" t="s">
        <v>264</v>
      </c>
      <c r="H561" t="s">
        <v>1394</v>
      </c>
      <c r="I561">
        <v>2</v>
      </c>
      <c r="J561">
        <v>74081481</v>
      </c>
      <c r="K561" s="5">
        <v>45951</v>
      </c>
      <c r="L561" s="3">
        <v>1300</v>
      </c>
      <c r="M561" t="s">
        <v>1395</v>
      </c>
      <c r="N561" t="s">
        <v>26</v>
      </c>
      <c r="O561" t="s">
        <v>1396</v>
      </c>
      <c r="P561" s="3">
        <v>2300</v>
      </c>
      <c r="Q561">
        <v>2</v>
      </c>
      <c r="R561" t="s">
        <v>1397</v>
      </c>
      <c r="S561" t="s">
        <v>1398</v>
      </c>
      <c r="T561" t="s">
        <v>1400</v>
      </c>
      <c r="U561" t="s">
        <v>596</v>
      </c>
      <c r="V561" s="3">
        <f>Tabla1[[#This Row],[OS-Valor Unitario]]-Tabla1[[#This Row],[costo_antes_iva]]</f>
        <v>1000</v>
      </c>
      <c r="W561" s="3">
        <f>Tabla1[[#This Row],[OS-Valor Unitario]]*Tabla1[[#This Row],[OS-Cantidad]]</f>
        <v>4600</v>
      </c>
      <c r="X561" s="3">
        <f>Tabla1[[#This Row],[costo_antes_iva]]*Tabla1[[#This Row],[OS-Cantidad]]</f>
        <v>2600</v>
      </c>
      <c r="Y561" s="3">
        <f>Tabla1[[#This Row],[Valor total OS]]-Tabla1[[#This Row],[valor total op]]</f>
        <v>2000</v>
      </c>
    </row>
    <row r="562" spans="1:25" x14ac:dyDescent="0.3">
      <c r="A562">
        <v>6363</v>
      </c>
      <c r="B562">
        <v>1</v>
      </c>
      <c r="C562" t="s">
        <v>1392</v>
      </c>
      <c r="D562">
        <v>2</v>
      </c>
      <c r="E562" s="5">
        <v>45951.703472222223</v>
      </c>
      <c r="F562" t="s">
        <v>1393</v>
      </c>
      <c r="G562" t="s">
        <v>264</v>
      </c>
      <c r="H562" t="s">
        <v>1394</v>
      </c>
      <c r="I562">
        <v>2</v>
      </c>
      <c r="J562">
        <v>74081481</v>
      </c>
      <c r="K562" s="5">
        <v>45951</v>
      </c>
      <c r="L562" s="3">
        <v>1300</v>
      </c>
      <c r="M562" t="s">
        <v>1395</v>
      </c>
      <c r="N562" t="s">
        <v>26</v>
      </c>
      <c r="O562" t="s">
        <v>1396</v>
      </c>
      <c r="P562" s="3">
        <v>2300</v>
      </c>
      <c r="Q562">
        <v>2</v>
      </c>
      <c r="R562" t="s">
        <v>1397</v>
      </c>
      <c r="S562" t="s">
        <v>1398</v>
      </c>
      <c r="T562" t="s">
        <v>1400</v>
      </c>
      <c r="U562" t="s">
        <v>596</v>
      </c>
      <c r="V562" s="3">
        <f>Tabla1[[#This Row],[OS-Valor Unitario]]-Tabla1[[#This Row],[costo_antes_iva]]</f>
        <v>1000</v>
      </c>
      <c r="W562" s="3">
        <f>Tabla1[[#This Row],[OS-Valor Unitario]]*Tabla1[[#This Row],[OS-Cantidad]]</f>
        <v>4600</v>
      </c>
      <c r="X562" s="3">
        <f>Tabla1[[#This Row],[costo_antes_iva]]*Tabla1[[#This Row],[OS-Cantidad]]</f>
        <v>2600</v>
      </c>
      <c r="Y562" s="3">
        <f>Tabla1[[#This Row],[Valor total OS]]-Tabla1[[#This Row],[valor total op]]</f>
        <v>2000</v>
      </c>
    </row>
    <row r="563" spans="1:25" x14ac:dyDescent="0.3">
      <c r="A563">
        <v>6363</v>
      </c>
      <c r="B563">
        <v>1</v>
      </c>
      <c r="C563" t="s">
        <v>1392</v>
      </c>
      <c r="D563">
        <v>2</v>
      </c>
      <c r="E563" s="5">
        <v>45951.703472222223</v>
      </c>
      <c r="F563" t="s">
        <v>1393</v>
      </c>
      <c r="G563" t="s">
        <v>264</v>
      </c>
      <c r="H563" t="s">
        <v>1394</v>
      </c>
      <c r="I563">
        <v>2</v>
      </c>
      <c r="J563">
        <v>74081481</v>
      </c>
      <c r="K563" s="5">
        <v>45951</v>
      </c>
      <c r="L563" s="3">
        <v>12000</v>
      </c>
      <c r="M563" t="s">
        <v>1395</v>
      </c>
      <c r="N563" t="s">
        <v>56</v>
      </c>
      <c r="O563" t="s">
        <v>1396</v>
      </c>
      <c r="P563" s="3">
        <v>11500</v>
      </c>
      <c r="Q563">
        <v>2</v>
      </c>
      <c r="R563" t="s">
        <v>1401</v>
      </c>
      <c r="S563" t="s">
        <v>1398</v>
      </c>
      <c r="T563" t="s">
        <v>1399</v>
      </c>
      <c r="U563" t="s">
        <v>177</v>
      </c>
      <c r="V563" s="3">
        <f>Tabla1[[#This Row],[OS-Valor Unitario]]-Tabla1[[#This Row],[costo_antes_iva]]</f>
        <v>-500</v>
      </c>
      <c r="W563" s="3">
        <f>Tabla1[[#This Row],[OS-Valor Unitario]]*Tabla1[[#This Row],[OS-Cantidad]]</f>
        <v>23000</v>
      </c>
      <c r="X563" s="3">
        <f>Tabla1[[#This Row],[costo_antes_iva]]*Tabla1[[#This Row],[OS-Cantidad]]</f>
        <v>24000</v>
      </c>
      <c r="Y563" s="3">
        <f>Tabla1[[#This Row],[Valor total OS]]-Tabla1[[#This Row],[valor total op]]</f>
        <v>-1000</v>
      </c>
    </row>
    <row r="564" spans="1:25" x14ac:dyDescent="0.3">
      <c r="A564">
        <v>6363</v>
      </c>
      <c r="B564">
        <v>1</v>
      </c>
      <c r="C564" t="s">
        <v>1392</v>
      </c>
      <c r="D564">
        <v>2</v>
      </c>
      <c r="E564" s="5">
        <v>45951.703472222223</v>
      </c>
      <c r="F564" t="s">
        <v>1393</v>
      </c>
      <c r="G564" t="s">
        <v>264</v>
      </c>
      <c r="H564" t="s">
        <v>1394</v>
      </c>
      <c r="I564">
        <v>2</v>
      </c>
      <c r="J564">
        <v>74081481</v>
      </c>
      <c r="K564" s="5">
        <v>45951</v>
      </c>
      <c r="L564" s="3">
        <v>12000</v>
      </c>
      <c r="M564" t="s">
        <v>1395</v>
      </c>
      <c r="N564" t="s">
        <v>56</v>
      </c>
      <c r="O564" t="s">
        <v>1396</v>
      </c>
      <c r="P564" s="3">
        <v>11500</v>
      </c>
      <c r="Q564">
        <v>2</v>
      </c>
      <c r="R564" t="s">
        <v>1401</v>
      </c>
      <c r="S564" t="s">
        <v>1398</v>
      </c>
      <c r="T564" t="s">
        <v>1400</v>
      </c>
      <c r="U564" t="s">
        <v>596</v>
      </c>
      <c r="V564" s="3">
        <f>Tabla1[[#This Row],[OS-Valor Unitario]]-Tabla1[[#This Row],[costo_antes_iva]]</f>
        <v>-500</v>
      </c>
      <c r="W564" s="3">
        <f>Tabla1[[#This Row],[OS-Valor Unitario]]*Tabla1[[#This Row],[OS-Cantidad]]</f>
        <v>23000</v>
      </c>
      <c r="X564" s="3">
        <f>Tabla1[[#This Row],[costo_antes_iva]]*Tabla1[[#This Row],[OS-Cantidad]]</f>
        <v>24000</v>
      </c>
      <c r="Y564" s="3">
        <f>Tabla1[[#This Row],[Valor total OS]]-Tabla1[[#This Row],[valor total op]]</f>
        <v>-1000</v>
      </c>
    </row>
    <row r="565" spans="1:25" x14ac:dyDescent="0.3">
      <c r="A565">
        <v>6363</v>
      </c>
      <c r="B565">
        <v>1</v>
      </c>
      <c r="C565" t="s">
        <v>1392</v>
      </c>
      <c r="D565">
        <v>2</v>
      </c>
      <c r="E565" s="5">
        <v>45951.703472222223</v>
      </c>
      <c r="F565" t="s">
        <v>1393</v>
      </c>
      <c r="G565" t="s">
        <v>264</v>
      </c>
      <c r="H565" t="s">
        <v>1394</v>
      </c>
      <c r="I565">
        <v>2</v>
      </c>
      <c r="J565">
        <v>74081481</v>
      </c>
      <c r="K565" s="5">
        <v>45951</v>
      </c>
      <c r="L565" s="3">
        <v>12000</v>
      </c>
      <c r="M565" t="s">
        <v>1395</v>
      </c>
      <c r="N565" t="s">
        <v>56</v>
      </c>
      <c r="O565" t="s">
        <v>1396</v>
      </c>
      <c r="P565" s="3">
        <v>11500</v>
      </c>
      <c r="Q565">
        <v>2</v>
      </c>
      <c r="R565" t="s">
        <v>1401</v>
      </c>
      <c r="S565" t="s">
        <v>1398</v>
      </c>
      <c r="T565" t="s">
        <v>1400</v>
      </c>
      <c r="U565" t="s">
        <v>596</v>
      </c>
      <c r="V565" s="3">
        <f>Tabla1[[#This Row],[OS-Valor Unitario]]-Tabla1[[#This Row],[costo_antes_iva]]</f>
        <v>-500</v>
      </c>
      <c r="W565" s="3">
        <f>Tabla1[[#This Row],[OS-Valor Unitario]]*Tabla1[[#This Row],[OS-Cantidad]]</f>
        <v>23000</v>
      </c>
      <c r="X565" s="3">
        <f>Tabla1[[#This Row],[costo_antes_iva]]*Tabla1[[#This Row],[OS-Cantidad]]</f>
        <v>24000</v>
      </c>
      <c r="Y565" s="3">
        <f>Tabla1[[#This Row],[Valor total OS]]-Tabla1[[#This Row],[valor total op]]</f>
        <v>-1000</v>
      </c>
    </row>
    <row r="566" spans="1:25" x14ac:dyDescent="0.3">
      <c r="A566">
        <v>6363</v>
      </c>
      <c r="B566">
        <v>1</v>
      </c>
      <c r="C566" t="s">
        <v>1392</v>
      </c>
      <c r="D566">
        <v>2</v>
      </c>
      <c r="E566" s="5">
        <v>45951.703472222223</v>
      </c>
      <c r="F566" t="s">
        <v>1393</v>
      </c>
      <c r="G566" t="s">
        <v>264</v>
      </c>
      <c r="H566" t="s">
        <v>1394</v>
      </c>
      <c r="I566">
        <v>1</v>
      </c>
      <c r="J566">
        <v>74082023</v>
      </c>
      <c r="K566" s="5">
        <v>45951</v>
      </c>
      <c r="L566" s="3">
        <v>1300</v>
      </c>
      <c r="M566" t="s">
        <v>1402</v>
      </c>
      <c r="N566" t="s">
        <v>26</v>
      </c>
      <c r="O566" t="s">
        <v>1396</v>
      </c>
      <c r="P566" s="3">
        <v>2300</v>
      </c>
      <c r="Q566">
        <v>2</v>
      </c>
      <c r="R566" t="s">
        <v>1397</v>
      </c>
      <c r="S566" t="s">
        <v>1398</v>
      </c>
      <c r="T566" t="s">
        <v>1399</v>
      </c>
      <c r="U566" t="s">
        <v>177</v>
      </c>
      <c r="V566" s="3">
        <f>Tabla1[[#This Row],[OS-Valor Unitario]]-Tabla1[[#This Row],[costo_antes_iva]]</f>
        <v>1000</v>
      </c>
      <c r="W566" s="3">
        <f>Tabla1[[#This Row],[OS-Valor Unitario]]*Tabla1[[#This Row],[OS-Cantidad]]</f>
        <v>4600</v>
      </c>
      <c r="X566" s="3">
        <f>Tabla1[[#This Row],[costo_antes_iva]]*Tabla1[[#This Row],[OS-Cantidad]]</f>
        <v>2600</v>
      </c>
      <c r="Y566" s="3">
        <f>Tabla1[[#This Row],[Valor total OS]]-Tabla1[[#This Row],[valor total op]]</f>
        <v>2000</v>
      </c>
    </row>
    <row r="567" spans="1:25" x14ac:dyDescent="0.3">
      <c r="A567">
        <v>6363</v>
      </c>
      <c r="B567">
        <v>1</v>
      </c>
      <c r="C567" t="s">
        <v>1392</v>
      </c>
      <c r="D567">
        <v>2</v>
      </c>
      <c r="E567" s="5">
        <v>45951.703472222223</v>
      </c>
      <c r="F567" t="s">
        <v>1393</v>
      </c>
      <c r="G567" t="s">
        <v>264</v>
      </c>
      <c r="H567" t="s">
        <v>1394</v>
      </c>
      <c r="I567">
        <v>1</v>
      </c>
      <c r="J567">
        <v>74082023</v>
      </c>
      <c r="K567" s="5">
        <v>45951</v>
      </c>
      <c r="L567" s="3">
        <v>1300</v>
      </c>
      <c r="M567" t="s">
        <v>1402</v>
      </c>
      <c r="N567" t="s">
        <v>26</v>
      </c>
      <c r="O567" t="s">
        <v>1396</v>
      </c>
      <c r="P567" s="3">
        <v>2300</v>
      </c>
      <c r="Q567">
        <v>2</v>
      </c>
      <c r="R567" t="s">
        <v>1397</v>
      </c>
      <c r="S567" t="s">
        <v>1398</v>
      </c>
      <c r="T567" t="s">
        <v>1400</v>
      </c>
      <c r="U567" t="s">
        <v>596</v>
      </c>
      <c r="V567" s="3">
        <f>Tabla1[[#This Row],[OS-Valor Unitario]]-Tabla1[[#This Row],[costo_antes_iva]]</f>
        <v>1000</v>
      </c>
      <c r="W567" s="3">
        <f>Tabla1[[#This Row],[OS-Valor Unitario]]*Tabla1[[#This Row],[OS-Cantidad]]</f>
        <v>4600</v>
      </c>
      <c r="X567" s="3">
        <f>Tabla1[[#This Row],[costo_antes_iva]]*Tabla1[[#This Row],[OS-Cantidad]]</f>
        <v>2600</v>
      </c>
      <c r="Y567" s="3">
        <f>Tabla1[[#This Row],[Valor total OS]]-Tabla1[[#This Row],[valor total op]]</f>
        <v>2000</v>
      </c>
    </row>
    <row r="568" spans="1:25" x14ac:dyDescent="0.3">
      <c r="A568">
        <v>6363</v>
      </c>
      <c r="B568">
        <v>1</v>
      </c>
      <c r="C568" t="s">
        <v>1392</v>
      </c>
      <c r="D568">
        <v>2</v>
      </c>
      <c r="E568" s="5">
        <v>45951.703472222223</v>
      </c>
      <c r="F568" t="s">
        <v>1393</v>
      </c>
      <c r="G568" t="s">
        <v>264</v>
      </c>
      <c r="H568" t="s">
        <v>1394</v>
      </c>
      <c r="I568">
        <v>1</v>
      </c>
      <c r="J568">
        <v>74082023</v>
      </c>
      <c r="K568" s="5">
        <v>45951</v>
      </c>
      <c r="L568" s="3">
        <v>1300</v>
      </c>
      <c r="M568" t="s">
        <v>1402</v>
      </c>
      <c r="N568" t="s">
        <v>26</v>
      </c>
      <c r="O568" t="s">
        <v>1396</v>
      </c>
      <c r="P568" s="3">
        <v>2300</v>
      </c>
      <c r="Q568">
        <v>2</v>
      </c>
      <c r="R568" t="s">
        <v>1397</v>
      </c>
      <c r="S568" t="s">
        <v>1398</v>
      </c>
      <c r="T568" t="s">
        <v>1400</v>
      </c>
      <c r="U568" t="s">
        <v>596</v>
      </c>
      <c r="V568" s="3">
        <f>Tabla1[[#This Row],[OS-Valor Unitario]]-Tabla1[[#This Row],[costo_antes_iva]]</f>
        <v>1000</v>
      </c>
      <c r="W568" s="3">
        <f>Tabla1[[#This Row],[OS-Valor Unitario]]*Tabla1[[#This Row],[OS-Cantidad]]</f>
        <v>4600</v>
      </c>
      <c r="X568" s="3">
        <f>Tabla1[[#This Row],[costo_antes_iva]]*Tabla1[[#This Row],[OS-Cantidad]]</f>
        <v>2600</v>
      </c>
      <c r="Y568" s="3">
        <f>Tabla1[[#This Row],[Valor total OS]]-Tabla1[[#This Row],[valor total op]]</f>
        <v>2000</v>
      </c>
    </row>
    <row r="569" spans="1:25" x14ac:dyDescent="0.3">
      <c r="A569">
        <v>6363</v>
      </c>
      <c r="B569">
        <v>1</v>
      </c>
      <c r="C569" t="s">
        <v>1392</v>
      </c>
      <c r="D569">
        <v>2</v>
      </c>
      <c r="E569" s="5">
        <v>45951.703472222223</v>
      </c>
      <c r="F569" t="s">
        <v>1393</v>
      </c>
      <c r="G569" t="s">
        <v>264</v>
      </c>
      <c r="H569" t="s">
        <v>1394</v>
      </c>
      <c r="I569">
        <v>1</v>
      </c>
      <c r="J569">
        <v>74082023</v>
      </c>
      <c r="K569" s="5">
        <v>45951</v>
      </c>
      <c r="L569" s="3">
        <v>12000</v>
      </c>
      <c r="M569" t="s">
        <v>1402</v>
      </c>
      <c r="N569" t="s">
        <v>56</v>
      </c>
      <c r="O569" t="s">
        <v>1396</v>
      </c>
      <c r="P569" s="3">
        <v>11500</v>
      </c>
      <c r="Q569">
        <v>2</v>
      </c>
      <c r="R569" t="s">
        <v>1401</v>
      </c>
      <c r="S569" t="s">
        <v>1398</v>
      </c>
      <c r="T569" t="s">
        <v>1399</v>
      </c>
      <c r="U569" t="s">
        <v>177</v>
      </c>
      <c r="V569" s="3">
        <f>Tabla1[[#This Row],[OS-Valor Unitario]]-Tabla1[[#This Row],[costo_antes_iva]]</f>
        <v>-500</v>
      </c>
      <c r="W569" s="3">
        <f>Tabla1[[#This Row],[OS-Valor Unitario]]*Tabla1[[#This Row],[OS-Cantidad]]</f>
        <v>23000</v>
      </c>
      <c r="X569" s="3">
        <f>Tabla1[[#This Row],[costo_antes_iva]]*Tabla1[[#This Row],[OS-Cantidad]]</f>
        <v>24000</v>
      </c>
      <c r="Y569" s="3">
        <f>Tabla1[[#This Row],[Valor total OS]]-Tabla1[[#This Row],[valor total op]]</f>
        <v>-1000</v>
      </c>
    </row>
    <row r="570" spans="1:25" x14ac:dyDescent="0.3">
      <c r="A570">
        <v>6363</v>
      </c>
      <c r="B570">
        <v>1</v>
      </c>
      <c r="C570" t="s">
        <v>1392</v>
      </c>
      <c r="D570">
        <v>2</v>
      </c>
      <c r="E570" s="5">
        <v>45951.703472222223</v>
      </c>
      <c r="F570" t="s">
        <v>1393</v>
      </c>
      <c r="G570" t="s">
        <v>264</v>
      </c>
      <c r="H570" t="s">
        <v>1394</v>
      </c>
      <c r="I570">
        <v>1</v>
      </c>
      <c r="J570">
        <v>74082023</v>
      </c>
      <c r="K570" s="5">
        <v>45951</v>
      </c>
      <c r="L570" s="3">
        <v>12000</v>
      </c>
      <c r="M570" t="s">
        <v>1402</v>
      </c>
      <c r="N570" t="s">
        <v>56</v>
      </c>
      <c r="O570" t="s">
        <v>1396</v>
      </c>
      <c r="P570" s="3">
        <v>11500</v>
      </c>
      <c r="Q570">
        <v>2</v>
      </c>
      <c r="R570" t="s">
        <v>1401</v>
      </c>
      <c r="S570" t="s">
        <v>1398</v>
      </c>
      <c r="T570" t="s">
        <v>1400</v>
      </c>
      <c r="U570" t="s">
        <v>596</v>
      </c>
      <c r="V570" s="3">
        <f>Tabla1[[#This Row],[OS-Valor Unitario]]-Tabla1[[#This Row],[costo_antes_iva]]</f>
        <v>-500</v>
      </c>
      <c r="W570" s="3">
        <f>Tabla1[[#This Row],[OS-Valor Unitario]]*Tabla1[[#This Row],[OS-Cantidad]]</f>
        <v>23000</v>
      </c>
      <c r="X570" s="3">
        <f>Tabla1[[#This Row],[costo_antes_iva]]*Tabla1[[#This Row],[OS-Cantidad]]</f>
        <v>24000</v>
      </c>
      <c r="Y570" s="3">
        <f>Tabla1[[#This Row],[Valor total OS]]-Tabla1[[#This Row],[valor total op]]</f>
        <v>-1000</v>
      </c>
    </row>
    <row r="571" spans="1:25" x14ac:dyDescent="0.3">
      <c r="A571">
        <v>6363</v>
      </c>
      <c r="B571">
        <v>1</v>
      </c>
      <c r="C571" t="s">
        <v>1392</v>
      </c>
      <c r="D571">
        <v>2</v>
      </c>
      <c r="E571" s="5">
        <v>45951.703472222223</v>
      </c>
      <c r="F571" t="s">
        <v>1393</v>
      </c>
      <c r="G571" t="s">
        <v>264</v>
      </c>
      <c r="H571" t="s">
        <v>1394</v>
      </c>
      <c r="I571">
        <v>1</v>
      </c>
      <c r="J571">
        <v>74082023</v>
      </c>
      <c r="K571" s="5">
        <v>45951</v>
      </c>
      <c r="L571" s="3">
        <v>12000</v>
      </c>
      <c r="M571" t="s">
        <v>1402</v>
      </c>
      <c r="N571" t="s">
        <v>56</v>
      </c>
      <c r="O571" t="s">
        <v>1396</v>
      </c>
      <c r="P571" s="3">
        <v>11500</v>
      </c>
      <c r="Q571">
        <v>2</v>
      </c>
      <c r="R571" t="s">
        <v>1401</v>
      </c>
      <c r="S571" t="s">
        <v>1398</v>
      </c>
      <c r="T571" t="s">
        <v>1400</v>
      </c>
      <c r="U571" t="s">
        <v>596</v>
      </c>
      <c r="V571" s="3">
        <f>Tabla1[[#This Row],[OS-Valor Unitario]]-Tabla1[[#This Row],[costo_antes_iva]]</f>
        <v>-500</v>
      </c>
      <c r="W571" s="3">
        <f>Tabla1[[#This Row],[OS-Valor Unitario]]*Tabla1[[#This Row],[OS-Cantidad]]</f>
        <v>23000</v>
      </c>
      <c r="X571" s="3">
        <f>Tabla1[[#This Row],[costo_antes_iva]]*Tabla1[[#This Row],[OS-Cantidad]]</f>
        <v>24000</v>
      </c>
      <c r="Y571" s="3">
        <f>Tabla1[[#This Row],[Valor total OS]]-Tabla1[[#This Row],[valor total op]]</f>
        <v>-1000</v>
      </c>
    </row>
    <row r="572" spans="1:25" x14ac:dyDescent="0.3">
      <c r="A572">
        <v>6363</v>
      </c>
      <c r="B572">
        <v>2</v>
      </c>
      <c r="C572" t="s">
        <v>1403</v>
      </c>
      <c r="D572">
        <v>2</v>
      </c>
      <c r="E572" s="5">
        <v>45951.703472222223</v>
      </c>
      <c r="F572" t="s">
        <v>1404</v>
      </c>
      <c r="G572" t="s">
        <v>294</v>
      </c>
      <c r="H572" t="s">
        <v>1394</v>
      </c>
      <c r="I572">
        <v>2</v>
      </c>
      <c r="J572">
        <v>74081540</v>
      </c>
      <c r="K572" s="5">
        <v>45951</v>
      </c>
      <c r="L572" s="3">
        <v>1200</v>
      </c>
      <c r="M572" t="s">
        <v>1395</v>
      </c>
      <c r="N572" t="s">
        <v>26</v>
      </c>
      <c r="O572" t="s">
        <v>1405</v>
      </c>
      <c r="P572" s="3">
        <v>1100</v>
      </c>
      <c r="Q572">
        <v>2</v>
      </c>
      <c r="R572" t="s">
        <v>1406</v>
      </c>
      <c r="S572" t="s">
        <v>1398</v>
      </c>
      <c r="T572" t="s">
        <v>1399</v>
      </c>
      <c r="U572" t="s">
        <v>177</v>
      </c>
      <c r="V572" s="3">
        <f>Tabla1[[#This Row],[OS-Valor Unitario]]-Tabla1[[#This Row],[costo_antes_iva]]</f>
        <v>-100</v>
      </c>
      <c r="W572" s="3">
        <f>Tabla1[[#This Row],[OS-Valor Unitario]]*Tabla1[[#This Row],[OS-Cantidad]]</f>
        <v>2200</v>
      </c>
      <c r="X572" s="3">
        <f>Tabla1[[#This Row],[costo_antes_iva]]*Tabla1[[#This Row],[OS-Cantidad]]</f>
        <v>2400</v>
      </c>
      <c r="Y572" s="3">
        <f>Tabla1[[#This Row],[Valor total OS]]-Tabla1[[#This Row],[valor total op]]</f>
        <v>-200</v>
      </c>
    </row>
    <row r="573" spans="1:25" x14ac:dyDescent="0.3">
      <c r="A573">
        <v>6363</v>
      </c>
      <c r="B573">
        <v>2</v>
      </c>
      <c r="C573" t="s">
        <v>1403</v>
      </c>
      <c r="D573">
        <v>2</v>
      </c>
      <c r="E573" s="5">
        <v>45951.703472222223</v>
      </c>
      <c r="F573" t="s">
        <v>1404</v>
      </c>
      <c r="G573" t="s">
        <v>294</v>
      </c>
      <c r="H573" t="s">
        <v>1394</v>
      </c>
      <c r="I573">
        <v>2</v>
      </c>
      <c r="J573">
        <v>74081540</v>
      </c>
      <c r="K573" s="5">
        <v>45951</v>
      </c>
      <c r="L573" s="3">
        <v>1200</v>
      </c>
      <c r="M573" t="s">
        <v>1395</v>
      </c>
      <c r="N573" t="s">
        <v>26</v>
      </c>
      <c r="O573" t="s">
        <v>1405</v>
      </c>
      <c r="P573" s="3">
        <v>1100</v>
      </c>
      <c r="Q573">
        <v>2</v>
      </c>
      <c r="R573" t="s">
        <v>1406</v>
      </c>
      <c r="S573" t="s">
        <v>1398</v>
      </c>
      <c r="T573" t="s">
        <v>1400</v>
      </c>
      <c r="U573" t="s">
        <v>596</v>
      </c>
      <c r="V573" s="3">
        <f>Tabla1[[#This Row],[OS-Valor Unitario]]-Tabla1[[#This Row],[costo_antes_iva]]</f>
        <v>-100</v>
      </c>
      <c r="W573" s="3">
        <f>Tabla1[[#This Row],[OS-Valor Unitario]]*Tabla1[[#This Row],[OS-Cantidad]]</f>
        <v>2200</v>
      </c>
      <c r="X573" s="3">
        <f>Tabla1[[#This Row],[costo_antes_iva]]*Tabla1[[#This Row],[OS-Cantidad]]</f>
        <v>2400</v>
      </c>
      <c r="Y573" s="3">
        <f>Tabla1[[#This Row],[Valor total OS]]-Tabla1[[#This Row],[valor total op]]</f>
        <v>-200</v>
      </c>
    </row>
    <row r="574" spans="1:25" x14ac:dyDescent="0.3">
      <c r="A574">
        <v>6363</v>
      </c>
      <c r="B574">
        <v>2</v>
      </c>
      <c r="C574" t="s">
        <v>1403</v>
      </c>
      <c r="D574">
        <v>2</v>
      </c>
      <c r="E574" s="5">
        <v>45951.703472222223</v>
      </c>
      <c r="F574" t="s">
        <v>1404</v>
      </c>
      <c r="G574" t="s">
        <v>294</v>
      </c>
      <c r="H574" t="s">
        <v>1394</v>
      </c>
      <c r="I574">
        <v>2</v>
      </c>
      <c r="J574">
        <v>74081540</v>
      </c>
      <c r="K574" s="5">
        <v>45951</v>
      </c>
      <c r="L574" s="3">
        <v>1200</v>
      </c>
      <c r="M574" t="s">
        <v>1395</v>
      </c>
      <c r="N574" t="s">
        <v>26</v>
      </c>
      <c r="O574" t="s">
        <v>1405</v>
      </c>
      <c r="P574" s="3">
        <v>1100</v>
      </c>
      <c r="Q574">
        <v>2</v>
      </c>
      <c r="R574" t="s">
        <v>1406</v>
      </c>
      <c r="S574" t="s">
        <v>1398</v>
      </c>
      <c r="T574" t="s">
        <v>1400</v>
      </c>
      <c r="U574" t="s">
        <v>596</v>
      </c>
      <c r="V574" s="3">
        <f>Tabla1[[#This Row],[OS-Valor Unitario]]-Tabla1[[#This Row],[costo_antes_iva]]</f>
        <v>-100</v>
      </c>
      <c r="W574" s="3">
        <f>Tabla1[[#This Row],[OS-Valor Unitario]]*Tabla1[[#This Row],[OS-Cantidad]]</f>
        <v>2200</v>
      </c>
      <c r="X574" s="3">
        <f>Tabla1[[#This Row],[costo_antes_iva]]*Tabla1[[#This Row],[OS-Cantidad]]</f>
        <v>2400</v>
      </c>
      <c r="Y574" s="3">
        <f>Tabla1[[#This Row],[Valor total OS]]-Tabla1[[#This Row],[valor total op]]</f>
        <v>-200</v>
      </c>
    </row>
    <row r="575" spans="1:25" x14ac:dyDescent="0.3">
      <c r="A575">
        <v>6363</v>
      </c>
      <c r="B575">
        <v>2</v>
      </c>
      <c r="C575" t="s">
        <v>1403</v>
      </c>
      <c r="D575">
        <v>2</v>
      </c>
      <c r="E575" s="5">
        <v>45951.703472222223</v>
      </c>
      <c r="F575" t="s">
        <v>1404</v>
      </c>
      <c r="G575" t="s">
        <v>294</v>
      </c>
      <c r="H575" t="s">
        <v>1394</v>
      </c>
      <c r="I575">
        <v>1</v>
      </c>
      <c r="J575">
        <v>74082073</v>
      </c>
      <c r="K575" s="5">
        <v>45951</v>
      </c>
      <c r="L575" s="3">
        <v>1200</v>
      </c>
      <c r="M575" t="s">
        <v>1402</v>
      </c>
      <c r="N575" t="s">
        <v>26</v>
      </c>
      <c r="O575" t="s">
        <v>1405</v>
      </c>
      <c r="P575" s="3">
        <v>1100</v>
      </c>
      <c r="Q575">
        <v>2</v>
      </c>
      <c r="R575" t="s">
        <v>1406</v>
      </c>
      <c r="S575" t="s">
        <v>1398</v>
      </c>
      <c r="T575" t="s">
        <v>1399</v>
      </c>
      <c r="U575" t="s">
        <v>177</v>
      </c>
      <c r="V575" s="3">
        <f>Tabla1[[#This Row],[OS-Valor Unitario]]-Tabla1[[#This Row],[costo_antes_iva]]</f>
        <v>-100</v>
      </c>
      <c r="W575" s="3">
        <f>Tabla1[[#This Row],[OS-Valor Unitario]]*Tabla1[[#This Row],[OS-Cantidad]]</f>
        <v>2200</v>
      </c>
      <c r="X575" s="3">
        <f>Tabla1[[#This Row],[costo_antes_iva]]*Tabla1[[#This Row],[OS-Cantidad]]</f>
        <v>2400</v>
      </c>
      <c r="Y575" s="3">
        <f>Tabla1[[#This Row],[Valor total OS]]-Tabla1[[#This Row],[valor total op]]</f>
        <v>-200</v>
      </c>
    </row>
    <row r="576" spans="1:25" x14ac:dyDescent="0.3">
      <c r="A576">
        <v>6363</v>
      </c>
      <c r="B576">
        <v>2</v>
      </c>
      <c r="C576" t="s">
        <v>1403</v>
      </c>
      <c r="D576">
        <v>2</v>
      </c>
      <c r="E576" s="5">
        <v>45951.703472222223</v>
      </c>
      <c r="F576" t="s">
        <v>1404</v>
      </c>
      <c r="G576" t="s">
        <v>294</v>
      </c>
      <c r="H576" t="s">
        <v>1394</v>
      </c>
      <c r="I576">
        <v>1</v>
      </c>
      <c r="J576">
        <v>74082073</v>
      </c>
      <c r="K576" s="5">
        <v>45951</v>
      </c>
      <c r="L576" s="3">
        <v>1200</v>
      </c>
      <c r="M576" t="s">
        <v>1402</v>
      </c>
      <c r="N576" t="s">
        <v>26</v>
      </c>
      <c r="O576" t="s">
        <v>1405</v>
      </c>
      <c r="P576" s="3">
        <v>1100</v>
      </c>
      <c r="Q576">
        <v>2</v>
      </c>
      <c r="R576" t="s">
        <v>1406</v>
      </c>
      <c r="S576" t="s">
        <v>1398</v>
      </c>
      <c r="T576" t="s">
        <v>1400</v>
      </c>
      <c r="U576" t="s">
        <v>596</v>
      </c>
      <c r="V576" s="3">
        <f>Tabla1[[#This Row],[OS-Valor Unitario]]-Tabla1[[#This Row],[costo_antes_iva]]</f>
        <v>-100</v>
      </c>
      <c r="W576" s="3">
        <f>Tabla1[[#This Row],[OS-Valor Unitario]]*Tabla1[[#This Row],[OS-Cantidad]]</f>
        <v>2200</v>
      </c>
      <c r="X576" s="3">
        <f>Tabla1[[#This Row],[costo_antes_iva]]*Tabla1[[#This Row],[OS-Cantidad]]</f>
        <v>2400</v>
      </c>
      <c r="Y576" s="3">
        <f>Tabla1[[#This Row],[Valor total OS]]-Tabla1[[#This Row],[valor total op]]</f>
        <v>-200</v>
      </c>
    </row>
    <row r="577" spans="1:25" x14ac:dyDescent="0.3">
      <c r="A577">
        <v>6363</v>
      </c>
      <c r="B577">
        <v>2</v>
      </c>
      <c r="C577" t="s">
        <v>1403</v>
      </c>
      <c r="D577">
        <v>2</v>
      </c>
      <c r="E577" s="5">
        <v>45951.703472222223</v>
      </c>
      <c r="F577" t="s">
        <v>1404</v>
      </c>
      <c r="G577" t="s">
        <v>294</v>
      </c>
      <c r="H577" t="s">
        <v>1394</v>
      </c>
      <c r="I577">
        <v>1</v>
      </c>
      <c r="J577">
        <v>74082073</v>
      </c>
      <c r="K577" s="5">
        <v>45951</v>
      </c>
      <c r="L577" s="3">
        <v>1200</v>
      </c>
      <c r="M577" t="s">
        <v>1402</v>
      </c>
      <c r="N577" t="s">
        <v>26</v>
      </c>
      <c r="O577" t="s">
        <v>1405</v>
      </c>
      <c r="P577" s="3">
        <v>1100</v>
      </c>
      <c r="Q577">
        <v>2</v>
      </c>
      <c r="R577" t="s">
        <v>1406</v>
      </c>
      <c r="S577" t="s">
        <v>1398</v>
      </c>
      <c r="T577" t="s">
        <v>1400</v>
      </c>
      <c r="U577" t="s">
        <v>596</v>
      </c>
      <c r="V577" s="3">
        <f>Tabla1[[#This Row],[OS-Valor Unitario]]-Tabla1[[#This Row],[costo_antes_iva]]</f>
        <v>-100</v>
      </c>
      <c r="W577" s="3">
        <f>Tabla1[[#This Row],[OS-Valor Unitario]]*Tabla1[[#This Row],[OS-Cantidad]]</f>
        <v>2200</v>
      </c>
      <c r="X577" s="3">
        <f>Tabla1[[#This Row],[costo_antes_iva]]*Tabla1[[#This Row],[OS-Cantidad]]</f>
        <v>2400</v>
      </c>
      <c r="Y577" s="3">
        <f>Tabla1[[#This Row],[Valor total OS]]-Tabla1[[#This Row],[valor total op]]</f>
        <v>-200</v>
      </c>
    </row>
    <row r="578" spans="1:25" x14ac:dyDescent="0.3">
      <c r="A578">
        <v>6362</v>
      </c>
      <c r="B578">
        <v>2</v>
      </c>
      <c r="C578" t="s">
        <v>1407</v>
      </c>
      <c r="D578">
        <v>8</v>
      </c>
      <c r="E578" s="5">
        <v>45951.640972222223</v>
      </c>
      <c r="F578" t="s">
        <v>1408</v>
      </c>
      <c r="G578" t="s">
        <v>128</v>
      </c>
      <c r="H578" t="s">
        <v>1409</v>
      </c>
      <c r="I578">
        <v>6</v>
      </c>
      <c r="J578">
        <v>74072922</v>
      </c>
      <c r="K578" s="5">
        <v>45951</v>
      </c>
      <c r="L578" s="3">
        <v>4000</v>
      </c>
      <c r="M578" t="s">
        <v>1410</v>
      </c>
      <c r="N578" t="s">
        <v>26</v>
      </c>
      <c r="O578" t="s">
        <v>1411</v>
      </c>
      <c r="P578" s="3">
        <v>4000</v>
      </c>
      <c r="Q578">
        <v>8</v>
      </c>
      <c r="R578" t="s">
        <v>1412</v>
      </c>
      <c r="S578" t="s">
        <v>1413</v>
      </c>
      <c r="T578" t="s">
        <v>1414</v>
      </c>
      <c r="U578" t="s">
        <v>31</v>
      </c>
      <c r="V578" s="3">
        <f>Tabla1[[#This Row],[OS-Valor Unitario]]-Tabla1[[#This Row],[costo_antes_iva]]</f>
        <v>0</v>
      </c>
      <c r="W578" s="3">
        <f>Tabla1[[#This Row],[OS-Valor Unitario]]*Tabla1[[#This Row],[OS-Cantidad]]</f>
        <v>32000</v>
      </c>
      <c r="X578" s="3">
        <f>Tabla1[[#This Row],[costo_antes_iva]]*Tabla1[[#This Row],[OS-Cantidad]]</f>
        <v>32000</v>
      </c>
      <c r="Y578" s="3">
        <f>Tabla1[[#This Row],[Valor total OS]]-Tabla1[[#This Row],[valor total op]]</f>
        <v>0</v>
      </c>
    </row>
    <row r="579" spans="1:25" x14ac:dyDescent="0.3">
      <c r="A579">
        <v>6362</v>
      </c>
      <c r="B579">
        <v>3</v>
      </c>
      <c r="C579" t="s">
        <v>1415</v>
      </c>
      <c r="D579">
        <v>6</v>
      </c>
      <c r="E579" s="5">
        <v>45951.640972222223</v>
      </c>
      <c r="F579" t="s">
        <v>1408</v>
      </c>
      <c r="G579" t="s">
        <v>128</v>
      </c>
      <c r="H579" t="s">
        <v>1409</v>
      </c>
      <c r="I579">
        <v>6</v>
      </c>
      <c r="J579">
        <v>74072922</v>
      </c>
      <c r="K579" s="5">
        <v>45951</v>
      </c>
      <c r="L579" s="3">
        <v>4000</v>
      </c>
      <c r="M579" t="s">
        <v>1410</v>
      </c>
      <c r="N579" t="s">
        <v>26</v>
      </c>
      <c r="O579" t="s">
        <v>1416</v>
      </c>
      <c r="P579" s="3">
        <v>4000</v>
      </c>
      <c r="Q579">
        <v>6</v>
      </c>
      <c r="R579" t="s">
        <v>1417</v>
      </c>
      <c r="S579" t="s">
        <v>1413</v>
      </c>
      <c r="T579" t="s">
        <v>1414</v>
      </c>
      <c r="U579" t="s">
        <v>31</v>
      </c>
      <c r="V579" s="3">
        <f>Tabla1[[#This Row],[OS-Valor Unitario]]-Tabla1[[#This Row],[costo_antes_iva]]</f>
        <v>0</v>
      </c>
      <c r="W579" s="3">
        <f>Tabla1[[#This Row],[OS-Valor Unitario]]*Tabla1[[#This Row],[OS-Cantidad]]</f>
        <v>24000</v>
      </c>
      <c r="X579" s="3">
        <f>Tabla1[[#This Row],[costo_antes_iva]]*Tabla1[[#This Row],[OS-Cantidad]]</f>
        <v>24000</v>
      </c>
      <c r="Y579" s="3">
        <f>Tabla1[[#This Row],[Valor total OS]]-Tabla1[[#This Row],[valor total op]]</f>
        <v>0</v>
      </c>
    </row>
    <row r="580" spans="1:25" x14ac:dyDescent="0.3">
      <c r="A580">
        <v>6362</v>
      </c>
      <c r="B580">
        <v>4</v>
      </c>
      <c r="C580" t="s">
        <v>1418</v>
      </c>
      <c r="D580">
        <v>10</v>
      </c>
      <c r="E580" s="5">
        <v>45951.640972222223</v>
      </c>
      <c r="F580" t="s">
        <v>1419</v>
      </c>
      <c r="G580" t="s">
        <v>128</v>
      </c>
      <c r="H580" t="s">
        <v>1409</v>
      </c>
      <c r="I580">
        <v>10</v>
      </c>
      <c r="J580">
        <v>74073065</v>
      </c>
      <c r="K580" s="5">
        <v>45951</v>
      </c>
      <c r="L580" s="3">
        <v>4000</v>
      </c>
      <c r="M580" t="s">
        <v>1420</v>
      </c>
      <c r="N580" t="s">
        <v>26</v>
      </c>
      <c r="O580" t="s">
        <v>1421</v>
      </c>
      <c r="P580" s="3">
        <v>4000</v>
      </c>
      <c r="Q580">
        <v>10</v>
      </c>
      <c r="R580" t="s">
        <v>1422</v>
      </c>
      <c r="S580" t="s">
        <v>1413</v>
      </c>
      <c r="T580" t="s">
        <v>1414</v>
      </c>
      <c r="U580" t="s">
        <v>31</v>
      </c>
      <c r="V580" s="3">
        <f>Tabla1[[#This Row],[OS-Valor Unitario]]-Tabla1[[#This Row],[costo_antes_iva]]</f>
        <v>0</v>
      </c>
      <c r="W580" s="3">
        <f>Tabla1[[#This Row],[OS-Valor Unitario]]*Tabla1[[#This Row],[OS-Cantidad]]</f>
        <v>40000</v>
      </c>
      <c r="X580" s="3">
        <f>Tabla1[[#This Row],[costo_antes_iva]]*Tabla1[[#This Row],[OS-Cantidad]]</f>
        <v>40000</v>
      </c>
      <c r="Y580" s="3">
        <f>Tabla1[[#This Row],[Valor total OS]]-Tabla1[[#This Row],[valor total op]]</f>
        <v>0</v>
      </c>
    </row>
    <row r="581" spans="1:25" x14ac:dyDescent="0.3">
      <c r="A581">
        <v>6324</v>
      </c>
      <c r="B581">
        <v>1</v>
      </c>
      <c r="C581" t="s">
        <v>1423</v>
      </c>
      <c r="D581">
        <v>376</v>
      </c>
      <c r="E581" s="5">
        <v>45939.479861111111</v>
      </c>
      <c r="F581" t="s">
        <v>1424</v>
      </c>
      <c r="G581" t="s">
        <v>34</v>
      </c>
      <c r="H581" t="s">
        <v>346</v>
      </c>
      <c r="I581">
        <v>1</v>
      </c>
      <c r="J581">
        <v>75728624</v>
      </c>
      <c r="K581" s="5">
        <v>45982</v>
      </c>
      <c r="L581" s="3">
        <v>68000</v>
      </c>
      <c r="M581" t="s">
        <v>1425</v>
      </c>
      <c r="N581" t="s">
        <v>56</v>
      </c>
      <c r="O581" t="s">
        <v>1426</v>
      </c>
      <c r="P581" s="3">
        <v>5000</v>
      </c>
      <c r="Q581">
        <v>376</v>
      </c>
      <c r="R581" t="s">
        <v>1427</v>
      </c>
      <c r="S581" t="s">
        <v>1428</v>
      </c>
      <c r="T581" t="s">
        <v>1429</v>
      </c>
      <c r="U581" t="s">
        <v>177</v>
      </c>
      <c r="V581" s="3">
        <f>Tabla1[[#This Row],[OS-Valor Unitario]]-Tabla1[[#This Row],[costo_antes_iva]]</f>
        <v>-63000</v>
      </c>
      <c r="W581" s="3">
        <f>Tabla1[[#This Row],[OS-Valor Unitario]]*Tabla1[[#This Row],[OS-Cantidad]]</f>
        <v>1880000</v>
      </c>
      <c r="X581" s="3">
        <f>Tabla1[[#This Row],[costo_antes_iva]]*Tabla1[[#This Row],[OS-Cantidad]]</f>
        <v>25568000</v>
      </c>
      <c r="Y581" s="3">
        <f>Tabla1[[#This Row],[Valor total OS]]-Tabla1[[#This Row],[valor total op]]</f>
        <v>-23688000</v>
      </c>
    </row>
    <row r="582" spans="1:25" x14ac:dyDescent="0.3">
      <c r="A582">
        <v>6297</v>
      </c>
      <c r="B582">
        <v>17</v>
      </c>
      <c r="C582" t="s">
        <v>1430</v>
      </c>
      <c r="D582">
        <v>2</v>
      </c>
      <c r="E582" s="5">
        <v>45932.102777777778</v>
      </c>
      <c r="F582" t="s">
        <v>1352</v>
      </c>
      <c r="G582" t="s">
        <v>517</v>
      </c>
      <c r="H582" t="s">
        <v>346</v>
      </c>
      <c r="I582">
        <v>48</v>
      </c>
      <c r="J582">
        <v>74212926</v>
      </c>
      <c r="K582" s="5">
        <v>45953</v>
      </c>
      <c r="L582" s="3">
        <v>12500</v>
      </c>
      <c r="M582" t="s">
        <v>1353</v>
      </c>
      <c r="N582" t="s">
        <v>56</v>
      </c>
      <c r="O582" t="s">
        <v>1431</v>
      </c>
      <c r="P582" s="3">
        <v>12000</v>
      </c>
      <c r="Q582">
        <v>2</v>
      </c>
      <c r="R582" t="s">
        <v>1432</v>
      </c>
      <c r="S582" t="s">
        <v>1356</v>
      </c>
      <c r="U582" t="s">
        <v>177</v>
      </c>
      <c r="V582" s="3">
        <f>Tabla1[[#This Row],[OS-Valor Unitario]]-Tabla1[[#This Row],[costo_antes_iva]]</f>
        <v>-500</v>
      </c>
      <c r="W582" s="3">
        <f>Tabla1[[#This Row],[OS-Valor Unitario]]*Tabla1[[#This Row],[OS-Cantidad]]</f>
        <v>24000</v>
      </c>
      <c r="X582" s="3">
        <f>Tabla1[[#This Row],[costo_antes_iva]]*Tabla1[[#This Row],[OS-Cantidad]]</f>
        <v>25000</v>
      </c>
      <c r="Y582" s="3">
        <f>Tabla1[[#This Row],[Valor total OS]]-Tabla1[[#This Row],[valor total op]]</f>
        <v>-1000</v>
      </c>
    </row>
    <row r="583" spans="1:25" x14ac:dyDescent="0.3">
      <c r="A583">
        <v>6297</v>
      </c>
      <c r="B583">
        <v>19</v>
      </c>
      <c r="C583" t="s">
        <v>1433</v>
      </c>
      <c r="D583">
        <v>252</v>
      </c>
      <c r="E583" s="5">
        <v>45932.102777777778</v>
      </c>
      <c r="F583" t="s">
        <v>1352</v>
      </c>
      <c r="G583" t="s">
        <v>517</v>
      </c>
      <c r="H583" t="s">
        <v>346</v>
      </c>
      <c r="I583">
        <v>48</v>
      </c>
      <c r="J583">
        <v>74212926</v>
      </c>
      <c r="K583" s="5">
        <v>45953</v>
      </c>
      <c r="L583" s="3">
        <v>12500</v>
      </c>
      <c r="M583" t="s">
        <v>1353</v>
      </c>
      <c r="N583" t="s">
        <v>56</v>
      </c>
      <c r="O583" t="s">
        <v>1434</v>
      </c>
      <c r="P583" s="3">
        <v>13800</v>
      </c>
      <c r="Q583">
        <v>252</v>
      </c>
      <c r="R583" t="s">
        <v>1435</v>
      </c>
      <c r="S583" t="s">
        <v>1356</v>
      </c>
      <c r="U583" t="s">
        <v>177</v>
      </c>
      <c r="V583" s="3">
        <f>Tabla1[[#This Row],[OS-Valor Unitario]]-Tabla1[[#This Row],[costo_antes_iva]]</f>
        <v>1300</v>
      </c>
      <c r="W583" s="3">
        <f>Tabla1[[#This Row],[OS-Valor Unitario]]*Tabla1[[#This Row],[OS-Cantidad]]</f>
        <v>3477600</v>
      </c>
      <c r="X583" s="3">
        <f>Tabla1[[#This Row],[costo_antes_iva]]*Tabla1[[#This Row],[OS-Cantidad]]</f>
        <v>3150000</v>
      </c>
      <c r="Y583" s="3">
        <f>Tabla1[[#This Row],[Valor total OS]]-Tabla1[[#This Row],[valor total op]]</f>
        <v>327600</v>
      </c>
    </row>
    <row r="584" spans="1:25" x14ac:dyDescent="0.3">
      <c r="A584">
        <v>6297</v>
      </c>
      <c r="B584">
        <v>20</v>
      </c>
      <c r="C584" t="s">
        <v>1436</v>
      </c>
      <c r="D584">
        <v>17</v>
      </c>
      <c r="E584" s="5">
        <v>45932.102777777778</v>
      </c>
      <c r="F584" t="s">
        <v>1352</v>
      </c>
      <c r="G584" t="s">
        <v>517</v>
      </c>
      <c r="H584" t="s">
        <v>346</v>
      </c>
      <c r="I584">
        <v>48</v>
      </c>
      <c r="J584">
        <v>74212926</v>
      </c>
      <c r="K584" s="5">
        <v>45953</v>
      </c>
      <c r="L584" s="3">
        <v>800</v>
      </c>
      <c r="M584" t="s">
        <v>1353</v>
      </c>
      <c r="N584" t="s">
        <v>72</v>
      </c>
      <c r="O584" t="s">
        <v>1437</v>
      </c>
      <c r="P584" s="3">
        <v>1600</v>
      </c>
      <c r="Q584">
        <v>17</v>
      </c>
      <c r="R584" t="s">
        <v>1438</v>
      </c>
      <c r="S584" t="s">
        <v>1356</v>
      </c>
      <c r="U584" t="s">
        <v>177</v>
      </c>
      <c r="V584" s="3">
        <f>Tabla1[[#This Row],[OS-Valor Unitario]]-Tabla1[[#This Row],[costo_antes_iva]]</f>
        <v>800</v>
      </c>
      <c r="W584" s="3">
        <f>Tabla1[[#This Row],[OS-Valor Unitario]]*Tabla1[[#This Row],[OS-Cantidad]]</f>
        <v>27200</v>
      </c>
      <c r="X584" s="3">
        <f>Tabla1[[#This Row],[costo_antes_iva]]*Tabla1[[#This Row],[OS-Cantidad]]</f>
        <v>13600</v>
      </c>
      <c r="Y584" s="3">
        <f>Tabla1[[#This Row],[Valor total OS]]-Tabla1[[#This Row],[valor total op]]</f>
        <v>13600</v>
      </c>
    </row>
    <row r="585" spans="1:25" x14ac:dyDescent="0.3">
      <c r="A585">
        <v>6297</v>
      </c>
      <c r="B585">
        <v>20</v>
      </c>
      <c r="C585" t="s">
        <v>1436</v>
      </c>
      <c r="D585">
        <v>17</v>
      </c>
      <c r="E585" s="5">
        <v>45932.102777777778</v>
      </c>
      <c r="F585" t="s">
        <v>1352</v>
      </c>
      <c r="G585" t="s">
        <v>517</v>
      </c>
      <c r="H585" t="s">
        <v>346</v>
      </c>
      <c r="I585">
        <v>48</v>
      </c>
      <c r="J585">
        <v>74212926</v>
      </c>
      <c r="K585" s="5">
        <v>45953</v>
      </c>
      <c r="L585" s="3">
        <v>12500</v>
      </c>
      <c r="M585" t="s">
        <v>1353</v>
      </c>
      <c r="N585" t="s">
        <v>56</v>
      </c>
      <c r="O585" t="s">
        <v>1437</v>
      </c>
      <c r="P585" s="3">
        <v>15000</v>
      </c>
      <c r="Q585">
        <v>17</v>
      </c>
      <c r="R585" t="s">
        <v>1439</v>
      </c>
      <c r="S585" t="s">
        <v>1356</v>
      </c>
      <c r="U585" t="s">
        <v>177</v>
      </c>
      <c r="V585" s="3">
        <f>Tabla1[[#This Row],[OS-Valor Unitario]]-Tabla1[[#This Row],[costo_antes_iva]]</f>
        <v>2500</v>
      </c>
      <c r="W585" s="3">
        <f>Tabla1[[#This Row],[OS-Valor Unitario]]*Tabla1[[#This Row],[OS-Cantidad]]</f>
        <v>255000</v>
      </c>
      <c r="X585" s="3">
        <f>Tabla1[[#This Row],[costo_antes_iva]]*Tabla1[[#This Row],[OS-Cantidad]]</f>
        <v>212500</v>
      </c>
      <c r="Y585" s="3">
        <f>Tabla1[[#This Row],[Valor total OS]]-Tabla1[[#This Row],[valor total op]]</f>
        <v>42500</v>
      </c>
    </row>
    <row r="586" spans="1:25" x14ac:dyDescent="0.3">
      <c r="A586">
        <v>6297</v>
      </c>
      <c r="B586">
        <v>21</v>
      </c>
      <c r="C586" t="s">
        <v>1440</v>
      </c>
      <c r="D586">
        <v>14</v>
      </c>
      <c r="E586" s="5">
        <v>45932.102777777778</v>
      </c>
      <c r="F586" t="s">
        <v>1424</v>
      </c>
      <c r="G586" t="s">
        <v>34</v>
      </c>
      <c r="H586" t="s">
        <v>346</v>
      </c>
      <c r="I586">
        <v>1</v>
      </c>
      <c r="J586">
        <v>75728624</v>
      </c>
      <c r="K586" s="5">
        <v>45982</v>
      </c>
      <c r="L586" s="3">
        <v>68000</v>
      </c>
      <c r="M586" t="s">
        <v>1425</v>
      </c>
      <c r="N586" t="s">
        <v>56</v>
      </c>
      <c r="O586" t="s">
        <v>1441</v>
      </c>
      <c r="P586" s="3">
        <v>4500</v>
      </c>
      <c r="Q586">
        <v>14</v>
      </c>
      <c r="R586" t="s">
        <v>1442</v>
      </c>
      <c r="S586" t="s">
        <v>1428</v>
      </c>
      <c r="T586" t="s">
        <v>1429</v>
      </c>
      <c r="U586" t="s">
        <v>177</v>
      </c>
      <c r="V586" s="3">
        <f>Tabla1[[#This Row],[OS-Valor Unitario]]-Tabla1[[#This Row],[costo_antes_iva]]</f>
        <v>-63500</v>
      </c>
      <c r="W586" s="3">
        <f>Tabla1[[#This Row],[OS-Valor Unitario]]*Tabla1[[#This Row],[OS-Cantidad]]</f>
        <v>63000</v>
      </c>
      <c r="X586" s="3">
        <f>Tabla1[[#This Row],[costo_antes_iva]]*Tabla1[[#This Row],[OS-Cantidad]]</f>
        <v>952000</v>
      </c>
      <c r="Y586" s="3">
        <f>Tabla1[[#This Row],[Valor total OS]]-Tabla1[[#This Row],[valor total op]]</f>
        <v>-889000</v>
      </c>
    </row>
    <row r="587" spans="1:25" x14ac:dyDescent="0.3">
      <c r="A587">
        <v>6297</v>
      </c>
      <c r="B587">
        <v>22</v>
      </c>
      <c r="C587" t="s">
        <v>1443</v>
      </c>
      <c r="D587">
        <v>144</v>
      </c>
      <c r="E587" s="5">
        <v>45932.102777777778</v>
      </c>
      <c r="F587" t="s">
        <v>1424</v>
      </c>
      <c r="G587" t="s">
        <v>34</v>
      </c>
      <c r="H587" t="s">
        <v>346</v>
      </c>
      <c r="I587">
        <v>1</v>
      </c>
      <c r="J587">
        <v>75728624</v>
      </c>
      <c r="K587" s="5">
        <v>45982</v>
      </c>
      <c r="L587" s="3">
        <v>68000</v>
      </c>
      <c r="M587" t="s">
        <v>1425</v>
      </c>
      <c r="N587" t="s">
        <v>56</v>
      </c>
      <c r="O587" t="s">
        <v>1444</v>
      </c>
      <c r="P587" s="3">
        <v>10166.66666666667</v>
      </c>
      <c r="Q587">
        <v>144</v>
      </c>
      <c r="R587" t="s">
        <v>1445</v>
      </c>
      <c r="S587" t="s">
        <v>1428</v>
      </c>
      <c r="T587" t="s">
        <v>1429</v>
      </c>
      <c r="U587" t="s">
        <v>177</v>
      </c>
      <c r="V587" s="3">
        <f>Tabla1[[#This Row],[OS-Valor Unitario]]-Tabla1[[#This Row],[costo_antes_iva]]</f>
        <v>-57833.333333333328</v>
      </c>
      <c r="W587" s="3">
        <f>Tabla1[[#This Row],[OS-Valor Unitario]]*Tabla1[[#This Row],[OS-Cantidad]]</f>
        <v>1464000.0000000005</v>
      </c>
      <c r="X587" s="3">
        <f>Tabla1[[#This Row],[costo_antes_iva]]*Tabla1[[#This Row],[OS-Cantidad]]</f>
        <v>9792000</v>
      </c>
      <c r="Y587" s="3">
        <f>Tabla1[[#This Row],[Valor total OS]]-Tabla1[[#This Row],[valor total op]]</f>
        <v>-8328000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2026-03-27T14:26:45Z</dcterms:created>
  <dcterms:modified xsi:type="dcterms:W3CDTF">2026-03-30T21:59:09Z</dcterms:modified>
</cp:coreProperties>
</file>