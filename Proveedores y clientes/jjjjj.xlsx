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olt246-my.sharepoint.com/personal/lauras_molt_com_co/Documents/Documentos/GitHub/Costo mano de obra/"/>
    </mc:Choice>
  </mc:AlternateContent>
  <xr:revisionPtr revIDLastSave="1" documentId="13_ncr:1_{C230622A-3048-427C-9ED0-335E7E02A5BF}" xr6:coauthVersionLast="47" xr6:coauthVersionMax="47" xr10:uidLastSave="{FF90B21D-6C7B-4059-BB98-8EB927EF4CB1}"/>
  <bookViews>
    <workbookView xWindow="6420" yWindow="576" windowWidth="15108" windowHeight="10908" xr2:uid="{00000000-000D-0000-FFFF-FFFF00000000}"/>
  </bookViews>
  <sheets>
    <sheet name="Sheet1" sheetId="1" r:id="rId1"/>
    <sheet name="Gráfico1" sheetId="3" r:id="rId2"/>
    <sheet name="Hoja1" sheetId="2" r:id="rId3"/>
  </sheets>
  <definedNames>
    <definedName name="_xlchart.v1.0" hidden="1">Sheet1!$N:$N</definedName>
    <definedName name="_xlchart.v1.1" hidden="1">Sheet1!$S$1</definedName>
    <definedName name="_xlchart.v1.2" hidden="1">Sheet1!$S$2:$S$497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63" i="1" l="1"/>
  <c r="U327" i="1"/>
  <c r="U315" i="1"/>
  <c r="U475" i="1"/>
  <c r="U470" i="1"/>
  <c r="U422" i="1"/>
  <c r="U30" i="1"/>
  <c r="U478" i="1"/>
  <c r="U415" i="1"/>
  <c r="U440" i="1"/>
  <c r="U481" i="1"/>
  <c r="U409" i="1"/>
  <c r="U443" i="1"/>
  <c r="U64" i="1"/>
  <c r="U65" i="1"/>
  <c r="U134" i="1"/>
  <c r="U135" i="1"/>
  <c r="U161" i="1"/>
  <c r="U365" i="1"/>
  <c r="U366" i="1"/>
  <c r="U207" i="1"/>
  <c r="U479" i="1"/>
  <c r="U444" i="1"/>
  <c r="U212" i="1"/>
  <c r="U208" i="1"/>
  <c r="U438" i="1"/>
  <c r="U398" i="1"/>
  <c r="U399" i="1"/>
  <c r="U412" i="1"/>
  <c r="U413" i="1"/>
  <c r="U76" i="1"/>
  <c r="U112" i="1"/>
  <c r="U421" i="1"/>
  <c r="U396" i="1"/>
  <c r="U384" i="1"/>
  <c r="U488" i="1"/>
  <c r="U467" i="1"/>
  <c r="U46" i="1"/>
  <c r="U33" i="1"/>
  <c r="U63" i="1"/>
  <c r="U35" i="1"/>
  <c r="U43" i="1"/>
  <c r="U169" i="1"/>
  <c r="U276" i="1"/>
  <c r="U170" i="1"/>
  <c r="U277" i="1"/>
  <c r="U171" i="1"/>
  <c r="U278" i="1"/>
  <c r="U192" i="1"/>
  <c r="U302" i="1"/>
  <c r="U193" i="1"/>
  <c r="U303" i="1"/>
  <c r="U194" i="1"/>
  <c r="U304" i="1"/>
  <c r="U376" i="1"/>
  <c r="U175" i="1"/>
  <c r="U377" i="1"/>
  <c r="U176" i="1"/>
  <c r="U445" i="1"/>
  <c r="U21" i="1"/>
  <c r="U11" i="1"/>
  <c r="U9" i="1"/>
  <c r="U12" i="1"/>
  <c r="U157" i="1"/>
  <c r="U10" i="1"/>
  <c r="U6" i="1"/>
  <c r="U451" i="1"/>
  <c r="U127" i="1"/>
  <c r="U219" i="1"/>
  <c r="U423" i="1"/>
  <c r="U243" i="1"/>
  <c r="U116" i="1"/>
  <c r="U402" i="1"/>
  <c r="U98" i="1"/>
  <c r="U246" i="1"/>
  <c r="U137" i="1"/>
  <c r="U138" i="1"/>
  <c r="U158" i="1"/>
  <c r="U369" i="1"/>
  <c r="U163" i="1"/>
  <c r="U370" i="1"/>
  <c r="U164" i="1"/>
  <c r="U371" i="1"/>
  <c r="U165" i="1"/>
  <c r="U372" i="1"/>
  <c r="U166" i="1"/>
  <c r="U162" i="1"/>
  <c r="U321" i="1"/>
  <c r="U247" i="1"/>
  <c r="U403" i="1"/>
  <c r="U248" i="1"/>
  <c r="U404" i="1"/>
  <c r="U249" i="1"/>
  <c r="U405" i="1"/>
  <c r="U484" i="1"/>
  <c r="U472" i="1"/>
  <c r="U47" i="1"/>
  <c r="U473" i="1"/>
  <c r="U48" i="1"/>
  <c r="U474" i="1"/>
  <c r="U49" i="1"/>
  <c r="U382" i="1"/>
  <c r="U437" i="1"/>
  <c r="U383" i="1"/>
  <c r="U200" i="1"/>
  <c r="U201" i="1"/>
  <c r="U345" i="1"/>
  <c r="U367" i="1"/>
  <c r="U449" i="1"/>
  <c r="U88" i="1"/>
  <c r="U205" i="1"/>
  <c r="U19" i="1"/>
  <c r="U37" i="1"/>
  <c r="U332" i="1"/>
  <c r="U373" i="1"/>
  <c r="U102" i="1"/>
  <c r="U93" i="1"/>
  <c r="U155" i="1"/>
  <c r="U60" i="1"/>
  <c r="U72" i="1"/>
  <c r="U50" i="1"/>
  <c r="U143" i="1"/>
  <c r="U334" i="1"/>
  <c r="U4" i="1"/>
  <c r="U2" i="1"/>
  <c r="U84" i="1"/>
  <c r="U139" i="1"/>
  <c r="U486" i="1"/>
  <c r="U460" i="1"/>
  <c r="U453" i="1"/>
  <c r="U461" i="1"/>
  <c r="U56" i="1"/>
  <c r="U153" i="1"/>
  <c r="U295" i="1"/>
  <c r="U100" i="1"/>
  <c r="U385" i="1"/>
  <c r="U17" i="1"/>
  <c r="U123" i="1"/>
  <c r="U351" i="1"/>
  <c r="U82" i="1"/>
  <c r="U114" i="1"/>
  <c r="U356" i="1"/>
  <c r="U177" i="1"/>
  <c r="U57" i="1"/>
  <c r="U22" i="1"/>
  <c r="U23" i="1"/>
  <c r="U24" i="1"/>
  <c r="U336" i="1"/>
  <c r="U267" i="1"/>
  <c r="U286" i="1"/>
  <c r="U391" i="1"/>
  <c r="U69" i="1"/>
  <c r="U287" i="1"/>
  <c r="U346" i="1"/>
  <c r="U368" i="1"/>
  <c r="U450" i="1"/>
  <c r="U89" i="1"/>
  <c r="U206" i="1"/>
  <c r="U20" i="1"/>
  <c r="U38" i="1"/>
  <c r="U333" i="1"/>
  <c r="U374" i="1"/>
  <c r="U103" i="1"/>
  <c r="U94" i="1"/>
  <c r="U156" i="1"/>
  <c r="U61" i="1"/>
  <c r="U73" i="1"/>
  <c r="U51" i="1"/>
  <c r="U144" i="1"/>
  <c r="U335" i="1"/>
  <c r="U5" i="1"/>
  <c r="U3" i="1"/>
  <c r="U85" i="1"/>
  <c r="U140" i="1"/>
  <c r="U487" i="1"/>
  <c r="U462" i="1"/>
  <c r="U454" i="1"/>
  <c r="U463" i="1"/>
  <c r="U58" i="1"/>
  <c r="U154" i="1"/>
  <c r="U296" i="1"/>
  <c r="U101" i="1"/>
  <c r="U386" i="1"/>
  <c r="U18" i="1"/>
  <c r="U124" i="1"/>
  <c r="U352" i="1"/>
  <c r="U83" i="1"/>
  <c r="U115" i="1"/>
  <c r="U357" i="1"/>
  <c r="U178" i="1"/>
  <c r="U59" i="1"/>
  <c r="U25" i="1"/>
  <c r="U26" i="1"/>
  <c r="U27" i="1"/>
  <c r="U337" i="1"/>
  <c r="U268" i="1"/>
  <c r="U288" i="1"/>
  <c r="U392" i="1"/>
  <c r="U70" i="1"/>
  <c r="U289" i="1"/>
  <c r="U465" i="1"/>
  <c r="U45" i="1"/>
  <c r="U210" i="1"/>
  <c r="U211" i="1"/>
  <c r="U279" i="1"/>
  <c r="U104" i="1"/>
  <c r="U113" i="1"/>
  <c r="U66" i="1"/>
  <c r="U220" i="1"/>
  <c r="U75" i="1"/>
  <c r="U222" i="1"/>
  <c r="U117" i="1"/>
  <c r="U269" i="1"/>
  <c r="U31" i="1"/>
  <c r="U34" i="1"/>
  <c r="U485" i="1"/>
  <c r="U119" i="1"/>
  <c r="U244" i="1"/>
  <c r="U261" i="1"/>
  <c r="U125" i="1"/>
  <c r="U79" i="1"/>
  <c r="U149" i="1"/>
  <c r="U108" i="1"/>
  <c r="U229" i="1"/>
  <c r="U118" i="1"/>
  <c r="U52" i="1"/>
  <c r="U105" i="1"/>
  <c r="U97" i="1"/>
  <c r="U442" i="1"/>
  <c r="U90" i="1"/>
  <c r="U446" i="1"/>
  <c r="U96" i="1"/>
  <c r="U39" i="1"/>
  <c r="U40" i="1"/>
  <c r="U106" i="1"/>
  <c r="U107" i="1"/>
  <c r="U231" i="1"/>
  <c r="U432" i="1"/>
  <c r="U232" i="1"/>
  <c r="U433" i="1"/>
  <c r="U468" i="1"/>
  <c r="U469" i="1"/>
  <c r="U489" i="1"/>
  <c r="U490" i="1"/>
  <c r="U233" i="1"/>
  <c r="U434" i="1"/>
  <c r="U234" i="1"/>
  <c r="U435" i="1"/>
  <c r="U215" i="1"/>
  <c r="U216" i="1"/>
  <c r="U406" i="1"/>
  <c r="U407" i="1"/>
  <c r="U240" i="1"/>
  <c r="U241" i="1"/>
  <c r="U476" i="1"/>
  <c r="U477" i="1"/>
  <c r="U7" i="1"/>
  <c r="U8" i="1"/>
  <c r="U223" i="1"/>
  <c r="U224" i="1"/>
  <c r="U217" i="1"/>
  <c r="U218" i="1"/>
  <c r="U55" i="1"/>
  <c r="U427" i="1"/>
  <c r="U81" i="1"/>
  <c r="U410" i="1"/>
  <c r="U242" i="1"/>
  <c r="U414" i="1"/>
  <c r="U228" i="1"/>
  <c r="U420" i="1"/>
  <c r="U111" i="1"/>
  <c r="U364" i="1"/>
  <c r="U272" i="1"/>
  <c r="U439" i="1"/>
  <c r="U142" i="1"/>
  <c r="U418" i="1"/>
  <c r="U416" i="1"/>
  <c r="U195" i="1"/>
  <c r="U316" i="1"/>
  <c r="U436" i="1"/>
  <c r="U257" i="1"/>
  <c r="U29" i="1"/>
  <c r="U262" i="1"/>
  <c r="U141" i="1"/>
  <c r="U92" i="1"/>
  <c r="U317" i="1"/>
  <c r="U196" i="1"/>
  <c r="U318" i="1"/>
  <c r="U131" i="1"/>
  <c r="U132" i="1"/>
  <c r="U133" i="1"/>
  <c r="U264" i="1"/>
  <c r="U349" i="1"/>
  <c r="U235" i="1"/>
  <c r="U394" i="1"/>
  <c r="U245" i="1"/>
  <c r="U375" i="1"/>
  <c r="U226" i="1"/>
  <c r="U429" i="1"/>
  <c r="U358" i="1"/>
  <c r="U359" i="1"/>
  <c r="U99" i="1"/>
  <c r="U400" i="1"/>
  <c r="U339" i="1"/>
  <c r="U167" i="1"/>
  <c r="U417" i="1"/>
  <c r="U424" i="1"/>
  <c r="U393" i="1"/>
  <c r="U290" i="1"/>
  <c r="U95" i="1"/>
  <c r="U77" i="1"/>
  <c r="U230" i="1"/>
  <c r="U150" i="1"/>
  <c r="U151" i="1"/>
  <c r="U152" i="1"/>
  <c r="U495" i="1"/>
  <c r="U491" i="1"/>
  <c r="U14" i="1"/>
  <c r="U492" i="1"/>
  <c r="U15" i="1"/>
  <c r="U493" i="1"/>
  <c r="U16" i="1"/>
  <c r="U53" i="1"/>
  <c r="U13" i="1"/>
  <c r="U459" i="1"/>
  <c r="U32" i="1"/>
  <c r="U441" i="1"/>
  <c r="U270" i="1"/>
  <c r="U78" i="1"/>
  <c r="U225" i="1"/>
  <c r="U172" i="1"/>
  <c r="U280" i="1"/>
  <c r="U160" i="1"/>
  <c r="U273" i="1"/>
  <c r="U129" i="1"/>
  <c r="U253" i="1"/>
  <c r="U130" i="1"/>
  <c r="U120" i="1"/>
  <c r="U182" i="1"/>
  <c r="U350" i="1"/>
  <c r="U183" i="1"/>
  <c r="U297" i="1"/>
  <c r="U483" i="1"/>
  <c r="U456" i="1"/>
  <c r="U452" i="1"/>
  <c r="U87" i="1"/>
  <c r="U480" i="1"/>
  <c r="U173" i="1"/>
  <c r="U191" i="1"/>
  <c r="U387" i="1"/>
  <c r="U181" i="1"/>
  <c r="U203" i="1"/>
  <c r="U331" i="1"/>
  <c r="U239" i="1"/>
  <c r="U238" i="1"/>
  <c r="U250" i="1"/>
  <c r="U251" i="1"/>
  <c r="U209" i="1"/>
  <c r="U471" i="1"/>
  <c r="U214" i="1"/>
  <c r="U455" i="1"/>
  <c r="U41" i="1"/>
  <c r="U213" i="1"/>
  <c r="U265" i="1"/>
  <c r="U145" i="1"/>
  <c r="U236" i="1"/>
  <c r="U221" i="1"/>
  <c r="U266" i="1"/>
  <c r="U395" i="1"/>
  <c r="U274" i="1"/>
  <c r="U378" i="1"/>
  <c r="U146" i="1"/>
  <c r="U281" i="1"/>
  <c r="U147" i="1"/>
  <c r="U282" i="1"/>
  <c r="U148" i="1"/>
  <c r="U283" i="1"/>
  <c r="U174" i="1"/>
  <c r="U284" i="1"/>
  <c r="U187" i="1"/>
  <c r="U305" i="1"/>
  <c r="U188" i="1"/>
  <c r="U306" i="1"/>
  <c r="U197" i="1"/>
  <c r="U307" i="1"/>
  <c r="U198" i="1"/>
  <c r="U308" i="1"/>
  <c r="U227" i="1"/>
  <c r="U408" i="1"/>
  <c r="U448" i="1"/>
  <c r="U458" i="1"/>
  <c r="U136" i="1"/>
  <c r="U291" i="1"/>
  <c r="U338" i="1"/>
  <c r="U397" i="1"/>
  <c r="U311" i="1"/>
  <c r="U252" i="1"/>
  <c r="U126" i="1"/>
  <c r="U312" i="1"/>
  <c r="U319" i="1"/>
  <c r="U202" i="1"/>
  <c r="U179" i="1"/>
  <c r="U292" i="1"/>
  <c r="U80" i="1"/>
  <c r="U204" i="1"/>
  <c r="U320" i="1"/>
  <c r="U168" i="1"/>
  <c r="U466" i="1"/>
  <c r="U237" i="1"/>
  <c r="U109" i="1"/>
  <c r="U309" i="1"/>
  <c r="U199" i="1"/>
  <c r="U180" i="1"/>
  <c r="U71" i="1"/>
  <c r="U428" i="1"/>
  <c r="U67" i="1"/>
  <c r="U360" i="1"/>
  <c r="U68" i="1"/>
  <c r="U361" i="1"/>
  <c r="U121" i="1"/>
  <c r="U325" i="1"/>
  <c r="U122" i="1"/>
  <c r="U326" i="1"/>
  <c r="U298" i="1"/>
  <c r="U362" i="1"/>
  <c r="U310" i="1"/>
  <c r="U341" i="1"/>
  <c r="U379" i="1"/>
  <c r="U342" i="1"/>
  <c r="U258" i="1"/>
  <c r="U353" i="1"/>
  <c r="U259" i="1"/>
  <c r="U354" i="1"/>
  <c r="U260" i="1"/>
  <c r="U355" i="1"/>
  <c r="U380" i="1"/>
  <c r="U343" i="1"/>
  <c r="U381" i="1"/>
  <c r="U344" i="1"/>
  <c r="U419" i="1"/>
  <c r="U184" i="1"/>
  <c r="U322" i="1"/>
  <c r="U185" i="1"/>
  <c r="U323" i="1"/>
  <c r="U186" i="1"/>
  <c r="U324" i="1"/>
  <c r="U294" i="1"/>
  <c r="U347" i="1"/>
  <c r="U390" i="1"/>
  <c r="U388" i="1"/>
  <c r="U159" i="1"/>
  <c r="U299" i="1"/>
  <c r="U300" i="1"/>
  <c r="U301" i="1"/>
  <c r="U389" i="1"/>
  <c r="U271" i="1"/>
  <c r="U54" i="1"/>
  <c r="U348" i="1"/>
  <c r="U340" i="1"/>
  <c r="U430" i="1"/>
  <c r="U425" i="1"/>
  <c r="U36" i="1"/>
  <c r="U401" i="1"/>
  <c r="U254" i="1"/>
  <c r="U255" i="1"/>
  <c r="U256" i="1"/>
  <c r="U74" i="1"/>
  <c r="U457" i="1"/>
  <c r="U447" i="1"/>
  <c r="U62" i="1"/>
  <c r="U42" i="1"/>
  <c r="U263" i="1"/>
  <c r="U411" i="1"/>
  <c r="U110" i="1"/>
  <c r="U426" i="1"/>
  <c r="U44" i="1"/>
  <c r="U431" i="1"/>
  <c r="U91" i="1"/>
  <c r="U464" i="1"/>
  <c r="U189" i="1"/>
  <c r="U328" i="1"/>
  <c r="U190" i="1"/>
  <c r="U329" i="1"/>
  <c r="U313" i="1"/>
  <c r="U314" i="1"/>
  <c r="U285" i="1"/>
  <c r="U293" i="1"/>
  <c r="U275" i="1"/>
  <c r="U496" i="1"/>
  <c r="U330" i="1"/>
  <c r="U28" i="1"/>
  <c r="U128" i="1"/>
  <c r="U86" i="1"/>
  <c r="U482" i="1"/>
  <c r="U494" i="1"/>
  <c r="T363" i="1"/>
  <c r="T327" i="1"/>
  <c r="T315" i="1"/>
  <c r="T475" i="1"/>
  <c r="T470" i="1"/>
  <c r="T422" i="1"/>
  <c r="T30" i="1"/>
  <c r="T478" i="1"/>
  <c r="T415" i="1"/>
  <c r="T440" i="1"/>
  <c r="T481" i="1"/>
  <c r="T409" i="1"/>
  <c r="T443" i="1"/>
  <c r="T64" i="1"/>
  <c r="T65" i="1"/>
  <c r="T134" i="1"/>
  <c r="T135" i="1"/>
  <c r="T161" i="1"/>
  <c r="T365" i="1"/>
  <c r="T366" i="1"/>
  <c r="T207" i="1"/>
  <c r="T479" i="1"/>
  <c r="T444" i="1"/>
  <c r="T212" i="1"/>
  <c r="T208" i="1"/>
  <c r="T438" i="1"/>
  <c r="T398" i="1"/>
  <c r="T399" i="1"/>
  <c r="T412" i="1"/>
  <c r="T413" i="1"/>
  <c r="T76" i="1"/>
  <c r="T112" i="1"/>
  <c r="T421" i="1"/>
  <c r="T396" i="1"/>
  <c r="T384" i="1"/>
  <c r="T488" i="1"/>
  <c r="T467" i="1"/>
  <c r="T46" i="1"/>
  <c r="T33" i="1"/>
  <c r="T63" i="1"/>
  <c r="T35" i="1"/>
  <c r="T43" i="1"/>
  <c r="T169" i="1"/>
  <c r="T276" i="1"/>
  <c r="T170" i="1"/>
  <c r="T277" i="1"/>
  <c r="T171" i="1"/>
  <c r="T278" i="1"/>
  <c r="T192" i="1"/>
  <c r="T302" i="1"/>
  <c r="T193" i="1"/>
  <c r="T303" i="1"/>
  <c r="T194" i="1"/>
  <c r="T304" i="1"/>
  <c r="T376" i="1"/>
  <c r="T175" i="1"/>
  <c r="T377" i="1"/>
  <c r="T176" i="1"/>
  <c r="T445" i="1"/>
  <c r="T21" i="1"/>
  <c r="T11" i="1"/>
  <c r="T9" i="1"/>
  <c r="T12" i="1"/>
  <c r="T157" i="1"/>
  <c r="T10" i="1"/>
  <c r="T6" i="1"/>
  <c r="T451" i="1"/>
  <c r="T127" i="1"/>
  <c r="T219" i="1"/>
  <c r="T423" i="1"/>
  <c r="T243" i="1"/>
  <c r="T116" i="1"/>
  <c r="T402" i="1"/>
  <c r="T98" i="1"/>
  <c r="T246" i="1"/>
  <c r="T137" i="1"/>
  <c r="T138" i="1"/>
  <c r="T158" i="1"/>
  <c r="T369" i="1"/>
  <c r="T163" i="1"/>
  <c r="T370" i="1"/>
  <c r="T164" i="1"/>
  <c r="T371" i="1"/>
  <c r="T165" i="1"/>
  <c r="T372" i="1"/>
  <c r="T166" i="1"/>
  <c r="T162" i="1"/>
  <c r="T321" i="1"/>
  <c r="T247" i="1"/>
  <c r="T403" i="1"/>
  <c r="T248" i="1"/>
  <c r="T404" i="1"/>
  <c r="T249" i="1"/>
  <c r="T405" i="1"/>
  <c r="T484" i="1"/>
  <c r="T472" i="1"/>
  <c r="T47" i="1"/>
  <c r="T473" i="1"/>
  <c r="T48" i="1"/>
  <c r="T474" i="1"/>
  <c r="T49" i="1"/>
  <c r="T382" i="1"/>
  <c r="T437" i="1"/>
  <c r="T383" i="1"/>
  <c r="T200" i="1"/>
  <c r="T201" i="1"/>
  <c r="T345" i="1"/>
  <c r="T367" i="1"/>
  <c r="T449" i="1"/>
  <c r="T88" i="1"/>
  <c r="T205" i="1"/>
  <c r="T19" i="1"/>
  <c r="T37" i="1"/>
  <c r="T332" i="1"/>
  <c r="T373" i="1"/>
  <c r="T102" i="1"/>
  <c r="T93" i="1"/>
  <c r="T155" i="1"/>
  <c r="T60" i="1"/>
  <c r="T72" i="1"/>
  <c r="T50" i="1"/>
  <c r="T143" i="1"/>
  <c r="T334" i="1"/>
  <c r="T4" i="1"/>
  <c r="T2" i="1"/>
  <c r="T84" i="1"/>
  <c r="T139" i="1"/>
  <c r="T486" i="1"/>
  <c r="T460" i="1"/>
  <c r="T453" i="1"/>
  <c r="T461" i="1"/>
  <c r="T56" i="1"/>
  <c r="T153" i="1"/>
  <c r="T295" i="1"/>
  <c r="T100" i="1"/>
  <c r="T385" i="1"/>
  <c r="T17" i="1"/>
  <c r="T123" i="1"/>
  <c r="T351" i="1"/>
  <c r="T82" i="1"/>
  <c r="T114" i="1"/>
  <c r="T356" i="1"/>
  <c r="T177" i="1"/>
  <c r="T57" i="1"/>
  <c r="T22" i="1"/>
  <c r="T23" i="1"/>
  <c r="T24" i="1"/>
  <c r="T336" i="1"/>
  <c r="T267" i="1"/>
  <c r="T286" i="1"/>
  <c r="T391" i="1"/>
  <c r="T69" i="1"/>
  <c r="T287" i="1"/>
  <c r="T346" i="1"/>
  <c r="T368" i="1"/>
  <c r="T450" i="1"/>
  <c r="T89" i="1"/>
  <c r="T206" i="1"/>
  <c r="T20" i="1"/>
  <c r="T38" i="1"/>
  <c r="T333" i="1"/>
  <c r="T374" i="1"/>
  <c r="T103" i="1"/>
  <c r="T94" i="1"/>
  <c r="T156" i="1"/>
  <c r="T61" i="1"/>
  <c r="T73" i="1"/>
  <c r="T51" i="1"/>
  <c r="T144" i="1"/>
  <c r="T335" i="1"/>
  <c r="T5" i="1"/>
  <c r="T3" i="1"/>
  <c r="T85" i="1"/>
  <c r="T140" i="1"/>
  <c r="T487" i="1"/>
  <c r="T462" i="1"/>
  <c r="T454" i="1"/>
  <c r="T463" i="1"/>
  <c r="T58" i="1"/>
  <c r="T154" i="1"/>
  <c r="T296" i="1"/>
  <c r="T101" i="1"/>
  <c r="T386" i="1"/>
  <c r="T18" i="1"/>
  <c r="T124" i="1"/>
  <c r="T352" i="1"/>
  <c r="T83" i="1"/>
  <c r="T115" i="1"/>
  <c r="T357" i="1"/>
  <c r="T178" i="1"/>
  <c r="T59" i="1"/>
  <c r="T25" i="1"/>
  <c r="T26" i="1"/>
  <c r="T27" i="1"/>
  <c r="T337" i="1"/>
  <c r="T268" i="1"/>
  <c r="T288" i="1"/>
  <c r="T392" i="1"/>
  <c r="T70" i="1"/>
  <c r="T289" i="1"/>
  <c r="T465" i="1"/>
  <c r="T45" i="1"/>
  <c r="T210" i="1"/>
  <c r="T211" i="1"/>
  <c r="T279" i="1"/>
  <c r="T104" i="1"/>
  <c r="T113" i="1"/>
  <c r="T66" i="1"/>
  <c r="T220" i="1"/>
  <c r="T75" i="1"/>
  <c r="T222" i="1"/>
  <c r="T117" i="1"/>
  <c r="T269" i="1"/>
  <c r="T31" i="1"/>
  <c r="T34" i="1"/>
  <c r="T485" i="1"/>
  <c r="T119" i="1"/>
  <c r="T244" i="1"/>
  <c r="T261" i="1"/>
  <c r="T125" i="1"/>
  <c r="T79" i="1"/>
  <c r="T149" i="1"/>
  <c r="T108" i="1"/>
  <c r="T229" i="1"/>
  <c r="T118" i="1"/>
  <c r="T52" i="1"/>
  <c r="T105" i="1"/>
  <c r="T97" i="1"/>
  <c r="T442" i="1"/>
  <c r="T90" i="1"/>
  <c r="T446" i="1"/>
  <c r="T96" i="1"/>
  <c r="T39" i="1"/>
  <c r="T40" i="1"/>
  <c r="T106" i="1"/>
  <c r="T107" i="1"/>
  <c r="T231" i="1"/>
  <c r="T432" i="1"/>
  <c r="T232" i="1"/>
  <c r="T433" i="1"/>
  <c r="T468" i="1"/>
  <c r="T469" i="1"/>
  <c r="T489" i="1"/>
  <c r="T490" i="1"/>
  <c r="T233" i="1"/>
  <c r="T434" i="1"/>
  <c r="T234" i="1"/>
  <c r="T435" i="1"/>
  <c r="T215" i="1"/>
  <c r="T216" i="1"/>
  <c r="T406" i="1"/>
  <c r="T407" i="1"/>
  <c r="T240" i="1"/>
  <c r="T241" i="1"/>
  <c r="T476" i="1"/>
  <c r="T477" i="1"/>
  <c r="T7" i="1"/>
  <c r="T8" i="1"/>
  <c r="T223" i="1"/>
  <c r="T224" i="1"/>
  <c r="T217" i="1"/>
  <c r="T218" i="1"/>
  <c r="T55" i="1"/>
  <c r="T427" i="1"/>
  <c r="T81" i="1"/>
  <c r="T410" i="1"/>
  <c r="T242" i="1"/>
  <c r="T414" i="1"/>
  <c r="T228" i="1"/>
  <c r="T420" i="1"/>
  <c r="T111" i="1"/>
  <c r="T364" i="1"/>
  <c r="T272" i="1"/>
  <c r="T439" i="1"/>
  <c r="T142" i="1"/>
  <c r="T418" i="1"/>
  <c r="T416" i="1"/>
  <c r="T195" i="1"/>
  <c r="T316" i="1"/>
  <c r="T436" i="1"/>
  <c r="T257" i="1"/>
  <c r="T29" i="1"/>
  <c r="T262" i="1"/>
  <c r="T141" i="1"/>
  <c r="T92" i="1"/>
  <c r="T317" i="1"/>
  <c r="T196" i="1"/>
  <c r="T318" i="1"/>
  <c r="T131" i="1"/>
  <c r="T132" i="1"/>
  <c r="T133" i="1"/>
  <c r="T264" i="1"/>
  <c r="T349" i="1"/>
  <c r="T235" i="1"/>
  <c r="T394" i="1"/>
  <c r="T245" i="1"/>
  <c r="T375" i="1"/>
  <c r="T226" i="1"/>
  <c r="T429" i="1"/>
  <c r="T358" i="1"/>
  <c r="T359" i="1"/>
  <c r="T99" i="1"/>
  <c r="T400" i="1"/>
  <c r="T339" i="1"/>
  <c r="T167" i="1"/>
  <c r="T417" i="1"/>
  <c r="T424" i="1"/>
  <c r="T393" i="1"/>
  <c r="T290" i="1"/>
  <c r="T95" i="1"/>
  <c r="T77" i="1"/>
  <c r="T230" i="1"/>
  <c r="T150" i="1"/>
  <c r="T151" i="1"/>
  <c r="T152" i="1"/>
  <c r="T495" i="1"/>
  <c r="T491" i="1"/>
  <c r="T14" i="1"/>
  <c r="T492" i="1"/>
  <c r="T15" i="1"/>
  <c r="T493" i="1"/>
  <c r="T16" i="1"/>
  <c r="T53" i="1"/>
  <c r="T13" i="1"/>
  <c r="T459" i="1"/>
  <c r="T32" i="1"/>
  <c r="T441" i="1"/>
  <c r="T270" i="1"/>
  <c r="T78" i="1"/>
  <c r="T225" i="1"/>
  <c r="T172" i="1"/>
  <c r="T280" i="1"/>
  <c r="T160" i="1"/>
  <c r="T273" i="1"/>
  <c r="T129" i="1"/>
  <c r="T253" i="1"/>
  <c r="T130" i="1"/>
  <c r="T120" i="1"/>
  <c r="T182" i="1"/>
  <c r="T350" i="1"/>
  <c r="T183" i="1"/>
  <c r="T297" i="1"/>
  <c r="T483" i="1"/>
  <c r="T456" i="1"/>
  <c r="T452" i="1"/>
  <c r="T87" i="1"/>
  <c r="T480" i="1"/>
  <c r="T173" i="1"/>
  <c r="T191" i="1"/>
  <c r="T387" i="1"/>
  <c r="T181" i="1"/>
  <c r="T203" i="1"/>
  <c r="T331" i="1"/>
  <c r="T239" i="1"/>
  <c r="T238" i="1"/>
  <c r="T250" i="1"/>
  <c r="T251" i="1"/>
  <c r="T209" i="1"/>
  <c r="T471" i="1"/>
  <c r="T214" i="1"/>
  <c r="T455" i="1"/>
  <c r="T41" i="1"/>
  <c r="T213" i="1"/>
  <c r="T265" i="1"/>
  <c r="T145" i="1"/>
  <c r="T236" i="1"/>
  <c r="T221" i="1"/>
  <c r="T266" i="1"/>
  <c r="T395" i="1"/>
  <c r="T274" i="1"/>
  <c r="T378" i="1"/>
  <c r="T146" i="1"/>
  <c r="T281" i="1"/>
  <c r="T147" i="1"/>
  <c r="T282" i="1"/>
  <c r="T148" i="1"/>
  <c r="T283" i="1"/>
  <c r="T174" i="1"/>
  <c r="T284" i="1"/>
  <c r="T187" i="1"/>
  <c r="T305" i="1"/>
  <c r="T188" i="1"/>
  <c r="T306" i="1"/>
  <c r="T197" i="1"/>
  <c r="T307" i="1"/>
  <c r="T198" i="1"/>
  <c r="T308" i="1"/>
  <c r="T227" i="1"/>
  <c r="T408" i="1"/>
  <c r="T448" i="1"/>
  <c r="T458" i="1"/>
  <c r="T136" i="1"/>
  <c r="T291" i="1"/>
  <c r="T338" i="1"/>
  <c r="T397" i="1"/>
  <c r="T311" i="1"/>
  <c r="T252" i="1"/>
  <c r="T126" i="1"/>
  <c r="T312" i="1"/>
  <c r="T319" i="1"/>
  <c r="T202" i="1"/>
  <c r="T179" i="1"/>
  <c r="T292" i="1"/>
  <c r="T80" i="1"/>
  <c r="T204" i="1"/>
  <c r="T320" i="1"/>
  <c r="T168" i="1"/>
  <c r="T466" i="1"/>
  <c r="T237" i="1"/>
  <c r="T109" i="1"/>
  <c r="T309" i="1"/>
  <c r="T199" i="1"/>
  <c r="T180" i="1"/>
  <c r="T71" i="1"/>
  <c r="T428" i="1"/>
  <c r="T67" i="1"/>
  <c r="T360" i="1"/>
  <c r="T68" i="1"/>
  <c r="T361" i="1"/>
  <c r="T121" i="1"/>
  <c r="T325" i="1"/>
  <c r="T122" i="1"/>
  <c r="T326" i="1"/>
  <c r="T298" i="1"/>
  <c r="T362" i="1"/>
  <c r="T310" i="1"/>
  <c r="T341" i="1"/>
  <c r="T379" i="1"/>
  <c r="T342" i="1"/>
  <c r="T258" i="1"/>
  <c r="T353" i="1"/>
  <c r="T259" i="1"/>
  <c r="T354" i="1"/>
  <c r="T260" i="1"/>
  <c r="T355" i="1"/>
  <c r="T380" i="1"/>
  <c r="T343" i="1"/>
  <c r="T381" i="1"/>
  <c r="T344" i="1"/>
  <c r="T419" i="1"/>
  <c r="T184" i="1"/>
  <c r="T322" i="1"/>
  <c r="T185" i="1"/>
  <c r="T323" i="1"/>
  <c r="T186" i="1"/>
  <c r="T324" i="1"/>
  <c r="T294" i="1"/>
  <c r="T347" i="1"/>
  <c r="T390" i="1"/>
  <c r="T388" i="1"/>
  <c r="T159" i="1"/>
  <c r="T299" i="1"/>
  <c r="T300" i="1"/>
  <c r="T301" i="1"/>
  <c r="T389" i="1"/>
  <c r="T271" i="1"/>
  <c r="T54" i="1"/>
  <c r="T348" i="1"/>
  <c r="T340" i="1"/>
  <c r="T430" i="1"/>
  <c r="T425" i="1"/>
  <c r="T36" i="1"/>
  <c r="T401" i="1"/>
  <c r="T254" i="1"/>
  <c r="T255" i="1"/>
  <c r="T256" i="1"/>
  <c r="T74" i="1"/>
  <c r="T457" i="1"/>
  <c r="T447" i="1"/>
  <c r="T62" i="1"/>
  <c r="T42" i="1"/>
  <c r="T263" i="1"/>
  <c r="T411" i="1"/>
  <c r="T110" i="1"/>
  <c r="T426" i="1"/>
  <c r="T44" i="1"/>
  <c r="T431" i="1"/>
  <c r="T91" i="1"/>
  <c r="T464" i="1"/>
  <c r="T189" i="1"/>
  <c r="T328" i="1"/>
  <c r="T190" i="1"/>
  <c r="T329" i="1"/>
  <c r="T313" i="1"/>
  <c r="T314" i="1"/>
  <c r="T285" i="1"/>
  <c r="T293" i="1"/>
  <c r="T275" i="1"/>
  <c r="T496" i="1"/>
  <c r="T330" i="1"/>
  <c r="T28" i="1"/>
  <c r="T128" i="1"/>
  <c r="T86" i="1"/>
  <c r="T482" i="1"/>
  <c r="T494" i="1"/>
  <c r="S363" i="1"/>
  <c r="S327" i="1"/>
  <c r="S315" i="1"/>
  <c r="S475" i="1"/>
  <c r="S470" i="1"/>
  <c r="S422" i="1"/>
  <c r="S30" i="1"/>
  <c r="S478" i="1"/>
  <c r="S415" i="1"/>
  <c r="S440" i="1"/>
  <c r="S481" i="1"/>
  <c r="S409" i="1"/>
  <c r="S443" i="1"/>
  <c r="S64" i="1"/>
  <c r="S65" i="1"/>
  <c r="S134" i="1"/>
  <c r="S135" i="1"/>
  <c r="S161" i="1"/>
  <c r="S365" i="1"/>
  <c r="S366" i="1"/>
  <c r="S207" i="1"/>
  <c r="S479" i="1"/>
  <c r="S444" i="1"/>
  <c r="S212" i="1"/>
  <c r="S208" i="1"/>
  <c r="S438" i="1"/>
  <c r="S398" i="1"/>
  <c r="S399" i="1"/>
  <c r="S412" i="1"/>
  <c r="S413" i="1"/>
  <c r="S76" i="1"/>
  <c r="S112" i="1"/>
  <c r="S421" i="1"/>
  <c r="S396" i="1"/>
  <c r="S384" i="1"/>
  <c r="S488" i="1"/>
  <c r="S467" i="1"/>
  <c r="S46" i="1"/>
  <c r="S33" i="1"/>
  <c r="S63" i="1"/>
  <c r="S35" i="1"/>
  <c r="S43" i="1"/>
  <c r="S169" i="1"/>
  <c r="S276" i="1"/>
  <c r="S170" i="1"/>
  <c r="S277" i="1"/>
  <c r="S171" i="1"/>
  <c r="S278" i="1"/>
  <c r="S192" i="1"/>
  <c r="S302" i="1"/>
  <c r="S193" i="1"/>
  <c r="S303" i="1"/>
  <c r="S194" i="1"/>
  <c r="S304" i="1"/>
  <c r="S376" i="1"/>
  <c r="S175" i="1"/>
  <c r="S377" i="1"/>
  <c r="S176" i="1"/>
  <c r="S445" i="1"/>
  <c r="S21" i="1"/>
  <c r="S11" i="1"/>
  <c r="S9" i="1"/>
  <c r="S12" i="1"/>
  <c r="S157" i="1"/>
  <c r="S10" i="1"/>
  <c r="S6" i="1"/>
  <c r="S451" i="1"/>
  <c r="S127" i="1"/>
  <c r="S219" i="1"/>
  <c r="S423" i="1"/>
  <c r="S243" i="1"/>
  <c r="S116" i="1"/>
  <c r="S402" i="1"/>
  <c r="S98" i="1"/>
  <c r="S246" i="1"/>
  <c r="S137" i="1"/>
  <c r="S138" i="1"/>
  <c r="S158" i="1"/>
  <c r="S369" i="1"/>
  <c r="S163" i="1"/>
  <c r="S370" i="1"/>
  <c r="S164" i="1"/>
  <c r="S371" i="1"/>
  <c r="S165" i="1"/>
  <c r="S372" i="1"/>
  <c r="S166" i="1"/>
  <c r="S162" i="1"/>
  <c r="S321" i="1"/>
  <c r="S247" i="1"/>
  <c r="S403" i="1"/>
  <c r="S248" i="1"/>
  <c r="S404" i="1"/>
  <c r="S249" i="1"/>
  <c r="S405" i="1"/>
  <c r="S484" i="1"/>
  <c r="S472" i="1"/>
  <c r="S47" i="1"/>
  <c r="S473" i="1"/>
  <c r="S48" i="1"/>
  <c r="S474" i="1"/>
  <c r="S49" i="1"/>
  <c r="S382" i="1"/>
  <c r="S437" i="1"/>
  <c r="S383" i="1"/>
  <c r="S200" i="1"/>
  <c r="S201" i="1"/>
  <c r="S345" i="1"/>
  <c r="S367" i="1"/>
  <c r="S449" i="1"/>
  <c r="S88" i="1"/>
  <c r="S205" i="1"/>
  <c r="S19" i="1"/>
  <c r="S37" i="1"/>
  <c r="S332" i="1"/>
  <c r="S373" i="1"/>
  <c r="S102" i="1"/>
  <c r="S93" i="1"/>
  <c r="S155" i="1"/>
  <c r="S60" i="1"/>
  <c r="S72" i="1"/>
  <c r="S50" i="1"/>
  <c r="S143" i="1"/>
  <c r="S334" i="1"/>
  <c r="S4" i="1"/>
  <c r="S2" i="1"/>
  <c r="S84" i="1"/>
  <c r="S139" i="1"/>
  <c r="S486" i="1"/>
  <c r="S460" i="1"/>
  <c r="S453" i="1"/>
  <c r="S461" i="1"/>
  <c r="S56" i="1"/>
  <c r="S153" i="1"/>
  <c r="S295" i="1"/>
  <c r="S100" i="1"/>
  <c r="S385" i="1"/>
  <c r="S17" i="1"/>
  <c r="S123" i="1"/>
  <c r="S351" i="1"/>
  <c r="S82" i="1"/>
  <c r="S114" i="1"/>
  <c r="S356" i="1"/>
  <c r="S177" i="1"/>
  <c r="S57" i="1"/>
  <c r="S22" i="1"/>
  <c r="S23" i="1"/>
  <c r="S24" i="1"/>
  <c r="S336" i="1"/>
  <c r="S267" i="1"/>
  <c r="S286" i="1"/>
  <c r="S391" i="1"/>
  <c r="S69" i="1"/>
  <c r="S287" i="1"/>
  <c r="S346" i="1"/>
  <c r="S368" i="1"/>
  <c r="S450" i="1"/>
  <c r="S89" i="1"/>
  <c r="S206" i="1"/>
  <c r="S20" i="1"/>
  <c r="S38" i="1"/>
  <c r="S333" i="1"/>
  <c r="S374" i="1"/>
  <c r="S103" i="1"/>
  <c r="S94" i="1"/>
  <c r="S156" i="1"/>
  <c r="S61" i="1"/>
  <c r="S73" i="1"/>
  <c r="S51" i="1"/>
  <c r="S144" i="1"/>
  <c r="S335" i="1"/>
  <c r="S5" i="1"/>
  <c r="S3" i="1"/>
  <c r="S85" i="1"/>
  <c r="S140" i="1"/>
  <c r="S487" i="1"/>
  <c r="S462" i="1"/>
  <c r="S454" i="1"/>
  <c r="S463" i="1"/>
  <c r="S58" i="1"/>
  <c r="S154" i="1"/>
  <c r="S296" i="1"/>
  <c r="S101" i="1"/>
  <c r="S386" i="1"/>
  <c r="S18" i="1"/>
  <c r="S124" i="1"/>
  <c r="S352" i="1"/>
  <c r="S83" i="1"/>
  <c r="S115" i="1"/>
  <c r="S357" i="1"/>
  <c r="S178" i="1"/>
  <c r="S59" i="1"/>
  <c r="S25" i="1"/>
  <c r="S26" i="1"/>
  <c r="S27" i="1"/>
  <c r="S337" i="1"/>
  <c r="S268" i="1"/>
  <c r="S288" i="1"/>
  <c r="S392" i="1"/>
  <c r="S70" i="1"/>
  <c r="S289" i="1"/>
  <c r="S465" i="1"/>
  <c r="S45" i="1"/>
  <c r="S210" i="1"/>
  <c r="S211" i="1"/>
  <c r="S279" i="1"/>
  <c r="S104" i="1"/>
  <c r="S113" i="1"/>
  <c r="S66" i="1"/>
  <c r="S220" i="1"/>
  <c r="S75" i="1"/>
  <c r="S222" i="1"/>
  <c r="S117" i="1"/>
  <c r="S269" i="1"/>
  <c r="S31" i="1"/>
  <c r="S34" i="1"/>
  <c r="S485" i="1"/>
  <c r="S119" i="1"/>
  <c r="S244" i="1"/>
  <c r="S261" i="1"/>
  <c r="S125" i="1"/>
  <c r="S79" i="1"/>
  <c r="S149" i="1"/>
  <c r="S108" i="1"/>
  <c r="S229" i="1"/>
  <c r="S118" i="1"/>
  <c r="S52" i="1"/>
  <c r="S105" i="1"/>
  <c r="S97" i="1"/>
  <c r="S442" i="1"/>
  <c r="S90" i="1"/>
  <c r="S446" i="1"/>
  <c r="S96" i="1"/>
  <c r="S39" i="1"/>
  <c r="S40" i="1"/>
  <c r="S106" i="1"/>
  <c r="S107" i="1"/>
  <c r="S231" i="1"/>
  <c r="S432" i="1"/>
  <c r="S232" i="1"/>
  <c r="S433" i="1"/>
  <c r="S468" i="1"/>
  <c r="S469" i="1"/>
  <c r="S489" i="1"/>
  <c r="S490" i="1"/>
  <c r="S233" i="1"/>
  <c r="S434" i="1"/>
  <c r="S234" i="1"/>
  <c r="S435" i="1"/>
  <c r="S215" i="1"/>
  <c r="S216" i="1"/>
  <c r="S406" i="1"/>
  <c r="S407" i="1"/>
  <c r="S240" i="1"/>
  <c r="S241" i="1"/>
  <c r="S476" i="1"/>
  <c r="S477" i="1"/>
  <c r="S7" i="1"/>
  <c r="S8" i="1"/>
  <c r="S223" i="1"/>
  <c r="S224" i="1"/>
  <c r="S217" i="1"/>
  <c r="S218" i="1"/>
  <c r="S55" i="1"/>
  <c r="S427" i="1"/>
  <c r="S81" i="1"/>
  <c r="S410" i="1"/>
  <c r="S242" i="1"/>
  <c r="S414" i="1"/>
  <c r="S228" i="1"/>
  <c r="S420" i="1"/>
  <c r="S111" i="1"/>
  <c r="S364" i="1"/>
  <c r="S272" i="1"/>
  <c r="S439" i="1"/>
  <c r="S142" i="1"/>
  <c r="S418" i="1"/>
  <c r="S416" i="1"/>
  <c r="S195" i="1"/>
  <c r="S316" i="1"/>
  <c r="S436" i="1"/>
  <c r="S257" i="1"/>
  <c r="S29" i="1"/>
  <c r="S262" i="1"/>
  <c r="S141" i="1"/>
  <c r="S92" i="1"/>
  <c r="S317" i="1"/>
  <c r="S196" i="1"/>
  <c r="S318" i="1"/>
  <c r="S131" i="1"/>
  <c r="S132" i="1"/>
  <c r="S133" i="1"/>
  <c r="S264" i="1"/>
  <c r="S349" i="1"/>
  <c r="S235" i="1"/>
  <c r="S394" i="1"/>
  <c r="S245" i="1"/>
  <c r="S375" i="1"/>
  <c r="S226" i="1"/>
  <c r="S429" i="1"/>
  <c r="S358" i="1"/>
  <c r="S359" i="1"/>
  <c r="S99" i="1"/>
  <c r="S400" i="1"/>
  <c r="S339" i="1"/>
  <c r="S167" i="1"/>
  <c r="S417" i="1"/>
  <c r="S424" i="1"/>
  <c r="S393" i="1"/>
  <c r="S290" i="1"/>
  <c r="S95" i="1"/>
  <c r="S77" i="1"/>
  <c r="S230" i="1"/>
  <c r="S150" i="1"/>
  <c r="S151" i="1"/>
  <c r="S152" i="1"/>
  <c r="S495" i="1"/>
  <c r="S491" i="1"/>
  <c r="S14" i="1"/>
  <c r="S492" i="1"/>
  <c r="S15" i="1"/>
  <c r="S493" i="1"/>
  <c r="S16" i="1"/>
  <c r="S53" i="1"/>
  <c r="S13" i="1"/>
  <c r="S459" i="1"/>
  <c r="S32" i="1"/>
  <c r="S441" i="1"/>
  <c r="S270" i="1"/>
  <c r="S78" i="1"/>
  <c r="S225" i="1"/>
  <c r="S172" i="1"/>
  <c r="S280" i="1"/>
  <c r="S160" i="1"/>
  <c r="S273" i="1"/>
  <c r="S129" i="1"/>
  <c r="S253" i="1"/>
  <c r="S130" i="1"/>
  <c r="S120" i="1"/>
  <c r="S182" i="1"/>
  <c r="S350" i="1"/>
  <c r="S183" i="1"/>
  <c r="S297" i="1"/>
  <c r="S483" i="1"/>
  <c r="S456" i="1"/>
  <c r="S452" i="1"/>
  <c r="S87" i="1"/>
  <c r="S480" i="1"/>
  <c r="S173" i="1"/>
  <c r="S191" i="1"/>
  <c r="S387" i="1"/>
  <c r="S181" i="1"/>
  <c r="S203" i="1"/>
  <c r="S331" i="1"/>
  <c r="S239" i="1"/>
  <c r="S238" i="1"/>
  <c r="S250" i="1"/>
  <c r="S251" i="1"/>
  <c r="S209" i="1"/>
  <c r="S471" i="1"/>
  <c r="S214" i="1"/>
  <c r="S455" i="1"/>
  <c r="S41" i="1"/>
  <c r="S213" i="1"/>
  <c r="S265" i="1"/>
  <c r="S145" i="1"/>
  <c r="S236" i="1"/>
  <c r="S221" i="1"/>
  <c r="S266" i="1"/>
  <c r="S395" i="1"/>
  <c r="S274" i="1"/>
  <c r="S378" i="1"/>
  <c r="S146" i="1"/>
  <c r="S281" i="1"/>
  <c r="S147" i="1"/>
  <c r="S282" i="1"/>
  <c r="S148" i="1"/>
  <c r="S283" i="1"/>
  <c r="S174" i="1"/>
  <c r="S284" i="1"/>
  <c r="S187" i="1"/>
  <c r="S305" i="1"/>
  <c r="S188" i="1"/>
  <c r="S306" i="1"/>
  <c r="S197" i="1"/>
  <c r="S307" i="1"/>
  <c r="S198" i="1"/>
  <c r="S308" i="1"/>
  <c r="S227" i="1"/>
  <c r="S408" i="1"/>
  <c r="S448" i="1"/>
  <c r="S458" i="1"/>
  <c r="S136" i="1"/>
  <c r="S291" i="1"/>
  <c r="S338" i="1"/>
  <c r="S397" i="1"/>
  <c r="S311" i="1"/>
  <c r="S252" i="1"/>
  <c r="S126" i="1"/>
  <c r="S312" i="1"/>
  <c r="S319" i="1"/>
  <c r="S202" i="1"/>
  <c r="S179" i="1"/>
  <c r="S292" i="1"/>
  <c r="S80" i="1"/>
  <c r="S204" i="1"/>
  <c r="S320" i="1"/>
  <c r="S168" i="1"/>
  <c r="S466" i="1"/>
  <c r="S237" i="1"/>
  <c r="S109" i="1"/>
  <c r="S309" i="1"/>
  <c r="S199" i="1"/>
  <c r="S180" i="1"/>
  <c r="S71" i="1"/>
  <c r="S428" i="1"/>
  <c r="S67" i="1"/>
  <c r="S360" i="1"/>
  <c r="S68" i="1"/>
  <c r="S361" i="1"/>
  <c r="S121" i="1"/>
  <c r="S325" i="1"/>
  <c r="S122" i="1"/>
  <c r="S326" i="1"/>
  <c r="S298" i="1"/>
  <c r="S362" i="1"/>
  <c r="S310" i="1"/>
  <c r="S341" i="1"/>
  <c r="S379" i="1"/>
  <c r="S342" i="1"/>
  <c r="S258" i="1"/>
  <c r="S353" i="1"/>
  <c r="S259" i="1"/>
  <c r="S354" i="1"/>
  <c r="S260" i="1"/>
  <c r="S355" i="1"/>
  <c r="S380" i="1"/>
  <c r="S343" i="1"/>
  <c r="S381" i="1"/>
  <c r="S344" i="1"/>
  <c r="S419" i="1"/>
  <c r="S184" i="1"/>
  <c r="S322" i="1"/>
  <c r="S185" i="1"/>
  <c r="S323" i="1"/>
  <c r="S186" i="1"/>
  <c r="S324" i="1"/>
  <c r="S294" i="1"/>
  <c r="S347" i="1"/>
  <c r="S390" i="1"/>
  <c r="S388" i="1"/>
  <c r="S159" i="1"/>
  <c r="S299" i="1"/>
  <c r="S300" i="1"/>
  <c r="S301" i="1"/>
  <c r="S389" i="1"/>
  <c r="S271" i="1"/>
  <c r="S54" i="1"/>
  <c r="S348" i="1"/>
  <c r="S340" i="1"/>
  <c r="S430" i="1"/>
  <c r="S425" i="1"/>
  <c r="S36" i="1"/>
  <c r="S401" i="1"/>
  <c r="S254" i="1"/>
  <c r="S255" i="1"/>
  <c r="S256" i="1"/>
  <c r="S74" i="1"/>
  <c r="S457" i="1"/>
  <c r="S447" i="1"/>
  <c r="S62" i="1"/>
  <c r="S42" i="1"/>
  <c r="S263" i="1"/>
  <c r="S411" i="1"/>
  <c r="S110" i="1"/>
  <c r="S426" i="1"/>
  <c r="S44" i="1"/>
  <c r="S431" i="1"/>
  <c r="S91" i="1"/>
  <c r="S464" i="1"/>
  <c r="S189" i="1"/>
  <c r="S328" i="1"/>
  <c r="S190" i="1"/>
  <c r="S329" i="1"/>
  <c r="S313" i="1"/>
  <c r="S314" i="1"/>
  <c r="S285" i="1"/>
  <c r="S293" i="1"/>
  <c r="S275" i="1"/>
  <c r="S496" i="1"/>
  <c r="S330" i="1"/>
  <c r="S28" i="1"/>
  <c r="S128" i="1"/>
  <c r="S86" i="1"/>
  <c r="S482" i="1"/>
  <c r="S494" i="1"/>
  <c r="V363" i="1" l="1"/>
  <c r="W363" i="1" s="1"/>
  <c r="V327" i="1"/>
  <c r="W327" i="1" s="1"/>
  <c r="V315" i="1"/>
  <c r="W315" i="1" s="1"/>
  <c r="V475" i="1"/>
  <c r="W475" i="1" s="1"/>
  <c r="V470" i="1"/>
  <c r="W470" i="1" s="1"/>
  <c r="V422" i="1"/>
  <c r="W422" i="1" s="1"/>
  <c r="V30" i="1"/>
  <c r="W30" i="1" s="1"/>
  <c r="V478" i="1"/>
  <c r="W478" i="1" s="1"/>
  <c r="V415" i="1"/>
  <c r="W415" i="1" s="1"/>
  <c r="V440" i="1"/>
  <c r="W440" i="1" s="1"/>
  <c r="V481" i="1"/>
  <c r="W481" i="1" s="1"/>
  <c r="V409" i="1"/>
  <c r="W409" i="1" s="1"/>
  <c r="V443" i="1"/>
  <c r="W443" i="1" s="1"/>
  <c r="V64" i="1"/>
  <c r="W64" i="1" s="1"/>
  <c r="V65" i="1"/>
  <c r="W65" i="1" s="1"/>
  <c r="V134" i="1"/>
  <c r="W134" i="1" s="1"/>
  <c r="V135" i="1"/>
  <c r="W135" i="1" s="1"/>
  <c r="V161" i="1"/>
  <c r="W161" i="1" s="1"/>
  <c r="V365" i="1"/>
  <c r="W365" i="1" s="1"/>
  <c r="V438" i="1"/>
  <c r="W438" i="1" s="1"/>
  <c r="V398" i="1"/>
  <c r="W398" i="1" s="1"/>
  <c r="V399" i="1"/>
  <c r="W399" i="1" s="1"/>
  <c r="V412" i="1"/>
  <c r="W412" i="1" s="1"/>
  <c r="V413" i="1"/>
  <c r="W413" i="1" s="1"/>
  <c r="V76" i="1"/>
  <c r="W76" i="1" s="1"/>
  <c r="V112" i="1"/>
  <c r="W112" i="1" s="1"/>
  <c r="V421" i="1"/>
  <c r="W421" i="1" s="1"/>
  <c r="V396" i="1"/>
  <c r="W396" i="1" s="1"/>
  <c r="V384" i="1"/>
  <c r="W384" i="1" s="1"/>
  <c r="V488" i="1"/>
  <c r="W488" i="1" s="1"/>
  <c r="V467" i="1"/>
  <c r="W467" i="1" s="1"/>
  <c r="V46" i="1"/>
  <c r="W46" i="1" s="1"/>
  <c r="V33" i="1"/>
  <c r="W33" i="1" s="1"/>
  <c r="V63" i="1"/>
  <c r="W63" i="1" s="1"/>
  <c r="V35" i="1"/>
  <c r="W35" i="1" s="1"/>
  <c r="V43" i="1"/>
  <c r="W43" i="1" s="1"/>
  <c r="V169" i="1"/>
  <c r="W169" i="1" s="1"/>
  <c r="V276" i="1"/>
  <c r="W276" i="1" s="1"/>
  <c r="V170" i="1"/>
  <c r="W170" i="1" s="1"/>
  <c r="V277" i="1"/>
  <c r="W277" i="1" s="1"/>
  <c r="V171" i="1"/>
  <c r="W171" i="1" s="1"/>
  <c r="V278" i="1"/>
  <c r="W278" i="1" s="1"/>
  <c r="V192" i="1"/>
  <c r="W192" i="1" s="1"/>
  <c r="V302" i="1"/>
  <c r="W302" i="1" s="1"/>
  <c r="V193" i="1"/>
  <c r="W193" i="1" s="1"/>
  <c r="V303" i="1"/>
  <c r="W303" i="1" s="1"/>
  <c r="V194" i="1"/>
  <c r="W194" i="1" s="1"/>
  <c r="V304" i="1"/>
  <c r="W304" i="1" s="1"/>
  <c r="V376" i="1"/>
  <c r="W376" i="1" s="1"/>
  <c r="V175" i="1"/>
  <c r="W175" i="1" s="1"/>
  <c r="V450" i="1"/>
  <c r="W450" i="1" s="1"/>
  <c r="V89" i="1"/>
  <c r="W89" i="1" s="1"/>
  <c r="V206" i="1"/>
  <c r="W206" i="1" s="1"/>
  <c r="V20" i="1"/>
  <c r="W20" i="1" s="1"/>
  <c r="V38" i="1"/>
  <c r="W38" i="1" s="1"/>
  <c r="V333" i="1"/>
  <c r="W333" i="1" s="1"/>
  <c r="V374" i="1"/>
  <c r="W374" i="1" s="1"/>
  <c r="V103" i="1"/>
  <c r="W103" i="1" s="1"/>
  <c r="V94" i="1"/>
  <c r="W94" i="1" s="1"/>
  <c r="V156" i="1"/>
  <c r="W156" i="1" s="1"/>
  <c r="V61" i="1"/>
  <c r="W61" i="1" s="1"/>
  <c r="V73" i="1"/>
  <c r="W73" i="1" s="1"/>
  <c r="V51" i="1"/>
  <c r="W51" i="1" s="1"/>
  <c r="V144" i="1"/>
  <c r="W144" i="1" s="1"/>
  <c r="V335" i="1"/>
  <c r="W335" i="1" s="1"/>
  <c r="V5" i="1"/>
  <c r="W5" i="1" s="1"/>
  <c r="V3" i="1"/>
  <c r="W3" i="1" s="1"/>
  <c r="V85" i="1"/>
  <c r="W85" i="1" s="1"/>
  <c r="V140" i="1"/>
  <c r="W140" i="1" s="1"/>
  <c r="V487" i="1"/>
  <c r="W487" i="1" s="1"/>
  <c r="V462" i="1"/>
  <c r="W462" i="1" s="1"/>
  <c r="V454" i="1"/>
  <c r="W454" i="1" s="1"/>
  <c r="V463" i="1"/>
  <c r="W463" i="1" s="1"/>
  <c r="V58" i="1"/>
  <c r="W58" i="1" s="1"/>
  <c r="V154" i="1"/>
  <c r="W154" i="1" s="1"/>
  <c r="V296" i="1"/>
  <c r="W296" i="1" s="1"/>
  <c r="V354" i="1"/>
  <c r="W354" i="1" s="1"/>
  <c r="V355" i="1"/>
  <c r="W355" i="1" s="1"/>
  <c r="V260" i="1"/>
  <c r="W260" i="1" s="1"/>
  <c r="V380" i="1"/>
  <c r="W380" i="1" s="1"/>
  <c r="V343" i="1"/>
  <c r="W343" i="1" s="1"/>
  <c r="V381" i="1"/>
  <c r="W381" i="1" s="1"/>
  <c r="V344" i="1"/>
  <c r="W344" i="1" s="1"/>
  <c r="V419" i="1"/>
  <c r="W419" i="1" s="1"/>
  <c r="V184" i="1"/>
  <c r="W184" i="1" s="1"/>
  <c r="V322" i="1"/>
  <c r="W322" i="1" s="1"/>
  <c r="V185" i="1"/>
  <c r="W185" i="1" s="1"/>
  <c r="V323" i="1"/>
  <c r="W323" i="1" s="1"/>
  <c r="V186" i="1"/>
  <c r="W186" i="1" s="1"/>
  <c r="V324" i="1"/>
  <c r="W324" i="1" s="1"/>
  <c r="V294" i="1"/>
  <c r="W294" i="1" s="1"/>
  <c r="V347" i="1"/>
  <c r="W347" i="1" s="1"/>
  <c r="V366" i="1"/>
  <c r="W366" i="1" s="1"/>
  <c r="V207" i="1"/>
  <c r="W207" i="1" s="1"/>
  <c r="V479" i="1"/>
  <c r="W479" i="1" s="1"/>
  <c r="V444" i="1"/>
  <c r="W444" i="1" s="1"/>
  <c r="V212" i="1"/>
  <c r="W212" i="1" s="1"/>
  <c r="V208" i="1"/>
  <c r="W208" i="1" s="1"/>
  <c r="V287" i="1"/>
  <c r="W287" i="1" s="1"/>
  <c r="V346" i="1"/>
  <c r="W346" i="1" s="1"/>
  <c r="V368" i="1"/>
  <c r="W368" i="1" s="1"/>
  <c r="V485" i="1"/>
  <c r="W485" i="1" s="1"/>
  <c r="V101" i="1"/>
  <c r="W101" i="1" s="1"/>
  <c r="V386" i="1"/>
  <c r="W386" i="1" s="1"/>
  <c r="V18" i="1"/>
  <c r="W18" i="1" s="1"/>
  <c r="V250" i="1"/>
  <c r="W250" i="1" s="1"/>
  <c r="V159" i="1"/>
  <c r="W159" i="1" s="1"/>
  <c r="V271" i="1"/>
  <c r="W271" i="1" s="1"/>
  <c r="V425" i="1"/>
  <c r="W425" i="1" s="1"/>
  <c r="V238" i="1"/>
  <c r="W238" i="1" s="1"/>
  <c r="V300" i="1"/>
  <c r="W300" i="1" s="1"/>
  <c r="V54" i="1"/>
  <c r="W54" i="1" s="1"/>
  <c r="V36" i="1"/>
  <c r="W36" i="1" s="1"/>
  <c r="V387" i="1"/>
  <c r="W387" i="1" s="1"/>
  <c r="V331" i="1"/>
  <c r="W331" i="1" s="1"/>
  <c r="V390" i="1"/>
  <c r="W390" i="1" s="1"/>
  <c r="V301" i="1"/>
  <c r="W301" i="1" s="1"/>
  <c r="V348" i="1"/>
  <c r="W348" i="1" s="1"/>
  <c r="V401" i="1"/>
  <c r="W401" i="1" s="1"/>
  <c r="V350" i="1"/>
  <c r="W350" i="1" s="1"/>
  <c r="V183" i="1"/>
  <c r="W183" i="1" s="1"/>
  <c r="V297" i="1"/>
  <c r="W297" i="1" s="1"/>
  <c r="V483" i="1"/>
  <c r="W483" i="1" s="1"/>
  <c r="V456" i="1"/>
  <c r="W456" i="1" s="1"/>
  <c r="V452" i="1"/>
  <c r="W452" i="1" s="1"/>
  <c r="V87" i="1"/>
  <c r="W87" i="1" s="1"/>
  <c r="V480" i="1"/>
  <c r="W480" i="1" s="1"/>
  <c r="V173" i="1"/>
  <c r="W173" i="1" s="1"/>
  <c r="V191" i="1"/>
  <c r="W191" i="1" s="1"/>
  <c r="V181" i="1"/>
  <c r="W181" i="1" s="1"/>
  <c r="V203" i="1"/>
  <c r="W203" i="1" s="1"/>
  <c r="V239" i="1"/>
  <c r="W239" i="1" s="1"/>
  <c r="V251" i="1"/>
  <c r="W251" i="1" s="1"/>
  <c r="V299" i="1"/>
  <c r="W299" i="1" s="1"/>
  <c r="V389" i="1"/>
  <c r="W389" i="1" s="1"/>
  <c r="V340" i="1"/>
  <c r="W340" i="1" s="1"/>
  <c r="V388" i="1"/>
  <c r="W388" i="1" s="1"/>
  <c r="V430" i="1"/>
  <c r="W430" i="1" s="1"/>
  <c r="V377" i="1"/>
  <c r="W377" i="1" s="1"/>
  <c r="V176" i="1"/>
  <c r="W176" i="1" s="1"/>
  <c r="V445" i="1"/>
  <c r="W445" i="1" s="1"/>
  <c r="V21" i="1"/>
  <c r="W21" i="1" s="1"/>
  <c r="V11" i="1"/>
  <c r="W11" i="1" s="1"/>
  <c r="V9" i="1"/>
  <c r="W9" i="1" s="1"/>
  <c r="V12" i="1"/>
  <c r="W12" i="1" s="1"/>
  <c r="V157" i="1"/>
  <c r="W157" i="1" s="1"/>
  <c r="V10" i="1"/>
  <c r="W10" i="1" s="1"/>
  <c r="V6" i="1"/>
  <c r="W6" i="1" s="1"/>
  <c r="V451" i="1"/>
  <c r="W451" i="1" s="1"/>
  <c r="V127" i="1"/>
  <c r="W127" i="1" s="1"/>
  <c r="V219" i="1"/>
  <c r="W219" i="1" s="1"/>
  <c r="V423" i="1"/>
  <c r="W423" i="1" s="1"/>
  <c r="V243" i="1"/>
  <c r="W243" i="1" s="1"/>
  <c r="V116" i="1"/>
  <c r="W116" i="1" s="1"/>
  <c r="V402" i="1"/>
  <c r="W402" i="1" s="1"/>
  <c r="V98" i="1"/>
  <c r="W98" i="1" s="1"/>
  <c r="V246" i="1"/>
  <c r="W246" i="1" s="1"/>
  <c r="V137" i="1"/>
  <c r="W137" i="1" s="1"/>
  <c r="V138" i="1"/>
  <c r="W138" i="1" s="1"/>
  <c r="V158" i="1"/>
  <c r="W158" i="1" s="1"/>
  <c r="V369" i="1"/>
  <c r="W369" i="1" s="1"/>
  <c r="V163" i="1"/>
  <c r="W163" i="1" s="1"/>
  <c r="V370" i="1"/>
  <c r="W370" i="1" s="1"/>
  <c r="V164" i="1"/>
  <c r="W164" i="1" s="1"/>
  <c r="V371" i="1"/>
  <c r="W371" i="1" s="1"/>
  <c r="V165" i="1"/>
  <c r="W165" i="1" s="1"/>
  <c r="V372" i="1"/>
  <c r="W372" i="1" s="1"/>
  <c r="V166" i="1"/>
  <c r="W166" i="1" s="1"/>
  <c r="V162" i="1"/>
  <c r="W162" i="1" s="1"/>
  <c r="V321" i="1"/>
  <c r="W321" i="1" s="1"/>
  <c r="V247" i="1"/>
  <c r="W247" i="1" s="1"/>
  <c r="V403" i="1"/>
  <c r="W403" i="1" s="1"/>
  <c r="V248" i="1"/>
  <c r="W248" i="1" s="1"/>
  <c r="V214" i="1"/>
  <c r="W214" i="1" s="1"/>
  <c r="V240" i="1"/>
  <c r="W240" i="1" s="1"/>
  <c r="V477" i="1"/>
  <c r="W477" i="1" s="1"/>
  <c r="V223" i="1"/>
  <c r="W223" i="1" s="1"/>
  <c r="V55" i="1"/>
  <c r="W55" i="1" s="1"/>
  <c r="V242" i="1"/>
  <c r="W242" i="1" s="1"/>
  <c r="V272" i="1"/>
  <c r="W272" i="1" s="1"/>
  <c r="V274" i="1"/>
  <c r="W274" i="1" s="1"/>
  <c r="V216" i="1"/>
  <c r="W216" i="1" s="1"/>
  <c r="V476" i="1"/>
  <c r="W476" i="1" s="1"/>
  <c r="V8" i="1"/>
  <c r="W8" i="1" s="1"/>
  <c r="V81" i="1"/>
  <c r="W81" i="1" s="1"/>
  <c r="V228" i="1"/>
  <c r="W228" i="1" s="1"/>
  <c r="V439" i="1"/>
  <c r="W439" i="1" s="1"/>
  <c r="V455" i="1"/>
  <c r="W455" i="1" s="1"/>
  <c r="V236" i="1"/>
  <c r="W236" i="1" s="1"/>
  <c r="V215" i="1"/>
  <c r="W215" i="1" s="1"/>
  <c r="V241" i="1"/>
  <c r="W241" i="1" s="1"/>
  <c r="V7" i="1"/>
  <c r="W7" i="1" s="1"/>
  <c r="V224" i="1"/>
  <c r="W224" i="1" s="1"/>
  <c r="V410" i="1"/>
  <c r="W410" i="1" s="1"/>
  <c r="V111" i="1"/>
  <c r="W111" i="1" s="1"/>
  <c r="V416" i="1"/>
  <c r="W416" i="1" s="1"/>
  <c r="V209" i="1"/>
  <c r="W209" i="1" s="1"/>
  <c r="V265" i="1"/>
  <c r="W265" i="1" s="1"/>
  <c r="V407" i="1"/>
  <c r="W407" i="1" s="1"/>
  <c r="V217" i="1"/>
  <c r="W217" i="1" s="1"/>
  <c r="V414" i="1"/>
  <c r="W414" i="1" s="1"/>
  <c r="V364" i="1"/>
  <c r="W364" i="1" s="1"/>
  <c r="V41" i="1"/>
  <c r="W41" i="1" s="1"/>
  <c r="V395" i="1"/>
  <c r="W395" i="1" s="1"/>
  <c r="V435" i="1"/>
  <c r="W435" i="1" s="1"/>
  <c r="V218" i="1"/>
  <c r="W218" i="1" s="1"/>
  <c r="V418" i="1"/>
  <c r="W418" i="1" s="1"/>
  <c r="V221" i="1"/>
  <c r="W221" i="1" s="1"/>
  <c r="V406" i="1"/>
  <c r="W406" i="1" s="1"/>
  <c r="V427" i="1"/>
  <c r="W427" i="1" s="1"/>
  <c r="V142" i="1"/>
  <c r="W142" i="1" s="1"/>
  <c r="V213" i="1"/>
  <c r="W213" i="1" s="1"/>
  <c r="V266" i="1"/>
  <c r="W266" i="1" s="1"/>
  <c r="V420" i="1"/>
  <c r="W420" i="1" s="1"/>
  <c r="V145" i="1"/>
  <c r="W145" i="1" s="1"/>
  <c r="V471" i="1"/>
  <c r="W471" i="1" s="1"/>
  <c r="V249" i="1"/>
  <c r="W249" i="1" s="1"/>
  <c r="V405" i="1"/>
  <c r="W405" i="1" s="1"/>
  <c r="V472" i="1"/>
  <c r="W472" i="1" s="1"/>
  <c r="V473" i="1"/>
  <c r="W473" i="1" s="1"/>
  <c r="V474" i="1"/>
  <c r="W474" i="1" s="1"/>
  <c r="V382" i="1"/>
  <c r="W382" i="1" s="1"/>
  <c r="V383" i="1"/>
  <c r="W383" i="1" s="1"/>
  <c r="V201" i="1"/>
  <c r="W201" i="1" s="1"/>
  <c r="V367" i="1"/>
  <c r="W367" i="1" s="1"/>
  <c r="V22" i="1"/>
  <c r="W22" i="1" s="1"/>
  <c r="V267" i="1"/>
  <c r="W267" i="1" s="1"/>
  <c r="V337" i="1"/>
  <c r="W337" i="1" s="1"/>
  <c r="V70" i="1"/>
  <c r="W70" i="1" s="1"/>
  <c r="V210" i="1"/>
  <c r="W210" i="1" s="1"/>
  <c r="V113" i="1"/>
  <c r="W113" i="1" s="1"/>
  <c r="V222" i="1"/>
  <c r="W222" i="1" s="1"/>
  <c r="V34" i="1"/>
  <c r="W34" i="1" s="1"/>
  <c r="V434" i="1"/>
  <c r="W434" i="1" s="1"/>
  <c r="V404" i="1"/>
  <c r="W404" i="1" s="1"/>
  <c r="V484" i="1"/>
  <c r="W484" i="1" s="1"/>
  <c r="V47" i="1"/>
  <c r="W47" i="1" s="1"/>
  <c r="V48" i="1"/>
  <c r="W48" i="1" s="1"/>
  <c r="V49" i="1"/>
  <c r="W49" i="1" s="1"/>
  <c r="V437" i="1"/>
  <c r="W437" i="1" s="1"/>
  <c r="V200" i="1"/>
  <c r="W200" i="1" s="1"/>
  <c r="V345" i="1"/>
  <c r="W345" i="1" s="1"/>
  <c r="V57" i="1"/>
  <c r="W57" i="1" s="1"/>
  <c r="V24" i="1"/>
  <c r="W24" i="1" s="1"/>
  <c r="V286" i="1"/>
  <c r="W286" i="1" s="1"/>
  <c r="V69" i="1"/>
  <c r="W69" i="1" s="1"/>
  <c r="V26" i="1"/>
  <c r="W26" i="1" s="1"/>
  <c r="V288" i="1"/>
  <c r="W288" i="1" s="1"/>
  <c r="V465" i="1"/>
  <c r="W465" i="1" s="1"/>
  <c r="V211" i="1"/>
  <c r="W211" i="1" s="1"/>
  <c r="V66" i="1"/>
  <c r="W66" i="1" s="1"/>
  <c r="V117" i="1"/>
  <c r="W117" i="1" s="1"/>
  <c r="V234" i="1"/>
  <c r="W234" i="1" s="1"/>
  <c r="V449" i="1"/>
  <c r="W449" i="1" s="1"/>
  <c r="V88" i="1"/>
  <c r="W88" i="1" s="1"/>
  <c r="V205" i="1"/>
  <c r="W205" i="1" s="1"/>
  <c r="V19" i="1"/>
  <c r="W19" i="1" s="1"/>
  <c r="V37" i="1"/>
  <c r="W37" i="1" s="1"/>
  <c r="V332" i="1"/>
  <c r="W332" i="1" s="1"/>
  <c r="V373" i="1"/>
  <c r="W373" i="1" s="1"/>
  <c r="V102" i="1"/>
  <c r="W102" i="1" s="1"/>
  <c r="V93" i="1"/>
  <c r="W93" i="1" s="1"/>
  <c r="V155" i="1"/>
  <c r="W155" i="1" s="1"/>
  <c r="V60" i="1"/>
  <c r="W60" i="1" s="1"/>
  <c r="V72" i="1"/>
  <c r="W72" i="1" s="1"/>
  <c r="V50" i="1"/>
  <c r="W50" i="1" s="1"/>
  <c r="V143" i="1"/>
  <c r="W143" i="1" s="1"/>
  <c r="V334" i="1"/>
  <c r="W334" i="1" s="1"/>
  <c r="V4" i="1"/>
  <c r="W4" i="1" s="1"/>
  <c r="V2" i="1"/>
  <c r="W2" i="1" s="1"/>
  <c r="V84" i="1"/>
  <c r="W84" i="1" s="1"/>
  <c r="V139" i="1"/>
  <c r="W139" i="1" s="1"/>
  <c r="V486" i="1"/>
  <c r="W486" i="1" s="1"/>
  <c r="V460" i="1"/>
  <c r="W460" i="1" s="1"/>
  <c r="V453" i="1"/>
  <c r="W453" i="1" s="1"/>
  <c r="V461" i="1"/>
  <c r="W461" i="1" s="1"/>
  <c r="V56" i="1"/>
  <c r="W56" i="1" s="1"/>
  <c r="V153" i="1"/>
  <c r="W153" i="1" s="1"/>
  <c r="V295" i="1"/>
  <c r="W295" i="1" s="1"/>
  <c r="V100" i="1"/>
  <c r="W100" i="1" s="1"/>
  <c r="V385" i="1"/>
  <c r="W385" i="1" s="1"/>
  <c r="V17" i="1"/>
  <c r="W17" i="1" s="1"/>
  <c r="V123" i="1"/>
  <c r="W123" i="1" s="1"/>
  <c r="V351" i="1"/>
  <c r="W351" i="1" s="1"/>
  <c r="V82" i="1"/>
  <c r="W82" i="1" s="1"/>
  <c r="V114" i="1"/>
  <c r="W114" i="1" s="1"/>
  <c r="V356" i="1"/>
  <c r="W356" i="1" s="1"/>
  <c r="V177" i="1"/>
  <c r="W177" i="1" s="1"/>
  <c r="V23" i="1"/>
  <c r="W23" i="1" s="1"/>
  <c r="V336" i="1"/>
  <c r="W336" i="1" s="1"/>
  <c r="V391" i="1"/>
  <c r="W391" i="1" s="1"/>
  <c r="V268" i="1"/>
  <c r="W268" i="1" s="1"/>
  <c r="V289" i="1"/>
  <c r="W289" i="1" s="1"/>
  <c r="V279" i="1"/>
  <c r="W279" i="1" s="1"/>
  <c r="V220" i="1"/>
  <c r="W220" i="1" s="1"/>
  <c r="V269" i="1"/>
  <c r="W269" i="1" s="1"/>
  <c r="V490" i="1"/>
  <c r="W490" i="1" s="1"/>
  <c r="V124" i="1"/>
  <c r="W124" i="1" s="1"/>
  <c r="V352" i="1"/>
  <c r="W352" i="1" s="1"/>
  <c r="V83" i="1"/>
  <c r="W83" i="1" s="1"/>
  <c r="V115" i="1"/>
  <c r="W115" i="1" s="1"/>
  <c r="V357" i="1"/>
  <c r="W357" i="1" s="1"/>
  <c r="V178" i="1"/>
  <c r="W178" i="1" s="1"/>
  <c r="V59" i="1"/>
  <c r="W59" i="1" s="1"/>
  <c r="V25" i="1"/>
  <c r="W25" i="1" s="1"/>
  <c r="V27" i="1"/>
  <c r="W27" i="1" s="1"/>
  <c r="V392" i="1"/>
  <c r="W392" i="1" s="1"/>
  <c r="V45" i="1"/>
  <c r="W45" i="1" s="1"/>
  <c r="V104" i="1"/>
  <c r="W104" i="1" s="1"/>
  <c r="V75" i="1"/>
  <c r="W75" i="1" s="1"/>
  <c r="V31" i="1"/>
  <c r="W31" i="1" s="1"/>
  <c r="V233" i="1"/>
  <c r="W233" i="1" s="1"/>
  <c r="V119" i="1"/>
  <c r="W119" i="1" s="1"/>
  <c r="V244" i="1"/>
  <c r="W244" i="1" s="1"/>
  <c r="V261" i="1"/>
  <c r="W261" i="1" s="1"/>
  <c r="V125" i="1"/>
  <c r="W125" i="1" s="1"/>
  <c r="V79" i="1"/>
  <c r="W79" i="1" s="1"/>
  <c r="V149" i="1"/>
  <c r="W149" i="1" s="1"/>
  <c r="V108" i="1"/>
  <c r="W108" i="1" s="1"/>
  <c r="V229" i="1"/>
  <c r="W229" i="1" s="1"/>
  <c r="V118" i="1"/>
  <c r="W118" i="1" s="1"/>
  <c r="V52" i="1"/>
  <c r="W52" i="1" s="1"/>
  <c r="V105" i="1"/>
  <c r="W105" i="1" s="1"/>
  <c r="V97" i="1"/>
  <c r="W97" i="1" s="1"/>
  <c r="V442" i="1"/>
  <c r="W442" i="1" s="1"/>
  <c r="V90" i="1"/>
  <c r="W90" i="1" s="1"/>
  <c r="V446" i="1"/>
  <c r="W446" i="1" s="1"/>
  <c r="V96" i="1"/>
  <c r="W96" i="1" s="1"/>
  <c r="V39" i="1"/>
  <c r="W39" i="1" s="1"/>
  <c r="V40" i="1"/>
  <c r="W40" i="1" s="1"/>
  <c r="V106" i="1"/>
  <c r="W106" i="1" s="1"/>
  <c r="V107" i="1"/>
  <c r="W107" i="1" s="1"/>
  <c r="V231" i="1"/>
  <c r="W231" i="1" s="1"/>
  <c r="V432" i="1"/>
  <c r="W432" i="1" s="1"/>
  <c r="V232" i="1"/>
  <c r="W232" i="1" s="1"/>
  <c r="V433" i="1"/>
  <c r="W433" i="1" s="1"/>
  <c r="V468" i="1"/>
  <c r="W468" i="1" s="1"/>
  <c r="V469" i="1"/>
  <c r="W469" i="1" s="1"/>
  <c r="V489" i="1"/>
  <c r="W489" i="1" s="1"/>
  <c r="V195" i="1"/>
  <c r="W195" i="1" s="1"/>
  <c r="V316" i="1"/>
  <c r="W316" i="1" s="1"/>
  <c r="V436" i="1"/>
  <c r="W436" i="1" s="1"/>
  <c r="V257" i="1"/>
  <c r="W257" i="1" s="1"/>
  <c r="V29" i="1"/>
  <c r="W29" i="1" s="1"/>
  <c r="V262" i="1"/>
  <c r="W262" i="1" s="1"/>
  <c r="V141" i="1"/>
  <c r="W141" i="1" s="1"/>
  <c r="V92" i="1"/>
  <c r="W92" i="1" s="1"/>
  <c r="V317" i="1"/>
  <c r="W317" i="1" s="1"/>
  <c r="V196" i="1"/>
  <c r="W196" i="1" s="1"/>
  <c r="V318" i="1"/>
  <c r="W318" i="1" s="1"/>
  <c r="V131" i="1"/>
  <c r="W131" i="1" s="1"/>
  <c r="V132" i="1"/>
  <c r="W132" i="1" s="1"/>
  <c r="V133" i="1"/>
  <c r="W133" i="1" s="1"/>
  <c r="V264" i="1"/>
  <c r="W264" i="1" s="1"/>
  <c r="V349" i="1"/>
  <c r="W349" i="1" s="1"/>
  <c r="V235" i="1"/>
  <c r="W235" i="1" s="1"/>
  <c r="V394" i="1"/>
  <c r="W394" i="1" s="1"/>
  <c r="V245" i="1"/>
  <c r="W245" i="1" s="1"/>
  <c r="V375" i="1"/>
  <c r="W375" i="1" s="1"/>
  <c r="V226" i="1"/>
  <c r="W226" i="1" s="1"/>
  <c r="V429" i="1"/>
  <c r="W429" i="1" s="1"/>
  <c r="V358" i="1"/>
  <c r="W358" i="1" s="1"/>
  <c r="V359" i="1"/>
  <c r="W359" i="1" s="1"/>
  <c r="V99" i="1"/>
  <c r="W99" i="1" s="1"/>
  <c r="V400" i="1"/>
  <c r="W400" i="1" s="1"/>
  <c r="V339" i="1"/>
  <c r="W339" i="1" s="1"/>
  <c r="V167" i="1"/>
  <c r="W167" i="1" s="1"/>
  <c r="V417" i="1"/>
  <c r="W417" i="1" s="1"/>
  <c r="V424" i="1"/>
  <c r="W424" i="1" s="1"/>
  <c r="V393" i="1"/>
  <c r="W393" i="1" s="1"/>
  <c r="V290" i="1"/>
  <c r="W290" i="1" s="1"/>
  <c r="V95" i="1"/>
  <c r="W95" i="1" s="1"/>
  <c r="V77" i="1"/>
  <c r="W77" i="1" s="1"/>
  <c r="V230" i="1"/>
  <c r="W230" i="1" s="1"/>
  <c r="V150" i="1"/>
  <c r="W150" i="1" s="1"/>
  <c r="V151" i="1"/>
  <c r="W151" i="1" s="1"/>
  <c r="V152" i="1"/>
  <c r="W152" i="1" s="1"/>
  <c r="V495" i="1"/>
  <c r="W495" i="1" s="1"/>
  <c r="V491" i="1"/>
  <c r="W491" i="1" s="1"/>
  <c r="V14" i="1"/>
  <c r="W14" i="1" s="1"/>
  <c r="V492" i="1"/>
  <c r="W492" i="1" s="1"/>
  <c r="V15" i="1"/>
  <c r="W15" i="1" s="1"/>
  <c r="V493" i="1"/>
  <c r="W493" i="1" s="1"/>
  <c r="V16" i="1"/>
  <c r="W16" i="1" s="1"/>
  <c r="V53" i="1"/>
  <c r="W53" i="1" s="1"/>
  <c r="V13" i="1"/>
  <c r="W13" i="1" s="1"/>
  <c r="V146" i="1"/>
  <c r="W146" i="1" s="1"/>
  <c r="V147" i="1"/>
  <c r="W147" i="1" s="1"/>
  <c r="V148" i="1"/>
  <c r="W148" i="1" s="1"/>
  <c r="V174" i="1"/>
  <c r="W174" i="1" s="1"/>
  <c r="V187" i="1"/>
  <c r="W187" i="1" s="1"/>
  <c r="V188" i="1"/>
  <c r="W188" i="1" s="1"/>
  <c r="V197" i="1"/>
  <c r="W197" i="1" s="1"/>
  <c r="V198" i="1"/>
  <c r="W198" i="1" s="1"/>
  <c r="V258" i="1"/>
  <c r="W258" i="1" s="1"/>
  <c r="V275" i="1"/>
  <c r="W275" i="1" s="1"/>
  <c r="V128" i="1"/>
  <c r="W128" i="1" s="1"/>
  <c r="V459" i="1"/>
  <c r="W459" i="1" s="1"/>
  <c r="V32" i="1"/>
  <c r="W32" i="1" s="1"/>
  <c r="V441" i="1"/>
  <c r="W441" i="1" s="1"/>
  <c r="V270" i="1"/>
  <c r="W270" i="1" s="1"/>
  <c r="V78" i="1"/>
  <c r="W78" i="1" s="1"/>
  <c r="V225" i="1"/>
  <c r="W225" i="1" s="1"/>
  <c r="V172" i="1"/>
  <c r="W172" i="1" s="1"/>
  <c r="V280" i="1"/>
  <c r="W280" i="1" s="1"/>
  <c r="V160" i="1"/>
  <c r="W160" i="1" s="1"/>
  <c r="V273" i="1"/>
  <c r="W273" i="1" s="1"/>
  <c r="V129" i="1"/>
  <c r="W129" i="1" s="1"/>
  <c r="V253" i="1"/>
  <c r="W253" i="1" s="1"/>
  <c r="V130" i="1"/>
  <c r="W130" i="1" s="1"/>
  <c r="V120" i="1"/>
  <c r="W120" i="1" s="1"/>
  <c r="V182" i="1"/>
  <c r="W182" i="1" s="1"/>
  <c r="V378" i="1"/>
  <c r="W378" i="1" s="1"/>
  <c r="V281" i="1"/>
  <c r="W281" i="1" s="1"/>
  <c r="V282" i="1"/>
  <c r="W282" i="1" s="1"/>
  <c r="V283" i="1"/>
  <c r="W283" i="1" s="1"/>
  <c r="V284" i="1"/>
  <c r="W284" i="1" s="1"/>
  <c r="V305" i="1"/>
  <c r="W305" i="1" s="1"/>
  <c r="V306" i="1"/>
  <c r="W306" i="1" s="1"/>
  <c r="V307" i="1"/>
  <c r="W307" i="1" s="1"/>
  <c r="V379" i="1"/>
  <c r="W379" i="1" s="1"/>
  <c r="V259" i="1"/>
  <c r="W259" i="1" s="1"/>
  <c r="V330" i="1"/>
  <c r="W330" i="1" s="1"/>
  <c r="V482" i="1"/>
  <c r="W482" i="1" s="1"/>
  <c r="V308" i="1"/>
  <c r="W308" i="1" s="1"/>
  <c r="V227" i="1"/>
  <c r="W227" i="1" s="1"/>
  <c r="V408" i="1"/>
  <c r="W408" i="1" s="1"/>
  <c r="V448" i="1"/>
  <c r="W448" i="1" s="1"/>
  <c r="V458" i="1"/>
  <c r="W458" i="1" s="1"/>
  <c r="V136" i="1"/>
  <c r="W136" i="1" s="1"/>
  <c r="V291" i="1"/>
  <c r="W291" i="1" s="1"/>
  <c r="V338" i="1"/>
  <c r="W338" i="1" s="1"/>
  <c r="V397" i="1"/>
  <c r="W397" i="1" s="1"/>
  <c r="V311" i="1"/>
  <c r="W311" i="1" s="1"/>
  <c r="V252" i="1"/>
  <c r="W252" i="1" s="1"/>
  <c r="V126" i="1"/>
  <c r="W126" i="1" s="1"/>
  <c r="V312" i="1"/>
  <c r="W312" i="1" s="1"/>
  <c r="V319" i="1"/>
  <c r="W319" i="1" s="1"/>
  <c r="V202" i="1"/>
  <c r="W202" i="1" s="1"/>
  <c r="V179" i="1"/>
  <c r="W179" i="1" s="1"/>
  <c r="V292" i="1"/>
  <c r="W292" i="1" s="1"/>
  <c r="V80" i="1"/>
  <c r="W80" i="1" s="1"/>
  <c r="V204" i="1"/>
  <c r="W204" i="1" s="1"/>
  <c r="V320" i="1"/>
  <c r="W320" i="1" s="1"/>
  <c r="V168" i="1"/>
  <c r="W168" i="1" s="1"/>
  <c r="V466" i="1"/>
  <c r="W466" i="1" s="1"/>
  <c r="V237" i="1"/>
  <c r="W237" i="1" s="1"/>
  <c r="V109" i="1"/>
  <c r="W109" i="1" s="1"/>
  <c r="V309" i="1"/>
  <c r="W309" i="1" s="1"/>
  <c r="V199" i="1"/>
  <c r="W199" i="1" s="1"/>
  <c r="V180" i="1"/>
  <c r="W180" i="1" s="1"/>
  <c r="V71" i="1"/>
  <c r="W71" i="1" s="1"/>
  <c r="V428" i="1"/>
  <c r="W428" i="1" s="1"/>
  <c r="V67" i="1"/>
  <c r="W67" i="1" s="1"/>
  <c r="V360" i="1"/>
  <c r="W360" i="1" s="1"/>
  <c r="V68" i="1"/>
  <c r="W68" i="1" s="1"/>
  <c r="V361" i="1"/>
  <c r="W361" i="1" s="1"/>
  <c r="V121" i="1"/>
  <c r="W121" i="1" s="1"/>
  <c r="V325" i="1"/>
  <c r="W325" i="1" s="1"/>
  <c r="V122" i="1"/>
  <c r="W122" i="1" s="1"/>
  <c r="V326" i="1"/>
  <c r="W326" i="1" s="1"/>
  <c r="V298" i="1"/>
  <c r="W298" i="1" s="1"/>
  <c r="V362" i="1"/>
  <c r="W362" i="1" s="1"/>
  <c r="V310" i="1"/>
  <c r="W310" i="1" s="1"/>
  <c r="V341" i="1"/>
  <c r="W341" i="1" s="1"/>
  <c r="V342" i="1"/>
  <c r="W342" i="1" s="1"/>
  <c r="V353" i="1"/>
  <c r="W353" i="1" s="1"/>
  <c r="V496" i="1"/>
  <c r="W496" i="1" s="1"/>
  <c r="V86" i="1"/>
  <c r="W86" i="1" s="1"/>
  <c r="V254" i="1"/>
  <c r="W254" i="1" s="1"/>
  <c r="V255" i="1"/>
  <c r="W255" i="1" s="1"/>
  <c r="V256" i="1"/>
  <c r="W256" i="1" s="1"/>
  <c r="V74" i="1"/>
  <c r="W74" i="1" s="1"/>
  <c r="V457" i="1"/>
  <c r="W457" i="1" s="1"/>
  <c r="V447" i="1"/>
  <c r="W447" i="1" s="1"/>
  <c r="V62" i="1"/>
  <c r="W62" i="1" s="1"/>
  <c r="V42" i="1"/>
  <c r="W42" i="1" s="1"/>
  <c r="V263" i="1"/>
  <c r="W263" i="1" s="1"/>
  <c r="V411" i="1"/>
  <c r="W411" i="1" s="1"/>
  <c r="V110" i="1"/>
  <c r="W110" i="1" s="1"/>
  <c r="V426" i="1"/>
  <c r="W426" i="1" s="1"/>
  <c r="V44" i="1"/>
  <c r="W44" i="1" s="1"/>
  <c r="V431" i="1"/>
  <c r="W431" i="1" s="1"/>
  <c r="V91" i="1"/>
  <c r="W91" i="1" s="1"/>
  <c r="V464" i="1"/>
  <c r="W464" i="1" s="1"/>
  <c r="V189" i="1"/>
  <c r="W189" i="1" s="1"/>
  <c r="V328" i="1"/>
  <c r="W328" i="1" s="1"/>
  <c r="V190" i="1"/>
  <c r="W190" i="1" s="1"/>
  <c r="V329" i="1"/>
  <c r="W329" i="1" s="1"/>
  <c r="V313" i="1"/>
  <c r="W313" i="1" s="1"/>
  <c r="V314" i="1"/>
  <c r="W314" i="1" s="1"/>
  <c r="V285" i="1"/>
  <c r="W285" i="1" s="1"/>
  <c r="V293" i="1"/>
  <c r="W293" i="1" s="1"/>
  <c r="V28" i="1"/>
  <c r="W28" i="1" s="1"/>
  <c r="V494" i="1"/>
  <c r="W494" i="1" s="1"/>
  <c r="V497" i="1" l="1"/>
</calcChain>
</file>

<file path=xl/sharedStrings.xml><?xml version="1.0" encoding="utf-8"?>
<sst xmlns="http://schemas.openxmlformats.org/spreadsheetml/2006/main" count="4517" uniqueCount="1384">
  <si>
    <t>Num-OP</t>
  </si>
  <si>
    <t>Secuencia</t>
  </si>
  <si>
    <t>OP Det</t>
  </si>
  <si>
    <t>Producir</t>
  </si>
  <si>
    <t>Creado El</t>
  </si>
  <si>
    <t>Costeo_Producto</t>
  </si>
  <si>
    <t>Producto</t>
  </si>
  <si>
    <t>Cliente</t>
  </si>
  <si>
    <t>Cantidad Solicitada</t>
  </si>
  <si>
    <t>Id.</t>
  </si>
  <si>
    <t>Fecha</t>
  </si>
  <si>
    <t>costo_antes_iva</t>
  </si>
  <si>
    <t>fecha_creacion</t>
  </si>
  <si>
    <t>Proceso Producción</t>
  </si>
  <si>
    <t>OP-D</t>
  </si>
  <si>
    <t>OS-Valor Unitario</t>
  </si>
  <si>
    <t>OS-Cantidad</t>
  </si>
  <si>
    <t>Num OS</t>
  </si>
  <si>
    <t>6623-1-Sastre Femenino</t>
  </si>
  <si>
    <t>27/02/2026 14:24</t>
  </si>
  <si>
    <t>COS-0012671-2</t>
  </si>
  <si>
    <t>Sastre Femenino</t>
  </si>
  <si>
    <t>CLINICOS</t>
  </si>
  <si>
    <t>2026-02-26T21:32:21Z</t>
  </si>
  <si>
    <t>Bordado</t>
  </si>
  <si>
    <t>6623-1</t>
  </si>
  <si>
    <t>[21303]</t>
  </si>
  <si>
    <t>6623-2-Sastre Masculino</t>
  </si>
  <si>
    <t>COS-0012671-3</t>
  </si>
  <si>
    <t>Sastre Masculino</t>
  </si>
  <si>
    <t>6623-2</t>
  </si>
  <si>
    <t>[21304]</t>
  </si>
  <si>
    <t>6623-3-Sastre Femenino</t>
  </si>
  <si>
    <t>COS-0012671-4</t>
  </si>
  <si>
    <t>6623-3</t>
  </si>
  <si>
    <t>[21305]</t>
  </si>
  <si>
    <t>6621-1-Gorro</t>
  </si>
  <si>
    <t>27/02/2026 13:39</t>
  </si>
  <si>
    <t>COS-0012371-2</t>
  </si>
  <si>
    <t>Gorro</t>
  </si>
  <si>
    <t>THE PUB S.A.S</t>
  </si>
  <si>
    <t>2026-01-21T17:11:20Z</t>
  </si>
  <si>
    <t>Paquete Completo</t>
  </si>
  <si>
    <t>6621-1</t>
  </si>
  <si>
    <t>[21059]</t>
  </si>
  <si>
    <t>6620-9-BLAZER SASTRE</t>
  </si>
  <si>
    <t>27/02/2026 12:48</t>
  </si>
  <si>
    <t>COS-0012649-13</t>
  </si>
  <si>
    <t>BLAZER SASTRE</t>
  </si>
  <si>
    <t>OMNITEMPUS</t>
  </si>
  <si>
    <t>2026-02-24T17:56:16Z</t>
  </si>
  <si>
    <t>Confección</t>
  </si>
  <si>
    <t>6620-9</t>
  </si>
  <si>
    <t>[21150]</t>
  </si>
  <si>
    <t>[21182]</t>
  </si>
  <si>
    <t>6620-10-PANTALÓN SASTRE</t>
  </si>
  <si>
    <t>COS-0012649-14</t>
  </si>
  <si>
    <t>PANTALÓN SASTRE</t>
  </si>
  <si>
    <t>6620-10</t>
  </si>
  <si>
    <t>[21151]</t>
  </si>
  <si>
    <t>6618-1-POLO MANGA LARGA</t>
  </si>
  <si>
    <t>26/02/2026 16:20</t>
  </si>
  <si>
    <t>COS-0012669-2</t>
  </si>
  <si>
    <t>MINISO</t>
  </si>
  <si>
    <t>2026-02-26T18:18:34Z</t>
  </si>
  <si>
    <t>Estampado</t>
  </si>
  <si>
    <t>6618-1</t>
  </si>
  <si>
    <t>[21297]</t>
  </si>
  <si>
    <t>6618-2-POLO MANGA LARGA</t>
  </si>
  <si>
    <t>COS-0012669-3</t>
  </si>
  <si>
    <t>6618-2</t>
  </si>
  <si>
    <t>[21299]</t>
  </si>
  <si>
    <t>6618-3-POLO MANGA LARGA</t>
  </si>
  <si>
    <t>COS-0012669-4</t>
  </si>
  <si>
    <t>6618-3</t>
  </si>
  <si>
    <t>[21301]</t>
  </si>
  <si>
    <t>6618-4-POLO MANGA CORTA</t>
  </si>
  <si>
    <t>COS-0012669-5</t>
  </si>
  <si>
    <t>6618-4</t>
  </si>
  <si>
    <t>[21298]</t>
  </si>
  <si>
    <t>6618-5-POLO MANGA CORTA</t>
  </si>
  <si>
    <t>COS-0012669-6</t>
  </si>
  <si>
    <t>6618-5</t>
  </si>
  <si>
    <t>[21300]</t>
  </si>
  <si>
    <t>6618-6-POLO MANGA CORTA</t>
  </si>
  <si>
    <t>COS-0012669-7</t>
  </si>
  <si>
    <t>6618-6</t>
  </si>
  <si>
    <t>[21302]</t>
  </si>
  <si>
    <t>6618-11-T-SHIRT MANGA CORTA</t>
  </si>
  <si>
    <t>COS-0012669-13</t>
  </si>
  <si>
    <t>6618-11</t>
  </si>
  <si>
    <t>[21127]</t>
  </si>
  <si>
    <t>6618-12-T-SHIRT MANGA CORTA</t>
  </si>
  <si>
    <t>COS-0012669-14</t>
  </si>
  <si>
    <t>6618-12</t>
  </si>
  <si>
    <t>[21126]</t>
  </si>
  <si>
    <t>6618-13-Delantal clasico</t>
  </si>
  <si>
    <t>COS-0012669-16</t>
  </si>
  <si>
    <t>Delantal clasico</t>
  </si>
  <si>
    <t>6618-13</t>
  </si>
  <si>
    <t>[21256]</t>
  </si>
  <si>
    <t>6618-14-Delantal clasico</t>
  </si>
  <si>
    <t>COS-0012669-17</t>
  </si>
  <si>
    <t>6618-14</t>
  </si>
  <si>
    <t>[21257]</t>
  </si>
  <si>
    <t>[21135]</t>
  </si>
  <si>
    <t>6618-15-Gorra Curva</t>
  </si>
  <si>
    <t>COS-0012669-18</t>
  </si>
  <si>
    <t>Gorra Curva</t>
  </si>
  <si>
    <t>6618-15</t>
  </si>
  <si>
    <t>[21132]</t>
  </si>
  <si>
    <t>6618-16-Gorra Curva</t>
  </si>
  <si>
    <t>COS-0012669-19</t>
  </si>
  <si>
    <t>6618-16</t>
  </si>
  <si>
    <t>[21133]</t>
  </si>
  <si>
    <t>6616-1-CAMISA MANGA LARGA</t>
  </si>
  <si>
    <t>26/02/2026 12:51</t>
  </si>
  <si>
    <t>COS-0012665-2</t>
  </si>
  <si>
    <t>CAMISA MANGA LARGA</t>
  </si>
  <si>
    <t>PARKING INTERNATIONAL S A S</t>
  </si>
  <si>
    <t>2026-02-26T16:42:17Z</t>
  </si>
  <si>
    <t>6616-1</t>
  </si>
  <si>
    <t>[21233 21232]</t>
  </si>
  <si>
    <t>6616-2-PANTALÓN  CALLE  DAMA</t>
  </si>
  <si>
    <t>COS-0012665-3</t>
  </si>
  <si>
    <t>PANTALÓN  CALLE  DAMA</t>
  </si>
  <si>
    <t>6616-2</t>
  </si>
  <si>
    <t>[21163]</t>
  </si>
  <si>
    <t>6616-3-OXFORD</t>
  </si>
  <si>
    <t>COS-0012665-4</t>
  </si>
  <si>
    <t>6616-3</t>
  </si>
  <si>
    <t>[21239]</t>
  </si>
  <si>
    <t>[21231]</t>
  </si>
  <si>
    <t>6616-4-PANTALÓN ADMINISTRATIVO HOMBRE</t>
  </si>
  <si>
    <t>COS-0012665-5</t>
  </si>
  <si>
    <t>PANTALÓN ADMINISTRATIVO HOMBRE</t>
  </si>
  <si>
    <t>6616-4</t>
  </si>
  <si>
    <t>[21164]</t>
  </si>
  <si>
    <t>6612-1-Escafandra</t>
  </si>
  <si>
    <t>25/02/2026 12:26</t>
  </si>
  <si>
    <t>COS-0012654-2</t>
  </si>
  <si>
    <t>Escafandra</t>
  </si>
  <si>
    <t>SITARA</t>
  </si>
  <si>
    <t>2026-02-25T17:18:59Z</t>
  </si>
  <si>
    <t>6612-1</t>
  </si>
  <si>
    <t>[21314]</t>
  </si>
  <si>
    <t>6612-2-Escafandra</t>
  </si>
  <si>
    <t>COS-0012654-3</t>
  </si>
  <si>
    <t>6612-2</t>
  </si>
  <si>
    <t>[21316 21315]</t>
  </si>
  <si>
    <t>2026-02-25T17:20:22Z</t>
  </si>
  <si>
    <t>6612-3-Escafandra</t>
  </si>
  <si>
    <t>6612-3</t>
  </si>
  <si>
    <t>[21318 21317]</t>
  </si>
  <si>
    <t>6611-1-POLO MANGA CORTA</t>
  </si>
  <si>
    <t>25/02/2026 10:33</t>
  </si>
  <si>
    <t>COS-0012647-3</t>
  </si>
  <si>
    <t>ALBATEQ</t>
  </si>
  <si>
    <t>2026-02-23T22:32:49Z</t>
  </si>
  <si>
    <t>6611-1</t>
  </si>
  <si>
    <t>[21309]</t>
  </si>
  <si>
    <t>[21221]</t>
  </si>
  <si>
    <t>6609-1-Pantalón  Cuarto Frio</t>
  </si>
  <si>
    <t>23/02/2026 13:50</t>
  </si>
  <si>
    <t>COS-0012639-2</t>
  </si>
  <si>
    <t>Pantalón  Cuarto Frio</t>
  </si>
  <si>
    <t>NUTRESA</t>
  </si>
  <si>
    <t>2026-02-23T18:34:44Z</t>
  </si>
  <si>
    <t>6609-1</t>
  </si>
  <si>
    <t>[21190]</t>
  </si>
  <si>
    <t>6609-2-SACO CUELLO CERRADO</t>
  </si>
  <si>
    <t>COS-0012639-3</t>
  </si>
  <si>
    <t>SACO CUELLO CERRADO</t>
  </si>
  <si>
    <t>2026-02-23T17:34:49Z</t>
  </si>
  <si>
    <t>6609-2</t>
  </si>
  <si>
    <t>[21191]</t>
  </si>
  <si>
    <t>6609-3-Gorra Curva</t>
  </si>
  <si>
    <t>COS-0012639-4</t>
  </si>
  <si>
    <t>6609-3</t>
  </si>
  <si>
    <t>[21012]</t>
  </si>
  <si>
    <t>6543-3-Chaleco Liso</t>
  </si>
  <si>
    <t>30/01/2026 1:10</t>
  </si>
  <si>
    <t>COS-0012436-3</t>
  </si>
  <si>
    <t>Chaleco Liso</t>
  </si>
  <si>
    <t>Sodimac</t>
  </si>
  <si>
    <t>2026-01-30T05:08:41Z</t>
  </si>
  <si>
    <t>6543-3</t>
  </si>
  <si>
    <t>[21229 21228 21227 21226 21225]</t>
  </si>
  <si>
    <t>[21184]</t>
  </si>
  <si>
    <t>6543-4-Chaleco Liso</t>
  </si>
  <si>
    <t>COS-0012436-4</t>
  </si>
  <si>
    <t>6543-4</t>
  </si>
  <si>
    <t>[21294 21293]</t>
  </si>
  <si>
    <t>6543-5-Chaleco Liso</t>
  </si>
  <si>
    <t>COS-0012436-5</t>
  </si>
  <si>
    <t>2026-01-30T05:30:58Z</t>
  </si>
  <si>
    <t>6543-5</t>
  </si>
  <si>
    <t>[21296 21295]</t>
  </si>
  <si>
    <t>6541-1-CAMISA MANGA LARGA</t>
  </si>
  <si>
    <t>29/01/2026 22:29</t>
  </si>
  <si>
    <t>COS-0012428-2</t>
  </si>
  <si>
    <t>G4S</t>
  </si>
  <si>
    <t>2026-01-29T13:30:43Z</t>
  </si>
  <si>
    <t>6541-1</t>
  </si>
  <si>
    <t>[21049]</t>
  </si>
  <si>
    <t>[21035]</t>
  </si>
  <si>
    <t>6540-1-Camiseta polo</t>
  </si>
  <si>
    <t>29/01/2026 14:01</t>
  </si>
  <si>
    <t>COS-0012432-2</t>
  </si>
  <si>
    <t>Camiseta polo</t>
  </si>
  <si>
    <t>2026-01-29T18:33:58Z</t>
  </si>
  <si>
    <t>6540-1</t>
  </si>
  <si>
    <t>[20826]</t>
  </si>
  <si>
    <t>[20803]</t>
  </si>
  <si>
    <t>6540-2-Camiseta polo</t>
  </si>
  <si>
    <t>COS-0012432-3</t>
  </si>
  <si>
    <t>6540-2</t>
  </si>
  <si>
    <t>[20827]</t>
  </si>
  <si>
    <t>[20804]</t>
  </si>
  <si>
    <t>6540-3-Camiseta polo</t>
  </si>
  <si>
    <t>COS-0012432-4</t>
  </si>
  <si>
    <t>6540-3</t>
  </si>
  <si>
    <t>[20830]</t>
  </si>
  <si>
    <t>[20805]</t>
  </si>
  <si>
    <t>6540-4-Camiseta polo</t>
  </si>
  <si>
    <t>COS-0012432-5</t>
  </si>
  <si>
    <t>6540-4</t>
  </si>
  <si>
    <t>[20828]</t>
  </si>
  <si>
    <t>[20806]</t>
  </si>
  <si>
    <t>6540-5-Camiseta polo</t>
  </si>
  <si>
    <t>COS-0012432-6</t>
  </si>
  <si>
    <t>6540-5</t>
  </si>
  <si>
    <t>[20829]</t>
  </si>
  <si>
    <t>[20807]</t>
  </si>
  <si>
    <t>6540-6-Camiseta polo</t>
  </si>
  <si>
    <t>COS-0012432-7</t>
  </si>
  <si>
    <t>6540-6</t>
  </si>
  <si>
    <t>[20831]</t>
  </si>
  <si>
    <t>[20808]</t>
  </si>
  <si>
    <t>6538-1-camisa</t>
  </si>
  <si>
    <t>29/01/2026 13:20</t>
  </si>
  <si>
    <t>COS-0012431-2</t>
  </si>
  <si>
    <t>camisa</t>
  </si>
  <si>
    <t>2026-01-29T18:02:55Z</t>
  </si>
  <si>
    <t>6538-1</t>
  </si>
  <si>
    <t>[20840]</t>
  </si>
  <si>
    <t>[20885]</t>
  </si>
  <si>
    <t>6538-2-camisa</t>
  </si>
  <si>
    <t>COS-0012431-5</t>
  </si>
  <si>
    <t>6538-2</t>
  </si>
  <si>
    <t>[20841]</t>
  </si>
  <si>
    <t>[20886]</t>
  </si>
  <si>
    <t>6534-1-POLO MANGA CORTA</t>
  </si>
  <si>
    <t>29/01/2026 1:37</t>
  </si>
  <si>
    <t>COS-0012425-2</t>
  </si>
  <si>
    <t>CREDIMINUTO</t>
  </si>
  <si>
    <t>2026-01-29T06:24:42Z</t>
  </si>
  <si>
    <t>6534-1</t>
  </si>
  <si>
    <t>[20832]</t>
  </si>
  <si>
    <t>6533-1-CAMISA MANGA LARGA</t>
  </si>
  <si>
    <t>29/01/2026 1:04</t>
  </si>
  <si>
    <t>COS-0012424-2</t>
  </si>
  <si>
    <t>CLARO COLOMBIA</t>
  </si>
  <si>
    <t>2026-01-29T04:03:08Z</t>
  </si>
  <si>
    <t>6533-1</t>
  </si>
  <si>
    <t>[21161 21053 21019 21006 20991 20989 20933 20909 20845 20844]</t>
  </si>
  <si>
    <t>6533-2-Pantalón dotación</t>
  </si>
  <si>
    <t>COS-0012424-4</t>
  </si>
  <si>
    <t>Pantalón dotación</t>
  </si>
  <si>
    <t>6533-2</t>
  </si>
  <si>
    <t>[20809 20797 20795]</t>
  </si>
  <si>
    <t>6533-3-Pantalón dotación</t>
  </si>
  <si>
    <t>COS-0012424-5</t>
  </si>
  <si>
    <t>6533-3</t>
  </si>
  <si>
    <t>[20877 20876 20789 20788]</t>
  </si>
  <si>
    <t>6533-4-CAMISA MANGA LARGA</t>
  </si>
  <si>
    <t>COS-0012424-6</t>
  </si>
  <si>
    <t>6533-4</t>
  </si>
  <si>
    <t>[21162 21052 21036 21020 21007 20992 20990 20934 20910 20847 20846]</t>
  </si>
  <si>
    <t>6533-6-CAMISA MANGA LARGA</t>
  </si>
  <si>
    <t>COS-0012424-8</t>
  </si>
  <si>
    <t>6533-6</t>
  </si>
  <si>
    <t>[20849 20848]</t>
  </si>
  <si>
    <t>6533-7-Pantalón dotación</t>
  </si>
  <si>
    <t>COS-0012424-9</t>
  </si>
  <si>
    <t>6533-7</t>
  </si>
  <si>
    <t>[20810 20798 20792]</t>
  </si>
  <si>
    <t>6533-8-Pantalón dotación</t>
  </si>
  <si>
    <t>COS-0012424-10</t>
  </si>
  <si>
    <t>6533-8</t>
  </si>
  <si>
    <t>[20881 20874 20873 20791 20790]</t>
  </si>
  <si>
    <t>6529-1-T-SHIRT MANGA CORTA</t>
  </si>
  <si>
    <t>27/01/2026 12:19</t>
  </si>
  <si>
    <t>COS-0012411-3</t>
  </si>
  <si>
    <t>Molt Panamá (PA)</t>
  </si>
  <si>
    <t>2026-01-27T17:10:26Z</t>
  </si>
  <si>
    <t>6529-1</t>
  </si>
  <si>
    <t>[20774]</t>
  </si>
  <si>
    <t>6528-1-Pantalón dotación</t>
  </si>
  <si>
    <t>27/01/2026 12:00</t>
  </si>
  <si>
    <t>COS-0012410-2</t>
  </si>
  <si>
    <t>2026-01-27T16:55:16Z</t>
  </si>
  <si>
    <t>Prelavado</t>
  </si>
  <si>
    <t>6528-1</t>
  </si>
  <si>
    <t>[20882]</t>
  </si>
  <si>
    <t>[20728]</t>
  </si>
  <si>
    <t>6527-1-CAMISA MANGA LARGA</t>
  </si>
  <si>
    <t>27/01/2026 10:13</t>
  </si>
  <si>
    <t>COS-0012406-2</t>
  </si>
  <si>
    <t>FLET X</t>
  </si>
  <si>
    <t>2026-01-27T14:57:41Z</t>
  </si>
  <si>
    <t>6527-1</t>
  </si>
  <si>
    <t>[21223 20726]</t>
  </si>
  <si>
    <t>6526-1-CHAQUETA MICHELIN</t>
  </si>
  <si>
    <t>26/01/2026 13:50</t>
  </si>
  <si>
    <t>COS-0012401-15</t>
  </si>
  <si>
    <t>CHAQUETA MICHELIN</t>
  </si>
  <si>
    <t>TALMA COLOMBIA</t>
  </si>
  <si>
    <t>2026-01-26T18:33:15Z</t>
  </si>
  <si>
    <t>6526-1</t>
  </si>
  <si>
    <t>[20755]</t>
  </si>
  <si>
    <t>[20771]</t>
  </si>
  <si>
    <t>6524-1-Camiseta Dril</t>
  </si>
  <si>
    <t>23/01/2026 14:49</t>
  </si>
  <si>
    <t>COS-0012393-7</t>
  </si>
  <si>
    <t>Camiseta Dril</t>
  </si>
  <si>
    <t>2026-01-23T18:45:32Z</t>
  </si>
  <si>
    <t>6524-1</t>
  </si>
  <si>
    <t>[20775]</t>
  </si>
  <si>
    <t>6524-2-Pantalón dotación</t>
  </si>
  <si>
    <t>COS-0012393-22</t>
  </si>
  <si>
    <t>6524-2</t>
  </si>
  <si>
    <t>[20776]</t>
  </si>
  <si>
    <t>[20758]</t>
  </si>
  <si>
    <t>6524-3-Cofia</t>
  </si>
  <si>
    <t>COS-0012393-35</t>
  </si>
  <si>
    <t>Cofia</t>
  </si>
  <si>
    <t>6524-3</t>
  </si>
  <si>
    <t>[20766]</t>
  </si>
  <si>
    <t>6524-4-Cofia</t>
  </si>
  <si>
    <t>COS-0012393-36</t>
  </si>
  <si>
    <t>6524-4</t>
  </si>
  <si>
    <t>[20767]</t>
  </si>
  <si>
    <t>6524-5-Cofia</t>
  </si>
  <si>
    <t>COS-0012393-37</t>
  </si>
  <si>
    <t>6524-5</t>
  </si>
  <si>
    <t>[20768]</t>
  </si>
  <si>
    <t>6523-1-overol enterizo</t>
  </si>
  <si>
    <t>23/01/2026 14:30</t>
  </si>
  <si>
    <t>COS-0012363-2</t>
  </si>
  <si>
    <t>overol enterizo overol enterizo</t>
  </si>
  <si>
    <t>INTERRAPIDISIMO S A</t>
  </si>
  <si>
    <t>2026-01-21T15:39:25Z</t>
  </si>
  <si>
    <t>6523-1</t>
  </si>
  <si>
    <t>[20719]</t>
  </si>
  <si>
    <t>[20717]</t>
  </si>
  <si>
    <t>6523-2-overol enterizo</t>
  </si>
  <si>
    <t>COS-0012363-3</t>
  </si>
  <si>
    <t>6523-2</t>
  </si>
  <si>
    <t>[20720]</t>
  </si>
  <si>
    <t>[20718]</t>
  </si>
  <si>
    <t>6517-1-T-SHIRT MANGA LARGA</t>
  </si>
  <si>
    <t>21/01/2026 11:26</t>
  </si>
  <si>
    <t>COS-0012365-2</t>
  </si>
  <si>
    <t>ALT ARQUITECTURA</t>
  </si>
  <si>
    <t>2026-01-21T16:19:39Z</t>
  </si>
  <si>
    <t>6517-1</t>
  </si>
  <si>
    <t>[20867]</t>
  </si>
  <si>
    <t>6517-2-Gorra seis cascos</t>
  </si>
  <si>
    <t>COS-0012365-3</t>
  </si>
  <si>
    <t>Gorra seis cascos</t>
  </si>
  <si>
    <t>6517-2</t>
  </si>
  <si>
    <t>[20751]</t>
  </si>
  <si>
    <t>6503-1-POLO MANGA CORTA</t>
  </si>
  <si>
    <t>14/01/2026 13:17</t>
  </si>
  <si>
    <t>COS-0012135-2</t>
  </si>
  <si>
    <t>Eleinco SAS</t>
  </si>
  <si>
    <t>2025-11-24T19:12:04Z</t>
  </si>
  <si>
    <t>6503-1</t>
  </si>
  <si>
    <t>[20745]</t>
  </si>
  <si>
    <t>[20697]</t>
  </si>
  <si>
    <t>6503-2-POLO MANGA CORTA</t>
  </si>
  <si>
    <t>COS-0012135-3</t>
  </si>
  <si>
    <t>6503-2</t>
  </si>
  <si>
    <t>[20746]</t>
  </si>
  <si>
    <t>[20698]</t>
  </si>
  <si>
    <t>6503-3-Camiseta polo</t>
  </si>
  <si>
    <t>COS-0012135-4</t>
  </si>
  <si>
    <t>6503-3</t>
  </si>
  <si>
    <t>[20747]</t>
  </si>
  <si>
    <t>[20699]</t>
  </si>
  <si>
    <t>6496-2-Camibuzo</t>
  </si>
  <si>
    <t>31/12/2025 10:40</t>
  </si>
  <si>
    <t>COS-0011982-29</t>
  </si>
  <si>
    <t>CAMISA MANGA CORTA</t>
  </si>
  <si>
    <t>2025-12-30T00:37:00Z</t>
  </si>
  <si>
    <t>6496-2</t>
  </si>
  <si>
    <t>[20722]</t>
  </si>
  <si>
    <t>Camibuzo</t>
  </si>
  <si>
    <t>2025-12-31T15:19:04Z</t>
  </si>
  <si>
    <t>Sublimación</t>
  </si>
  <si>
    <t>[20581]</t>
  </si>
  <si>
    <t>2025-11-27T03:28:23Z</t>
  </si>
  <si>
    <t>2025-11-25T05:30:26Z</t>
  </si>
  <si>
    <t>6493-1-Chaqueta  Térmica</t>
  </si>
  <si>
    <t>30/12/2025 8:01</t>
  </si>
  <si>
    <t>COS-0012287-2</t>
  </si>
  <si>
    <t>Chaqueta  Térmica</t>
  </si>
  <si>
    <t>Coorserpark</t>
  </si>
  <si>
    <t>2025-12-30T12:41:33Z</t>
  </si>
  <si>
    <t>6493-1</t>
  </si>
  <si>
    <t>[20588]</t>
  </si>
  <si>
    <t>[20590]</t>
  </si>
  <si>
    <t>2025-12-30T12:43:54Z</t>
  </si>
  <si>
    <t>6493-2-Gorra Curva</t>
  </si>
  <si>
    <t>6493-2</t>
  </si>
  <si>
    <t>[20682]</t>
  </si>
  <si>
    <t>6492-1-ROMPEVIENTOS REFLECTIVA</t>
  </si>
  <si>
    <t>29/12/2025 21:00</t>
  </si>
  <si>
    <t>COS-0012284-2</t>
  </si>
  <si>
    <t>2025-12-29T23:25:23Z</t>
  </si>
  <si>
    <t>6492-1</t>
  </si>
  <si>
    <t>[20714]</t>
  </si>
  <si>
    <t>[20723]</t>
  </si>
  <si>
    <t>6492-3-Camibuzo</t>
  </si>
  <si>
    <t>COS-0012284-4</t>
  </si>
  <si>
    <t>6492-3</t>
  </si>
  <si>
    <t>[20578]</t>
  </si>
  <si>
    <t>[20631]</t>
  </si>
  <si>
    <t>6492-4-PANTALÓN CARGO</t>
  </si>
  <si>
    <t>COS-0012284-8</t>
  </si>
  <si>
    <t>PANTALÓN CARGO</t>
  </si>
  <si>
    <t>6492-4</t>
  </si>
  <si>
    <t>[20633 20575 20565 20564]</t>
  </si>
  <si>
    <t>[20643 20576 20569 20568]</t>
  </si>
  <si>
    <t>6492-5-Saco Tejido</t>
  </si>
  <si>
    <t>COS-0012284-11</t>
  </si>
  <si>
    <t>Saco Tejido</t>
  </si>
  <si>
    <t>Paquete Completo Sin Marca</t>
  </si>
  <si>
    <t>6492-5</t>
  </si>
  <si>
    <t>[20843]</t>
  </si>
  <si>
    <t>6492-6-Sastre Femenino</t>
  </si>
  <si>
    <t>COS-0012284-12</t>
  </si>
  <si>
    <t>6492-6</t>
  </si>
  <si>
    <t>[20582]</t>
  </si>
  <si>
    <t>6492-8-BLUSA MANGA CORTA</t>
  </si>
  <si>
    <t>COS-0012284-14</t>
  </si>
  <si>
    <t>BLUSA MANGA CORTA</t>
  </si>
  <si>
    <t>6492-8</t>
  </si>
  <si>
    <t>[20645]</t>
  </si>
  <si>
    <t>[20654]</t>
  </si>
  <si>
    <t>6492-9-CAMISA MANGA LARGA</t>
  </si>
  <si>
    <t>COS-0012284-16</t>
  </si>
  <si>
    <t>6492-9</t>
  </si>
  <si>
    <t>[20713]</t>
  </si>
  <si>
    <t>[20658]</t>
  </si>
  <si>
    <t>6492-10-CHAQUETA MICHELIN</t>
  </si>
  <si>
    <t>COS-0012284-18</t>
  </si>
  <si>
    <t>6492-10</t>
  </si>
  <si>
    <t>[20715]</t>
  </si>
  <si>
    <t>[20724]</t>
  </si>
  <si>
    <t>6492-11-camisa</t>
  </si>
  <si>
    <t>COS-0012284-19</t>
  </si>
  <si>
    <t>6492-11</t>
  </si>
  <si>
    <t>[20635]</t>
  </si>
  <si>
    <t>6492-12-Pantalón dotación</t>
  </si>
  <si>
    <t>COS-0012284-22</t>
  </si>
  <si>
    <t>6492-12</t>
  </si>
  <si>
    <t>[20640]</t>
  </si>
  <si>
    <t>6492-13-Sastre Femenino</t>
  </si>
  <si>
    <t>COS-0012251-23</t>
  </si>
  <si>
    <t>2025-12-30T00:15:56Z</t>
  </si>
  <si>
    <t>6492-13</t>
  </si>
  <si>
    <t>[20583]</t>
  </si>
  <si>
    <t>CHALECO REFLECTIVO</t>
  </si>
  <si>
    <t>2025-12-30T00:24:26Z</t>
  </si>
  <si>
    <t>2025-12-29T23:09:35Z</t>
  </si>
  <si>
    <t>6492-14-CHAQUETA MICHELIN</t>
  </si>
  <si>
    <t>COS-0012284-24</t>
  </si>
  <si>
    <t>6492-14</t>
  </si>
  <si>
    <t>[20577]</t>
  </si>
  <si>
    <t>[20589]</t>
  </si>
  <si>
    <t>6492-15-CHALECO REFLECTIVO</t>
  </si>
  <si>
    <t>6492-15</t>
  </si>
  <si>
    <t>[20802]</t>
  </si>
  <si>
    <t>[20744]</t>
  </si>
  <si>
    <t>6492-16-POLO MANGA CORTA</t>
  </si>
  <si>
    <t>COS-0012284-25</t>
  </si>
  <si>
    <t>6492-16</t>
  </si>
  <si>
    <t>[20706]</t>
  </si>
  <si>
    <t>[20647]</t>
  </si>
  <si>
    <t>6492-17-CHALECO REFLECTIVO</t>
  </si>
  <si>
    <t>COS-0012251-25</t>
  </si>
  <si>
    <t>2025-12-29T23:17:10Z</t>
  </si>
  <si>
    <t>6492-17</t>
  </si>
  <si>
    <t>[20752 20710]</t>
  </si>
  <si>
    <t>[20816]</t>
  </si>
  <si>
    <t>6492-18-Pantalón dotación</t>
  </si>
  <si>
    <t>COS-0012284-26</t>
  </si>
  <si>
    <t>6492-18</t>
  </si>
  <si>
    <t>[20563]</t>
  </si>
  <si>
    <t>6492-19-CAMISA MANGA CORTA</t>
  </si>
  <si>
    <t>COS-0012251-27</t>
  </si>
  <si>
    <t>2025-12-30T00:05:26Z</t>
  </si>
  <si>
    <t>6492-19</t>
  </si>
  <si>
    <t>[20655]</t>
  </si>
  <si>
    <t>2025-12-30T00:55:44Z</t>
  </si>
  <si>
    <t>[20646]</t>
  </si>
  <si>
    <t>6492-20-CHALECO REFLECTIVO</t>
  </si>
  <si>
    <t>6492-20</t>
  </si>
  <si>
    <t>[20753 20674]</t>
  </si>
  <si>
    <t>[20817]</t>
  </si>
  <si>
    <t>6492-21-CAMISA MANGA CORTA</t>
  </si>
  <si>
    <t>6492-21</t>
  </si>
  <si>
    <t>[20636]</t>
  </si>
  <si>
    <t>6492-22-BLUSA MANGA CORTA</t>
  </si>
  <si>
    <t>COS-0012282-56</t>
  </si>
  <si>
    <t>2025-12-29T23:17:42Z</t>
  </si>
  <si>
    <t>6492-22</t>
  </si>
  <si>
    <t>[20650]</t>
  </si>
  <si>
    <t>[20705]</t>
  </si>
  <si>
    <t>6492-23-Conjunto antifluido</t>
  </si>
  <si>
    <t>COS-0012282-84</t>
  </si>
  <si>
    <t>Conjunto antifluido</t>
  </si>
  <si>
    <t>2025-12-29T23:19:00Z</t>
  </si>
  <si>
    <t>6492-23</t>
  </si>
  <si>
    <t>[20644]</t>
  </si>
  <si>
    <t>[20648]</t>
  </si>
  <si>
    <t>2025-12-29T23:18:59Z</t>
  </si>
  <si>
    <t>29/12/2025 20:51</t>
  </si>
  <si>
    <t>6491-1-Camiseta polo</t>
  </si>
  <si>
    <t>29/12/2025 19:11</t>
  </si>
  <si>
    <t>COS-0012285-2</t>
  </si>
  <si>
    <t>GRUPO QUALA</t>
  </si>
  <si>
    <t>2025-12-29T23:33:37Z</t>
  </si>
  <si>
    <t>6491-1</t>
  </si>
  <si>
    <t>[20859 20759]</t>
  </si>
  <si>
    <t>6491-3-Gorra seis cascos</t>
  </si>
  <si>
    <t>COS-0012285-8</t>
  </si>
  <si>
    <t>Corte y Confeccion</t>
  </si>
  <si>
    <t>6491-3</t>
  </si>
  <si>
    <t>[20676]</t>
  </si>
  <si>
    <t>6489-1-Chaqueta Rompevientos</t>
  </si>
  <si>
    <t>28/12/2025 15:58</t>
  </si>
  <si>
    <t>COS-0012279-4</t>
  </si>
  <si>
    <t>Chaqueta Rompevientos</t>
  </si>
  <si>
    <t>SECOP II</t>
  </si>
  <si>
    <t>2025-12-28T20:26:13Z</t>
  </si>
  <si>
    <t>6489-1</t>
  </si>
  <si>
    <t>[20604]</t>
  </si>
  <si>
    <t>[20611]</t>
  </si>
  <si>
    <t>6488-1-Harrington</t>
  </si>
  <si>
    <t>24/12/2025 9:52</t>
  </si>
  <si>
    <t>COS-0012276-2</t>
  </si>
  <si>
    <t>Joe Hawkins</t>
  </si>
  <si>
    <t>2025-12-24T14:09:34Z</t>
  </si>
  <si>
    <t>6488-1</t>
  </si>
  <si>
    <t>[20649]</t>
  </si>
  <si>
    <t>6487-1-POLO MANGA CORTA</t>
  </si>
  <si>
    <t>23/12/2025 21:20</t>
  </si>
  <si>
    <t>COS-0012274-6</t>
  </si>
  <si>
    <t>2025-12-24T01:28:59Z</t>
  </si>
  <si>
    <t>6487-1</t>
  </si>
  <si>
    <t>[20627]</t>
  </si>
  <si>
    <t>6487-2-POLO MANGA CORTA</t>
  </si>
  <si>
    <t>COS-0012274-7</t>
  </si>
  <si>
    <t>6487-2</t>
  </si>
  <si>
    <t>[20707]</t>
  </si>
  <si>
    <t>6487-3-POLO MANGA CORTA</t>
  </si>
  <si>
    <t>COS-0012274-8</t>
  </si>
  <si>
    <t>6487-3</t>
  </si>
  <si>
    <t>[20628]</t>
  </si>
  <si>
    <t>[20610]</t>
  </si>
  <si>
    <t>6487-4-POLO MANGA CORTA</t>
  </si>
  <si>
    <t>COS-0012274-9</t>
  </si>
  <si>
    <t>6487-4</t>
  </si>
  <si>
    <t>[20700]</t>
  </si>
  <si>
    <t>[20622]</t>
  </si>
  <si>
    <t>6487-5-POLO MANGA CORTA</t>
  </si>
  <si>
    <t>COS-0012274-10</t>
  </si>
  <si>
    <t>6487-5</t>
  </si>
  <si>
    <t>[20677]</t>
  </si>
  <si>
    <t>[20623]</t>
  </si>
  <si>
    <t>6487-6-DELANTAL CLASICO</t>
  </si>
  <si>
    <t>COS-0012274-12</t>
  </si>
  <si>
    <t>DELANTAL CLASICO</t>
  </si>
  <si>
    <t>6487-6</t>
  </si>
  <si>
    <t>[20781 20780]</t>
  </si>
  <si>
    <t>[20782]</t>
  </si>
  <si>
    <t>[20671]</t>
  </si>
  <si>
    <t>6487-7-Chaqueta  Acolchada</t>
  </si>
  <si>
    <t>COS-0012274-22</t>
  </si>
  <si>
    <t>Chaqueta  Acolchada</t>
  </si>
  <si>
    <t>6487-7</t>
  </si>
  <si>
    <t>[20680]</t>
  </si>
  <si>
    <t>[20624]</t>
  </si>
  <si>
    <t>6487-8-OVEROL ENTERIZO</t>
  </si>
  <si>
    <t>COS-0012274-23</t>
  </si>
  <si>
    <t>OVEROL ENTERIZO</t>
  </si>
  <si>
    <t>6487-8</t>
  </si>
  <si>
    <t>[20639]</t>
  </si>
  <si>
    <t>6486-1-POLO MANGA CORTA</t>
  </si>
  <si>
    <t>23/12/2025 20:17</t>
  </si>
  <si>
    <t>COS-0012273-6</t>
  </si>
  <si>
    <t>2025-12-24T00:11:16Z</t>
  </si>
  <si>
    <t>6486-1</t>
  </si>
  <si>
    <t>[20652]</t>
  </si>
  <si>
    <t>[20595]</t>
  </si>
  <si>
    <t>6486-2-POLO MANGA CORTA</t>
  </si>
  <si>
    <t>COS-0012273-7</t>
  </si>
  <si>
    <t>6486-2</t>
  </si>
  <si>
    <t>[20653]</t>
  </si>
  <si>
    <t>[20596]</t>
  </si>
  <si>
    <t>6486-3-DELANTAL MICO</t>
  </si>
  <si>
    <t>COS-0012273-11</t>
  </si>
  <si>
    <t>DELANTAL MICO</t>
  </si>
  <si>
    <t>6486-3</t>
  </si>
  <si>
    <t>[20593]</t>
  </si>
  <si>
    <t>6486-4-DELANTAL MICO</t>
  </si>
  <si>
    <t>COS-0012273-12</t>
  </si>
  <si>
    <t>6486-4</t>
  </si>
  <si>
    <t>[20819]</t>
  </si>
  <si>
    <t>6486-5-DELANTAL MICO</t>
  </si>
  <si>
    <t>COS-0012273-13</t>
  </si>
  <si>
    <t>6486-5</t>
  </si>
  <si>
    <t>[20820]</t>
  </si>
  <si>
    <t>6486-6-Cofia</t>
  </si>
  <si>
    <t>COS-0012273-14</t>
  </si>
  <si>
    <t>6486-6</t>
  </si>
  <si>
    <t>[20727]</t>
  </si>
  <si>
    <t>[20666]</t>
  </si>
  <si>
    <t>6486-7-PANTALÓN TIPO CALLE CABALLERO</t>
  </si>
  <si>
    <t>COS-0012273-15</t>
  </si>
  <si>
    <t>PANTALÓN TIPO CALLE CABALLERO</t>
  </si>
  <si>
    <t>6486-7</t>
  </si>
  <si>
    <t>[20669]</t>
  </si>
  <si>
    <t>6486-8-PANTALON RESORTADO CABALLERO</t>
  </si>
  <si>
    <t>COS-0012273-16</t>
  </si>
  <si>
    <t>PANTALON RESORTADO CABALLERO</t>
  </si>
  <si>
    <t>6486-8</t>
  </si>
  <si>
    <t>[20605]</t>
  </si>
  <si>
    <t>6486-9-PANTALÓN  CALLE  DAMA</t>
  </si>
  <si>
    <t>COS-0012273-18</t>
  </si>
  <si>
    <t>6486-9</t>
  </si>
  <si>
    <t>[20670]</t>
  </si>
  <si>
    <t>6486-10-PANTALON RESORTADO DAMA</t>
  </si>
  <si>
    <t>COS-0012273-20</t>
  </si>
  <si>
    <t>6486-10</t>
  </si>
  <si>
    <t>[20606]</t>
  </si>
  <si>
    <t>6485-1-CAMISA MANGA CORTA</t>
  </si>
  <si>
    <t>23/12/2025 18:32</t>
  </si>
  <si>
    <t>COS-0012271-4</t>
  </si>
  <si>
    <t>2025-12-23T21:33:34Z</t>
  </si>
  <si>
    <t>6485-1</t>
  </si>
  <si>
    <t>[20616]</t>
  </si>
  <si>
    <t>2025-12-23T21:34:53Z</t>
  </si>
  <si>
    <t>6485-2-CAMISA MANGA LARGA</t>
  </si>
  <si>
    <t>COS-0012271-5</t>
  </si>
  <si>
    <t>6485-2</t>
  </si>
  <si>
    <t>[20617]</t>
  </si>
  <si>
    <t>6485-3-CAMISA MANGA LARGA</t>
  </si>
  <si>
    <t>COS-0012271-7</t>
  </si>
  <si>
    <t>6485-3</t>
  </si>
  <si>
    <t>[20683]</t>
  </si>
  <si>
    <t>[20656]</t>
  </si>
  <si>
    <t>6485-4-camisa</t>
  </si>
  <si>
    <t>COS-0012271-11</t>
  </si>
  <si>
    <t>6485-4</t>
  </si>
  <si>
    <t>[20618]</t>
  </si>
  <si>
    <t>6485-5-BLUSA MANGA CORTA</t>
  </si>
  <si>
    <t>COS-0012271-12</t>
  </si>
  <si>
    <t>6485-5</t>
  </si>
  <si>
    <t>[20619]</t>
  </si>
  <si>
    <t>6485-6-BLUSA MANGA CORTA</t>
  </si>
  <si>
    <t>COS-0012271-16</t>
  </si>
  <si>
    <t>6485-6</t>
  </si>
  <si>
    <t>[20684]</t>
  </si>
  <si>
    <t>[20657]</t>
  </si>
  <si>
    <t>6485-7-DELANTAL MICO</t>
  </si>
  <si>
    <t>COS-0012271-25</t>
  </si>
  <si>
    <t>6485-7</t>
  </si>
  <si>
    <t>[20632]</t>
  </si>
  <si>
    <t>6485-8-DELANTAL TIPO PETO</t>
  </si>
  <si>
    <t>COS-0012271-27</t>
  </si>
  <si>
    <t>DELANTAL TIPO PETO</t>
  </si>
  <si>
    <t>6485-8</t>
  </si>
  <si>
    <t>[20672]</t>
  </si>
  <si>
    <t>6485-9-Cofia</t>
  </si>
  <si>
    <t>COS-0012271-31</t>
  </si>
  <si>
    <t>6485-9</t>
  </si>
  <si>
    <t>[20594]</t>
  </si>
  <si>
    <t>6485-10-PANTALÓN  CALLE  DAMA</t>
  </si>
  <si>
    <t>COS-0012271-33</t>
  </si>
  <si>
    <t>6485-10</t>
  </si>
  <si>
    <t>[20668]</t>
  </si>
  <si>
    <t>6485-11-PANTALÓN TIPO CALLE CABALLERO</t>
  </si>
  <si>
    <t>COS-0012271-34</t>
  </si>
  <si>
    <t>6485-11</t>
  </si>
  <si>
    <t>[20667]</t>
  </si>
  <si>
    <t>6485-13-PANTALON RESORTADO CABALLERO</t>
  </si>
  <si>
    <t>COS-0012271-36</t>
  </si>
  <si>
    <t>6485-13</t>
  </si>
  <si>
    <t>[20608]</t>
  </si>
  <si>
    <t>6485-14-PANTALON RESORTADO CABALLERO</t>
  </si>
  <si>
    <t>COS-0012271-37</t>
  </si>
  <si>
    <t>6485-14</t>
  </si>
  <si>
    <t>[20607]</t>
  </si>
  <si>
    <t>6484-1-CAMISA MANGA CORTA</t>
  </si>
  <si>
    <t>23/12/2025 16:25</t>
  </si>
  <si>
    <t>COS-0012268-2</t>
  </si>
  <si>
    <t>2025-12-23T19:57:49Z</t>
  </si>
  <si>
    <t>6484-1</t>
  </si>
  <si>
    <t>[20736 20735]</t>
  </si>
  <si>
    <t>[20730 20729]</t>
  </si>
  <si>
    <t>6484-2-CAMISA MANGA LARGA</t>
  </si>
  <si>
    <t>COS-0012268-3</t>
  </si>
  <si>
    <t>6484-2</t>
  </si>
  <si>
    <t>[20737]</t>
  </si>
  <si>
    <t>[20731]</t>
  </si>
  <si>
    <t>6484-3-camisa</t>
  </si>
  <si>
    <t>COS-0012268-4</t>
  </si>
  <si>
    <t>6484-3</t>
  </si>
  <si>
    <t>[20738]</t>
  </si>
  <si>
    <t>[20868 20732]</t>
  </si>
  <si>
    <t>6484-4-camisa</t>
  </si>
  <si>
    <t>COS-0012268-5</t>
  </si>
  <si>
    <t>6484-4</t>
  </si>
  <si>
    <t>[20878 20740 20739]</t>
  </si>
  <si>
    <t>[20734 20733]</t>
  </si>
  <si>
    <t>6484-5-Blusa  Materna</t>
  </si>
  <si>
    <t>COS-0012268-6</t>
  </si>
  <si>
    <t>Blusa  Materna</t>
  </si>
  <si>
    <t>6484-5</t>
  </si>
  <si>
    <t>[20725]</t>
  </si>
  <si>
    <t>[20721]</t>
  </si>
  <si>
    <t>6452-1-Chaqueta Sport</t>
  </si>
  <si>
    <t>05/12/2025 11:24</t>
  </si>
  <si>
    <t>COS-0012143-2</t>
  </si>
  <si>
    <t>Chaqueta Sport</t>
  </si>
  <si>
    <t>INCHCAPE COLOMBIA</t>
  </si>
  <si>
    <t>2025-11-25T20:53:46Z</t>
  </si>
  <si>
    <t>6452-1</t>
  </si>
  <si>
    <t>[20547]</t>
  </si>
  <si>
    <t>[20452]</t>
  </si>
  <si>
    <t>6439-1-Bata quirúrgica</t>
  </si>
  <si>
    <t>01/12/2025 14:15</t>
  </si>
  <si>
    <t>COS-0012168-5</t>
  </si>
  <si>
    <t>Bata quirúrgica</t>
  </si>
  <si>
    <t>2025-11-28T21:01:03Z</t>
  </si>
  <si>
    <t>6439-1</t>
  </si>
  <si>
    <t>[20551]</t>
  </si>
  <si>
    <t>6439-2-Buzo / Cerrado</t>
  </si>
  <si>
    <t>COS-0012168-6</t>
  </si>
  <si>
    <t>Buzo / Cerrado</t>
  </si>
  <si>
    <t>6439-2</t>
  </si>
  <si>
    <t>[20505]</t>
  </si>
  <si>
    <t>6439-3-Camiseta Dril</t>
  </si>
  <si>
    <t>COS-0012168-8</t>
  </si>
  <si>
    <t>6439-3</t>
  </si>
  <si>
    <t>[20500]</t>
  </si>
  <si>
    <t>6439-4-Chaqueta Cuarto Frío</t>
  </si>
  <si>
    <t>COS-0012168-10</t>
  </si>
  <si>
    <t>Chaqueta Cuarto Frío</t>
  </si>
  <si>
    <t>6439-4</t>
  </si>
  <si>
    <t>[20527]</t>
  </si>
  <si>
    <t>[20465]</t>
  </si>
  <si>
    <t>6439-5-Pasamontañas</t>
  </si>
  <si>
    <t>COS-0012168-14</t>
  </si>
  <si>
    <t>6439-5</t>
  </si>
  <si>
    <t>[20387]</t>
  </si>
  <si>
    <t>6439-6-Cofia</t>
  </si>
  <si>
    <t>COS-0012168-15</t>
  </si>
  <si>
    <t>6439-6</t>
  </si>
  <si>
    <t>[20357]</t>
  </si>
  <si>
    <t>6439-7-Medias Cuarto Frio</t>
  </si>
  <si>
    <t>COS-0012168-18</t>
  </si>
  <si>
    <t>Medias Cuarto Frio</t>
  </si>
  <si>
    <t>6439-7</t>
  </si>
  <si>
    <t>[20348]</t>
  </si>
  <si>
    <t>6439-8-Pantalón  Cuarto Frio</t>
  </si>
  <si>
    <t>COS-0012168-21</t>
  </si>
  <si>
    <t>6439-8</t>
  </si>
  <si>
    <t>[20396]</t>
  </si>
  <si>
    <t>[20517]</t>
  </si>
  <si>
    <t>6439-9-Pantalón dotación</t>
  </si>
  <si>
    <t>COS-0012168-22</t>
  </si>
  <si>
    <t>6439-9</t>
  </si>
  <si>
    <t>[20526]</t>
  </si>
  <si>
    <t>6439-11-Chaqueta Cuarto Frío</t>
  </si>
  <si>
    <t>COS-0012168-33</t>
  </si>
  <si>
    <t>6439-11</t>
  </si>
  <si>
    <t>[20466]</t>
  </si>
  <si>
    <t>6439-12-Chaqueta Cuarto Frío</t>
  </si>
  <si>
    <t>COS-0012168-34</t>
  </si>
  <si>
    <t>6439-12</t>
  </si>
  <si>
    <t>[20529]</t>
  </si>
  <si>
    <t>[20467]</t>
  </si>
  <si>
    <t>6439-13-Cofia</t>
  </si>
  <si>
    <t>COS-0012168-35</t>
  </si>
  <si>
    <t>6439-13</t>
  </si>
  <si>
    <t>[20383]</t>
  </si>
  <si>
    <t>6439-14-Cofia</t>
  </si>
  <si>
    <t>COS-0012168-36</t>
  </si>
  <si>
    <t>6439-14</t>
  </si>
  <si>
    <t>[20384]</t>
  </si>
  <si>
    <t>6439-15-Cofia</t>
  </si>
  <si>
    <t>COS-0012168-37</t>
  </si>
  <si>
    <t>6439-15</t>
  </si>
  <si>
    <t>[20385]</t>
  </si>
  <si>
    <t>6436-1-Chaqueta Rompevientos</t>
  </si>
  <si>
    <t>28/11/2025 15:48</t>
  </si>
  <si>
    <t>COS-0012162-2</t>
  </si>
  <si>
    <t>2025-11-28T20:20:28Z</t>
  </si>
  <si>
    <t>6436-1</t>
  </si>
  <si>
    <t>[20509]</t>
  </si>
  <si>
    <t>[20375]</t>
  </si>
  <si>
    <t>6436-2-Chaqueta Rompevientos</t>
  </si>
  <si>
    <t>COS-0012162-3</t>
  </si>
  <si>
    <t>6436-2</t>
  </si>
  <si>
    <t>[20510]</t>
  </si>
  <si>
    <t>[20376]</t>
  </si>
  <si>
    <t>6436-3-Chaqueta Rompevientos</t>
  </si>
  <si>
    <t>COS-0012162-4</t>
  </si>
  <si>
    <t>6436-3</t>
  </si>
  <si>
    <t>[20511]</t>
  </si>
  <si>
    <t>[20422]</t>
  </si>
  <si>
    <t>6435-1-Chaqueta Sport</t>
  </si>
  <si>
    <t>28/11/2025 15:14</t>
  </si>
  <si>
    <t>COS-0012161-21</t>
  </si>
  <si>
    <t>2025-11-28T19:47:53Z</t>
  </si>
  <si>
    <t>6435-1</t>
  </si>
  <si>
    <t>[20507]</t>
  </si>
  <si>
    <t>[20414]</t>
  </si>
  <si>
    <t>6433-1-BATA TIPO LABORATORIO</t>
  </si>
  <si>
    <t>27/11/2025 16:57</t>
  </si>
  <si>
    <t>COS-0012156-3</t>
  </si>
  <si>
    <t>BATA TIPO LABORATORIO</t>
  </si>
  <si>
    <t>2025-11-27T21:11:54Z</t>
  </si>
  <si>
    <t>6433-1</t>
  </si>
  <si>
    <t>[20512]</t>
  </si>
  <si>
    <t>6433-2-BATA TIPO LABORATORIO</t>
  </si>
  <si>
    <t>COS-0012156-4</t>
  </si>
  <si>
    <t>6433-2</t>
  </si>
  <si>
    <t>[20513]</t>
  </si>
  <si>
    <t>6433-3-Bata quirúrgica</t>
  </si>
  <si>
    <t>COS-0012156-5</t>
  </si>
  <si>
    <t>6433-3</t>
  </si>
  <si>
    <t>[20515]</t>
  </si>
  <si>
    <t>6433-4-Buzo / Cerrado</t>
  </si>
  <si>
    <t>COS-0012156-6</t>
  </si>
  <si>
    <t>6433-4</t>
  </si>
  <si>
    <t>[20504]</t>
  </si>
  <si>
    <t>[20389]</t>
  </si>
  <si>
    <t>6433-5-Camiseta Dril</t>
  </si>
  <si>
    <t>COS-0012156-7</t>
  </si>
  <si>
    <t>6433-5</t>
  </si>
  <si>
    <t>[20501]</t>
  </si>
  <si>
    <t>6433-6-Camiseta Dril</t>
  </si>
  <si>
    <t>COS-0012156-8</t>
  </si>
  <si>
    <t>6433-6</t>
  </si>
  <si>
    <t>[20502]</t>
  </si>
  <si>
    <t>6433-7-Pasamontañas</t>
  </si>
  <si>
    <t>COS-0012156-14</t>
  </si>
  <si>
    <t>6433-7</t>
  </si>
  <si>
    <t>[20355]</t>
  </si>
  <si>
    <t>6433-8-Cofia</t>
  </si>
  <si>
    <t>COS-0012156-15</t>
  </si>
  <si>
    <t>6433-8</t>
  </si>
  <si>
    <t>[20356]</t>
  </si>
  <si>
    <t>6433-9-Medias Cuarto Frio</t>
  </si>
  <si>
    <t>COS-0012156-18</t>
  </si>
  <si>
    <t>6433-9</t>
  </si>
  <si>
    <t>[20347]</t>
  </si>
  <si>
    <t>6433-10-Pantalón dotación</t>
  </si>
  <si>
    <t>COS-0012156-22</t>
  </si>
  <si>
    <t>6433-10</t>
  </si>
  <si>
    <t>[20525]</t>
  </si>
  <si>
    <t>[20399]</t>
  </si>
  <si>
    <t>6433-12-Cofia</t>
  </si>
  <si>
    <t>COS-0012156-35</t>
  </si>
  <si>
    <t>6433-12</t>
  </si>
  <si>
    <t>[20380]</t>
  </si>
  <si>
    <t>6433-13-Cofia</t>
  </si>
  <si>
    <t>COS-0012156-36</t>
  </si>
  <si>
    <t>6433-13</t>
  </si>
  <si>
    <t>[20381]</t>
  </si>
  <si>
    <t>6433-14-Cofia</t>
  </si>
  <si>
    <t>COS-0012156-37</t>
  </si>
  <si>
    <t>6433-14</t>
  </si>
  <si>
    <t>[20382]</t>
  </si>
  <si>
    <t>6430-1-Camibuzo</t>
  </si>
  <si>
    <t>26/11/2025 22:38</t>
  </si>
  <si>
    <t>6430-1</t>
  </si>
  <si>
    <t>[20498 20476 20451 20444 20443]</t>
  </si>
  <si>
    <t>[20207]</t>
  </si>
  <si>
    <t>6428-1-Saco Tejido</t>
  </si>
  <si>
    <t>25/11/2025 13:51</t>
  </si>
  <si>
    <t>COS-0012142-2</t>
  </si>
  <si>
    <t>2025-11-25T16:58:38Z</t>
  </si>
  <si>
    <t>6428-1</t>
  </si>
  <si>
    <t>[20538]</t>
  </si>
  <si>
    <t>6425-1-POLO MANGA CORTA</t>
  </si>
  <si>
    <t>24/11/2025 16:03</t>
  </si>
  <si>
    <t>COS-0012136-10</t>
  </si>
  <si>
    <t>2025-11-24T20:33:03Z</t>
  </si>
  <si>
    <t>6425-1</t>
  </si>
  <si>
    <t>[20483]</t>
  </si>
  <si>
    <t>[20371]</t>
  </si>
  <si>
    <t>6425-2-POLO MANGA CORTA</t>
  </si>
  <si>
    <t>COS-0012136-2</t>
  </si>
  <si>
    <t>2025-11-24T20:56:38Z</t>
  </si>
  <si>
    <t>6425-2</t>
  </si>
  <si>
    <t>[20484]</t>
  </si>
  <si>
    <t>[21060 20372]</t>
  </si>
  <si>
    <t>6422-1-Chaleco Liso</t>
  </si>
  <si>
    <t>24/11/2025 9:23</t>
  </si>
  <si>
    <t>COS-0012132-2</t>
  </si>
  <si>
    <t>2025-11-24T13:55:50Z</t>
  </si>
  <si>
    <t>6422-1</t>
  </si>
  <si>
    <t>[20134]</t>
  </si>
  <si>
    <t>6421-1-CAMISA MANGA LARGA</t>
  </si>
  <si>
    <t>21/11/2025 14:25</t>
  </si>
  <si>
    <t>COS-0012129-2</t>
  </si>
  <si>
    <t>Grupo A</t>
  </si>
  <si>
    <t>2025-11-21T13:02:28Z</t>
  </si>
  <si>
    <t>6421-1</t>
  </si>
  <si>
    <t>[20453]</t>
  </si>
  <si>
    <t>[20336]</t>
  </si>
  <si>
    <t>6421-2-CAMISA MANGA LARGA</t>
  </si>
  <si>
    <t>COS-0012129-3</t>
  </si>
  <si>
    <t>6421-2</t>
  </si>
  <si>
    <t>[20446]</t>
  </si>
  <si>
    <t>[20337]</t>
  </si>
  <si>
    <t>6421-3-CAMISA MANGA LARGA</t>
  </si>
  <si>
    <t>COS-0012129-4</t>
  </si>
  <si>
    <t>6421-3</t>
  </si>
  <si>
    <t>[20447]</t>
  </si>
  <si>
    <t>[20338]</t>
  </si>
  <si>
    <t>6421-4-CAMISA MANGA LARGA</t>
  </si>
  <si>
    <t>COS-0012129-5</t>
  </si>
  <si>
    <t>6421-4</t>
  </si>
  <si>
    <t>[20448]</t>
  </si>
  <si>
    <t>[20339]</t>
  </si>
  <si>
    <t>2025-11-21T13:28:28Z</t>
  </si>
  <si>
    <t>6421-5-CAMISA MANGA LARGA</t>
  </si>
  <si>
    <t>6421-5</t>
  </si>
  <si>
    <t>[20449]</t>
  </si>
  <si>
    <t>[20340]</t>
  </si>
  <si>
    <t>6415-1-Camibuzo</t>
  </si>
  <si>
    <t>19/11/2025 9:32</t>
  </si>
  <si>
    <t>COS-0011982-26</t>
  </si>
  <si>
    <t>2025-11-21T20:14:04Z</t>
  </si>
  <si>
    <t>6415-1</t>
  </si>
  <si>
    <t>[20206]</t>
  </si>
  <si>
    <t>2025-10-23T17:55:48Z</t>
  </si>
  <si>
    <t>2025-11-25T05:04:45Z</t>
  </si>
  <si>
    <t>[20025]</t>
  </si>
  <si>
    <t>2025-10-23T18:05:46Z</t>
  </si>
  <si>
    <t>6384-1-CAMISA MANGA LARGA</t>
  </si>
  <si>
    <t>31/10/2025 7:06</t>
  </si>
  <si>
    <t>COS-0012022-2</t>
  </si>
  <si>
    <t>PUNTO DE PAGO 1</t>
  </si>
  <si>
    <t>2025-10-31T11:46:36Z</t>
  </si>
  <si>
    <t>6384-1</t>
  </si>
  <si>
    <t>[20202]</t>
  </si>
  <si>
    <t>[20106]</t>
  </si>
  <si>
    <t>6384-2-CAMISA MANGA LARGA</t>
  </si>
  <si>
    <t>COS-0012022-3</t>
  </si>
  <si>
    <t>6384-2</t>
  </si>
  <si>
    <t>[20192]</t>
  </si>
  <si>
    <t>[20283]</t>
  </si>
  <si>
    <t>6384-3-CHAQUETA SPORT</t>
  </si>
  <si>
    <t>COS-0012022-5</t>
  </si>
  <si>
    <t>CHAQUETA SPORT</t>
  </si>
  <si>
    <t>6384-3</t>
  </si>
  <si>
    <t>[20147]</t>
  </si>
  <si>
    <t>[20260]</t>
  </si>
  <si>
    <t>6383-1-CAMISA MANGA LARGA</t>
  </si>
  <si>
    <t>30/10/2025 23:19</t>
  </si>
  <si>
    <t>COS-0012014-2</t>
  </si>
  <si>
    <t>2025-10-29T20:14:14Z</t>
  </si>
  <si>
    <t>6383-1</t>
  </si>
  <si>
    <t>[20105]</t>
  </si>
  <si>
    <t>[20201]</t>
  </si>
  <si>
    <t>6383-2-CAMISA MANGA LARGA</t>
  </si>
  <si>
    <t>COS-0012014-3</t>
  </si>
  <si>
    <t>6383-2</t>
  </si>
  <si>
    <t>[20021]</t>
  </si>
  <si>
    <t>[20135]</t>
  </si>
  <si>
    <t>6383-3-CAMISA MANGA LARGA</t>
  </si>
  <si>
    <t>COS-0012014-4</t>
  </si>
  <si>
    <t>6383-3</t>
  </si>
  <si>
    <t>[20282]</t>
  </si>
  <si>
    <t>[20187]</t>
  </si>
  <si>
    <t>6383-4-camisa</t>
  </si>
  <si>
    <t>COS-0012014-5</t>
  </si>
  <si>
    <t>6383-4</t>
  </si>
  <si>
    <t>[20165]</t>
  </si>
  <si>
    <t>[20033]</t>
  </si>
  <si>
    <t>6383-5-Pantalón dotación</t>
  </si>
  <si>
    <t>COS-0012014-6</t>
  </si>
  <si>
    <t>6383-5</t>
  </si>
  <si>
    <t>[20132]</t>
  </si>
  <si>
    <t>6383-6-Pantalón dotación</t>
  </si>
  <si>
    <t>COS-0012014-7</t>
  </si>
  <si>
    <t>6383-6</t>
  </si>
  <si>
    <t>[19969]</t>
  </si>
  <si>
    <t>6383-7-Pantalón dotación</t>
  </si>
  <si>
    <t>COS-0012014-8</t>
  </si>
  <si>
    <t>6383-7</t>
  </si>
  <si>
    <t>[19970]</t>
  </si>
  <si>
    <t>6383-8-Pantalón dotación</t>
  </si>
  <si>
    <t>COS-0012014-9</t>
  </si>
  <si>
    <t>6383-8</t>
  </si>
  <si>
    <t>[20133]</t>
  </si>
  <si>
    <t>6383-11-Camiseta polo</t>
  </si>
  <si>
    <t>COS-0012014-13</t>
  </si>
  <si>
    <t>6383-11</t>
  </si>
  <si>
    <t>[20204]</t>
  </si>
  <si>
    <t>6383-12-Camiseta polo</t>
  </si>
  <si>
    <t>COS-0012014-14</t>
  </si>
  <si>
    <t>6383-12</t>
  </si>
  <si>
    <t>[20205]</t>
  </si>
  <si>
    <t>6383-13-Termica</t>
  </si>
  <si>
    <t>COS-0012014-15</t>
  </si>
  <si>
    <t>6383-13</t>
  </si>
  <si>
    <t>[20145]</t>
  </si>
  <si>
    <t>[20261]</t>
  </si>
  <si>
    <t>6383-14-Termica</t>
  </si>
  <si>
    <t>COS-0012014-16</t>
  </si>
  <si>
    <t>6383-14</t>
  </si>
  <si>
    <t>[20146]</t>
  </si>
  <si>
    <t>[20262]</t>
  </si>
  <si>
    <t>6382-1-Camiseta polo</t>
  </si>
  <si>
    <t>30/10/2025 12:56</t>
  </si>
  <si>
    <t>COS-0012017-6</t>
  </si>
  <si>
    <t>2025-10-30T16:33:26Z</t>
  </si>
  <si>
    <t>6382-1</t>
  </si>
  <si>
    <t>[20228]</t>
  </si>
  <si>
    <t>[20141]</t>
  </si>
  <si>
    <t>2025-10-30T16:48:42Z</t>
  </si>
  <si>
    <t>6382-2-Camiseta polo</t>
  </si>
  <si>
    <t>COS-0012017-7</t>
  </si>
  <si>
    <t>6382-2</t>
  </si>
  <si>
    <t>[20230]</t>
  </si>
  <si>
    <t>[20142]</t>
  </si>
  <si>
    <t>6382-3-Camiseta polo</t>
  </si>
  <si>
    <t>COS-0012017-8</t>
  </si>
  <si>
    <t>6382-3</t>
  </si>
  <si>
    <t>[20288]</t>
  </si>
  <si>
    <t>[20166]</t>
  </si>
  <si>
    <t>6382-4-Camiseta polo</t>
  </si>
  <si>
    <t>COS-0012017-4</t>
  </si>
  <si>
    <t>2025-10-30T16:48:13Z</t>
  </si>
  <si>
    <t>6382-4</t>
  </si>
  <si>
    <t>[20229]</t>
  </si>
  <si>
    <t>[20143]</t>
  </si>
  <si>
    <t>6382-5-Camiseta polo</t>
  </si>
  <si>
    <t>COS-0012017-5</t>
  </si>
  <si>
    <t>2025-10-30T16:48:28Z</t>
  </si>
  <si>
    <t>6382-5</t>
  </si>
  <si>
    <t>[20231]</t>
  </si>
  <si>
    <t>[20144]</t>
  </si>
  <si>
    <t>6382-6-Camiseta polo</t>
  </si>
  <si>
    <t>6382-6</t>
  </si>
  <si>
    <t>[20289]</t>
  </si>
  <si>
    <t>[20167]</t>
  </si>
  <si>
    <t>6381-1-CAMISA MANGA LARGA</t>
  </si>
  <si>
    <t>29/10/2025 16:56</t>
  </si>
  <si>
    <t>COS-0012012-2</t>
  </si>
  <si>
    <t>2025-10-29T19:20:14Z</t>
  </si>
  <si>
    <t>6381-1</t>
  </si>
  <si>
    <t>[20360]</t>
  </si>
  <si>
    <t>[20285]</t>
  </si>
  <si>
    <t>6381-2-Pantalón dotación</t>
  </si>
  <si>
    <t>COS-0012012-3</t>
  </si>
  <si>
    <t>6381-2</t>
  </si>
  <si>
    <t>[20263]</t>
  </si>
  <si>
    <t>2025-10-29T21:41:11Z</t>
  </si>
  <si>
    <t>6381-3-CAMISA MANGA LARGA</t>
  </si>
  <si>
    <t>6381-3</t>
  </si>
  <si>
    <t>[20361]</t>
  </si>
  <si>
    <t>[20286]</t>
  </si>
  <si>
    <t>6381-4-Pantalón dotación</t>
  </si>
  <si>
    <t>COS-0012012-4</t>
  </si>
  <si>
    <t>2025-10-29T21:42:13Z</t>
  </si>
  <si>
    <t>6381-4</t>
  </si>
  <si>
    <t>[20264]</t>
  </si>
  <si>
    <t>6380-2-OVEROL ENTERIZO</t>
  </si>
  <si>
    <t>29/10/2025 16:35</t>
  </si>
  <si>
    <t>COS-0012015-19</t>
  </si>
  <si>
    <t>2025-10-29T21:04:46Z</t>
  </si>
  <si>
    <t>6380-2</t>
  </si>
  <si>
    <t>[19935]</t>
  </si>
  <si>
    <t>6379-1-CAMISA MANGA LARGA</t>
  </si>
  <si>
    <t>28/10/2025 13:29</t>
  </si>
  <si>
    <t>COS-0012004-5</t>
  </si>
  <si>
    <t>Alfred</t>
  </si>
  <si>
    <t>2025-10-28T17:17:38Z</t>
  </si>
  <si>
    <t>6379-1</t>
  </si>
  <si>
    <t>[20246]</t>
  </si>
  <si>
    <t>[20351]</t>
  </si>
  <si>
    <t>6379-2-camisa</t>
  </si>
  <si>
    <t>COS-0012004-6</t>
  </si>
  <si>
    <t>6379-2</t>
  </si>
  <si>
    <t>[20247]</t>
  </si>
  <si>
    <t>[20352]</t>
  </si>
  <si>
    <t>6379-3-CAMISA MANGA CORTA</t>
  </si>
  <si>
    <t>COS-0012004-8</t>
  </si>
  <si>
    <t>2025-10-28T17:28:08Z</t>
  </si>
  <si>
    <t>6379-3</t>
  </si>
  <si>
    <t>[20249]</t>
  </si>
  <si>
    <t>[20353]</t>
  </si>
  <si>
    <t>6379-4-BLUSA MANGA CORTA</t>
  </si>
  <si>
    <t>COS-0012004-9</t>
  </si>
  <si>
    <t>2025-10-28T17:28:21Z</t>
  </si>
  <si>
    <t>6379-4</t>
  </si>
  <si>
    <t>[20248]</t>
  </si>
  <si>
    <t>[20354]</t>
  </si>
  <si>
    <t>6379-5-POLO MANGA CORTA</t>
  </si>
  <si>
    <t>6379-5</t>
  </si>
  <si>
    <t>[20252]</t>
  </si>
  <si>
    <t>[20365]</t>
  </si>
  <si>
    <t>6379-6-POLO MANGA CORTA</t>
  </si>
  <si>
    <t>COS-0012004-7</t>
  </si>
  <si>
    <t>6379-6</t>
  </si>
  <si>
    <t>[20253]</t>
  </si>
  <si>
    <t>[20366]</t>
  </si>
  <si>
    <t>6379-7-PANTALÓN  CALLE  DAMA</t>
  </si>
  <si>
    <t>COS-0012004-4</t>
  </si>
  <si>
    <t>6379-7</t>
  </si>
  <si>
    <t>[20193]</t>
  </si>
  <si>
    <t>6379-8-PANTALÓN TIPO CALLE CABALLERO</t>
  </si>
  <si>
    <t>COS-0012004-3</t>
  </si>
  <si>
    <t>6379-8</t>
  </si>
  <si>
    <t>[20194]</t>
  </si>
  <si>
    <t>6379-9-CHAQUETA SPORT</t>
  </si>
  <si>
    <t>COS-0012004-2</t>
  </si>
  <si>
    <t>6379-9</t>
  </si>
  <si>
    <t>[20496]</t>
  </si>
  <si>
    <t>6378-1-BATA CHEF</t>
  </si>
  <si>
    <t>28/10/2025 11:09</t>
  </si>
  <si>
    <t>COS-0012003-2</t>
  </si>
  <si>
    <t>BATA CHEF</t>
  </si>
  <si>
    <t>2025-10-28T14:10:32Z</t>
  </si>
  <si>
    <t>6378-1</t>
  </si>
  <si>
    <t>[19749]</t>
  </si>
  <si>
    <t>[20094]</t>
  </si>
  <si>
    <t>2025-10-28T14:11:24Z</t>
  </si>
  <si>
    <t>6378-2-BATA CHEF</t>
  </si>
  <si>
    <t>6378-2</t>
  </si>
  <si>
    <t>[19750]</t>
  </si>
  <si>
    <t>[20095]</t>
  </si>
  <si>
    <t>6378-3-BATA CHEF</t>
  </si>
  <si>
    <t>COS-0012003-3</t>
  </si>
  <si>
    <t>2025-10-28T14:12:00Z</t>
  </si>
  <si>
    <t>6378-3</t>
  </si>
  <si>
    <t>[20188]</t>
  </si>
  <si>
    <t>[20096]</t>
  </si>
  <si>
    <t>6378-4-BATA CHEF</t>
  </si>
  <si>
    <t>COS-0012003-4</t>
  </si>
  <si>
    <t>2025-10-28T14:12:12Z</t>
  </si>
  <si>
    <t>6378-4</t>
  </si>
  <si>
    <t>[20189]</t>
  </si>
  <si>
    <t>[20097]</t>
  </si>
  <si>
    <t>6377-1-camisa</t>
  </si>
  <si>
    <t>27/10/2025 13:53</t>
  </si>
  <si>
    <t>COS-0011996-2</t>
  </si>
  <si>
    <t>2025-10-27T17:00:46Z</t>
  </si>
  <si>
    <t>6377-1</t>
  </si>
  <si>
    <t>[20226]</t>
  </si>
  <si>
    <t>[20125]</t>
  </si>
  <si>
    <t>6377-2-CAMISA MANGA LARGA</t>
  </si>
  <si>
    <t>COS-0011996-3</t>
  </si>
  <si>
    <t>6377-2</t>
  </si>
  <si>
    <t>[20227]</t>
  </si>
  <si>
    <t>[20126]</t>
  </si>
  <si>
    <t>6377-3-CAMISA MANGA LARGA</t>
  </si>
  <si>
    <t>COS-0011996-4</t>
  </si>
  <si>
    <t>6377-3</t>
  </si>
  <si>
    <t>[20190]</t>
  </si>
  <si>
    <t>[20107]</t>
  </si>
  <si>
    <t>2025-10-27T18:40:41Z</t>
  </si>
  <si>
    <t>6377-4-camisa</t>
  </si>
  <si>
    <t>6377-4</t>
  </si>
  <si>
    <t>[20191]</t>
  </si>
  <si>
    <t>[20108]</t>
  </si>
  <si>
    <t>6376-2-Buzo / Cerrado</t>
  </si>
  <si>
    <t>27/10/2025 11:52</t>
  </si>
  <si>
    <t>COS-0011994-6</t>
  </si>
  <si>
    <t>2025-10-27T16:07:01Z</t>
  </si>
  <si>
    <t>6376-2</t>
  </si>
  <si>
    <t>[20168]</t>
  </si>
  <si>
    <t>6376-3-Chaqueta Cuarto Frío</t>
  </si>
  <si>
    <t>COS-0011994-15</t>
  </si>
  <si>
    <t>6376-3</t>
  </si>
  <si>
    <t>[20169]</t>
  </si>
  <si>
    <t>[20016]</t>
  </si>
  <si>
    <t>6376-4-Chaqueta Cuarto Frío</t>
  </si>
  <si>
    <t>COS-0011994-16</t>
  </si>
  <si>
    <t>6376-4</t>
  </si>
  <si>
    <t>[20170]</t>
  </si>
  <si>
    <t>[20017]</t>
  </si>
  <si>
    <t>6376-5-Chaqueta Cuarto Frío</t>
  </si>
  <si>
    <t>COS-0011994-43</t>
  </si>
  <si>
    <t>2025-10-27T16:31:13Z</t>
  </si>
  <si>
    <t>6376-5</t>
  </si>
  <si>
    <t>[20171]</t>
  </si>
  <si>
    <t>[20018]</t>
  </si>
  <si>
    <t>6376-6-Chaqueta Sport</t>
  </si>
  <si>
    <t>COS-0011994-17</t>
  </si>
  <si>
    <t>6376-6</t>
  </si>
  <si>
    <t>[19949]</t>
  </si>
  <si>
    <t>[20052 20051 19919 19918]</t>
  </si>
  <si>
    <t>6376-7-Cofia</t>
  </si>
  <si>
    <t>COS-0011994-21</t>
  </si>
  <si>
    <t>6376-7</t>
  </si>
  <si>
    <t>[20020]</t>
  </si>
  <si>
    <t>6376-8-Medias Cuarto Frio</t>
  </si>
  <si>
    <t>COS-0011994-23</t>
  </si>
  <si>
    <t>6376-8</t>
  </si>
  <si>
    <t>[20013]</t>
  </si>
  <si>
    <t>6376-11-Pantalón  Cuarto Frio</t>
  </si>
  <si>
    <t>COS-0011994-27</t>
  </si>
  <si>
    <t>6376-11</t>
  </si>
  <si>
    <t>[20010]</t>
  </si>
  <si>
    <t>6376-12-Pantalón  Cuarto Frio</t>
  </si>
  <si>
    <t>COS-0011994-40</t>
  </si>
  <si>
    <t>6376-12</t>
  </si>
  <si>
    <t>[20011]</t>
  </si>
  <si>
    <t>6376-13-Pantalón  Cuarto Frio</t>
  </si>
  <si>
    <t>COS-0011994-41</t>
  </si>
  <si>
    <t>6376-13</t>
  </si>
  <si>
    <t>[20012]</t>
  </si>
  <si>
    <t>6376-14-Pantalón Flecce</t>
  </si>
  <si>
    <t>COS-0011994-31</t>
  </si>
  <si>
    <t>Pantalón Flecce</t>
  </si>
  <si>
    <t>6376-14</t>
  </si>
  <si>
    <t>[20098]</t>
  </si>
  <si>
    <t>[19977]</t>
  </si>
  <si>
    <t>6374-1-Tula</t>
  </si>
  <si>
    <t>24/10/2025 16:13</t>
  </si>
  <si>
    <t>COS-0011992-2</t>
  </si>
  <si>
    <t>TRANSPORTES Y SERVICIOS  TRANSER S.A</t>
  </si>
  <si>
    <t>2025-10-24T21:00:30Z</t>
  </si>
  <si>
    <t>6374-1</t>
  </si>
  <si>
    <t>[19908]</t>
  </si>
  <si>
    <t>6373-1-Chaqueta Sport</t>
  </si>
  <si>
    <t>24/10/2025 15:15</t>
  </si>
  <si>
    <t>COS-0011990-2</t>
  </si>
  <si>
    <t>2025-10-24T18:33:21Z</t>
  </si>
  <si>
    <t>6373-1</t>
  </si>
  <si>
    <t>[20014]</t>
  </si>
  <si>
    <t>[19946]</t>
  </si>
  <si>
    <t>6373-2-Chaqueta Sport</t>
  </si>
  <si>
    <t>COS-0011990-3</t>
  </si>
  <si>
    <t>2025-10-24T20:04:32Z</t>
  </si>
  <si>
    <t>6373-2</t>
  </si>
  <si>
    <t>[20015]</t>
  </si>
  <si>
    <t>[19947]</t>
  </si>
  <si>
    <t>6372-1-Buzo / Cerrado</t>
  </si>
  <si>
    <t>23/10/2025 13:57</t>
  </si>
  <si>
    <t>COS-0011983-2</t>
  </si>
  <si>
    <t>Solumn Health</t>
  </si>
  <si>
    <t>2025-10-23T18:24:45Z</t>
  </si>
  <si>
    <t>6372-1</t>
  </si>
  <si>
    <t>[19627]</t>
  </si>
  <si>
    <t>6372-2-T-SHIRT MANGA CORTA</t>
  </si>
  <si>
    <t>COS-0011983-3</t>
  </si>
  <si>
    <t>6372-2</t>
  </si>
  <si>
    <t>[19629]</t>
  </si>
  <si>
    <t>6372-3-Gorra seis cascos</t>
  </si>
  <si>
    <t>COS-0011983-4</t>
  </si>
  <si>
    <t>6372-3</t>
  </si>
  <si>
    <t>[19630]</t>
  </si>
  <si>
    <t>6371-1-CHALECO REFLECTIVO</t>
  </si>
  <si>
    <t>23/10/2025 13:49</t>
  </si>
  <si>
    <t>COS-0011439-24</t>
  </si>
  <si>
    <t>2025-10-23T18:09:47Z</t>
  </si>
  <si>
    <t>6371-1</t>
  </si>
  <si>
    <t>[20303]</t>
  </si>
  <si>
    <t>[20432]</t>
  </si>
  <si>
    <t>6371-2-Conjunto antifluido</t>
  </si>
  <si>
    <t>6371-2</t>
  </si>
  <si>
    <t>[20349]</t>
  </si>
  <si>
    <t>[20299]</t>
  </si>
  <si>
    <t>6371-3-CHALECO REFLECTIVO</t>
  </si>
  <si>
    <t>COS-0011981-27</t>
  </si>
  <si>
    <t>2025-10-23T18:09:50Z</t>
  </si>
  <si>
    <t>6371-3</t>
  </si>
  <si>
    <t>[20637]</t>
  </si>
  <si>
    <t>[20312]</t>
  </si>
  <si>
    <t>6370-1-Buzo / Cerrado</t>
  </si>
  <si>
    <t>23/10/2025 13:09</t>
  </si>
  <si>
    <t>COS-0011980-1</t>
  </si>
  <si>
    <t>DISMEC</t>
  </si>
  <si>
    <t>2025-10-23T16:55:32Z</t>
  </si>
  <si>
    <t>6370-1</t>
  </si>
  <si>
    <t>[19719]</t>
  </si>
  <si>
    <t>6370-2-Gorra seis cascos</t>
  </si>
  <si>
    <t>COS-0011980-2</t>
  </si>
  <si>
    <t>2025-10-23T17:03:16Z</t>
  </si>
  <si>
    <t>6370-2</t>
  </si>
  <si>
    <t>[19674]</t>
  </si>
  <si>
    <t>6364-6-pantalón  overol</t>
  </si>
  <si>
    <t>22/10/2025 8:50</t>
  </si>
  <si>
    <t>COS-0011920-6</t>
  </si>
  <si>
    <t>pantalón  overol</t>
  </si>
  <si>
    <t>2025-10-22T13:04:23Z</t>
  </si>
  <si>
    <t>6364-6</t>
  </si>
  <si>
    <t>[20378]</t>
  </si>
  <si>
    <t>[21093 21022 20442 20379]</t>
  </si>
  <si>
    <t>6363-1-camisa</t>
  </si>
  <si>
    <t>21/10/2025 16:53</t>
  </si>
  <si>
    <t>COS-0011966-12</t>
  </si>
  <si>
    <t>Hoteles Decameron</t>
  </si>
  <si>
    <t>2025-10-21T21:30:26Z</t>
  </si>
  <si>
    <t>6363-1</t>
  </si>
  <si>
    <t>[19907]</t>
  </si>
  <si>
    <t>[19953]</t>
  </si>
  <si>
    <t>2025-10-21T21:32:55Z</t>
  </si>
  <si>
    <t>6363-2-Pantalón dotación</t>
  </si>
  <si>
    <t>COS-0011966-15</t>
  </si>
  <si>
    <t>6363-2</t>
  </si>
  <si>
    <t>[20117]</t>
  </si>
  <si>
    <t>6362-2-CAMISA MANGA LARGA</t>
  </si>
  <si>
    <t>21/10/2025 15:23</t>
  </si>
  <si>
    <t>COS-0011917-3</t>
  </si>
  <si>
    <t>DI-MATIC</t>
  </si>
  <si>
    <t>2025-10-21T19:41:36Z</t>
  </si>
  <si>
    <t>6362-2</t>
  </si>
  <si>
    <t>[19669]</t>
  </si>
  <si>
    <t>6362-3-CAMISA MANGA LARGA</t>
  </si>
  <si>
    <t>6362-3</t>
  </si>
  <si>
    <t>[19670]</t>
  </si>
  <si>
    <t>6362-4-CAMISA MANGA LARGA</t>
  </si>
  <si>
    <t>COS-0011917-4</t>
  </si>
  <si>
    <t>2025-10-21T19:42:36Z</t>
  </si>
  <si>
    <t>6362-4</t>
  </si>
  <si>
    <t>[19671]</t>
  </si>
  <si>
    <t>6324-1-Camibuzo</t>
  </si>
  <si>
    <t>09/10/2025 11:31</t>
  </si>
  <si>
    <t>COS-0011814-29</t>
  </si>
  <si>
    <t>2025-11-21T20:18:54Z</t>
  </si>
  <si>
    <t>6324-1</t>
  </si>
  <si>
    <t>[19753 19752]</t>
  </si>
  <si>
    <t>6297-17-Conjunto antifluido</t>
  </si>
  <si>
    <t>02/10/2025 2:28</t>
  </si>
  <si>
    <t>6297-17</t>
  </si>
  <si>
    <t>[19774]</t>
  </si>
  <si>
    <t>6297-19-Pantalón dotación</t>
  </si>
  <si>
    <t>6297-19</t>
  </si>
  <si>
    <t>[19582]</t>
  </si>
  <si>
    <t>6297-20-CHAQUETA MICHELIN</t>
  </si>
  <si>
    <t>6297-20</t>
  </si>
  <si>
    <t>[19667]</t>
  </si>
  <si>
    <t>[19748]</t>
  </si>
  <si>
    <t>6297-21-POLO MANGA CORTA</t>
  </si>
  <si>
    <t>6297-21</t>
  </si>
  <si>
    <t>[19809]</t>
  </si>
  <si>
    <t>6297-22-Pantalón dotación</t>
  </si>
  <si>
    <t>6297-22</t>
  </si>
  <si>
    <t>[19751 19699 19698]</t>
  </si>
  <si>
    <t>Etiquetas de fila</t>
  </si>
  <si>
    <t>Total general</t>
  </si>
  <si>
    <t>Suma de OS-Valor Unitario</t>
  </si>
  <si>
    <t>Suma de costo_antes_iva</t>
  </si>
  <si>
    <t>Valor total OS</t>
  </si>
  <si>
    <t>Promedio de OS-Valor Unitario</t>
  </si>
  <si>
    <t>Promedio de costo_antes_iva</t>
  </si>
  <si>
    <t>Diferencia</t>
  </si>
  <si>
    <t>valor total op</t>
  </si>
  <si>
    <t>Diferencia valor unitario</t>
  </si>
  <si>
    <t>BINS</t>
  </si>
  <si>
    <t>Cuenta de Diferencia</t>
  </si>
  <si>
    <t>Chaqueta ROMPEVIENTOS REFLECTIVA</t>
  </si>
  <si>
    <t>CAMISETA POLO MANGA CORTA</t>
  </si>
  <si>
    <t>CAMISETA POLO MANGA LARGA</t>
  </si>
  <si>
    <t>T-SHIRT CAMISETA MANGA CORTA</t>
  </si>
  <si>
    <t>T-SHIRT CAMISETA MANGA LARGA</t>
  </si>
  <si>
    <t>Chaqueta Termica</t>
  </si>
  <si>
    <t>Chaqueta Harrington</t>
  </si>
  <si>
    <t>Pasamontañas Gorro</t>
  </si>
  <si>
    <t>OXFORD CAMISA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</si>
</sst>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/>
    <xf numFmtId="3" fontId="0" fillId="0" borderId="0" xfId="0" applyNumberFormat="1" applyAlignment="1">
      <alignment horizontal="left" indent="1"/>
    </xf>
  </cellXfs>
  <cellStyles count="1">
    <cellStyle name="Normal" xfId="0" builtinId="0"/>
  </cellStyles>
  <dxfs count="20"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/mm/yyyy"/>
    </dxf>
    <dxf>
      <numFmt numFmtId="19" formatCode="d/mm/yyyy"/>
    </dxf>
  </dxfs>
  <tableStyles count="0" defaultTableStyle="TableStyleMedium9" defaultPivotStyle="PivotStyleLight16"/>
  <colors>
    <mruColors>
      <color rgb="FFF25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[jjjjj.xlsx]Hoja1!TablaDinámica2</c:name>
    <c:fmtId val="12"/>
  </c:pivotSource>
  <c:chart>
    <c:autoTitleDeleted val="0"/>
    <c:pivotFmts>
      <c:pivotFmt>
        <c:idx val="0"/>
        <c:spPr>
          <a:ln w="63500" cap="flat" cmpd="dbl" algn="ctr">
            <a:solidFill>
              <a:srgbClr val="F254E3">
                <a:alpha val="75000"/>
              </a:srgbClr>
            </a:solidFill>
            <a:miter lim="800000"/>
          </a:ln>
          <a:effectLst/>
        </c:spPr>
        <c:marker>
          <c:symbol val="circle"/>
          <c:size val="6"/>
          <c:spPr>
            <a:solidFill>
              <a:srgbClr val="F254E3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63500" cap="flat" cmpd="dbl" algn="ctr">
            <a:solidFill>
              <a:srgbClr val="7030A0">
                <a:alpha val="75000"/>
              </a:srgbClr>
            </a:solidFill>
            <a:miter lim="800000"/>
          </a:ln>
          <a:effectLst/>
        </c:spPr>
        <c:marker>
          <c:symbol val="circle"/>
          <c:size val="6"/>
          <c:spPr>
            <a:solidFill>
              <a:srgbClr val="7030A0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773368112267706E-2"/>
          <c:y val="0.10649698285377879"/>
          <c:w val="0.67593630904496071"/>
          <c:h val="0.48258548580960092"/>
        </c:manualLayout>
      </c:layout>
      <c:lineChart>
        <c:grouping val="stacked"/>
        <c:varyColors val="0"/>
        <c:ser>
          <c:idx val="0"/>
          <c:order val="0"/>
          <c:tx>
            <c:strRef>
              <c:f>Hoja1!$B$17</c:f>
              <c:strCache>
                <c:ptCount val="1"/>
                <c:pt idx="0">
                  <c:v>Suma de OS-Valor Unitario</c:v>
                </c:pt>
              </c:strCache>
            </c:strRef>
          </c:tx>
          <c:spPr>
            <a:ln w="63500" cap="flat" cmpd="dbl" algn="ctr">
              <a:solidFill>
                <a:srgbClr val="F254E3">
                  <a:alpha val="75000"/>
                </a:srgbClr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rgbClr val="F254E3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Hoja1!$A$18:$A$28</c:f>
              <c:strCache>
                <c:ptCount val="10"/>
                <c:pt idx="0">
                  <c:v>6378-1-BATA CHEF</c:v>
                </c:pt>
                <c:pt idx="1">
                  <c:v>6378-2-BATA CHEF</c:v>
                </c:pt>
                <c:pt idx="2">
                  <c:v>6378-3-BATA CHEF</c:v>
                </c:pt>
                <c:pt idx="3">
                  <c:v>6378-4-BATA CHEF</c:v>
                </c:pt>
                <c:pt idx="4">
                  <c:v>6421-1-CAMISA MANGA LARGA</c:v>
                </c:pt>
                <c:pt idx="5">
                  <c:v>6421-3-CAMISA MANGA LARGA</c:v>
                </c:pt>
                <c:pt idx="6">
                  <c:v>6421-4-CAMISA MANGA LARGA</c:v>
                </c:pt>
                <c:pt idx="7">
                  <c:v>6421-5-CAMISA MANGA LARGA</c:v>
                </c:pt>
                <c:pt idx="8">
                  <c:v>6487-7-Chaqueta  Acolchada</c:v>
                </c:pt>
                <c:pt idx="9">
                  <c:v>6541-1-CAMISA MANGA LARGA</c:v>
                </c:pt>
              </c:strCache>
            </c:strRef>
          </c:cat>
          <c:val>
            <c:numRef>
              <c:f>Hoja1!$B$18:$B$28</c:f>
              <c:numCache>
                <c:formatCode>#,##0</c:formatCode>
                <c:ptCount val="10"/>
                <c:pt idx="0">
                  <c:v>23400</c:v>
                </c:pt>
                <c:pt idx="1">
                  <c:v>23400</c:v>
                </c:pt>
                <c:pt idx="2">
                  <c:v>11700</c:v>
                </c:pt>
                <c:pt idx="3">
                  <c:v>11700</c:v>
                </c:pt>
                <c:pt idx="4">
                  <c:v>9500</c:v>
                </c:pt>
                <c:pt idx="5">
                  <c:v>6600</c:v>
                </c:pt>
                <c:pt idx="6">
                  <c:v>11200</c:v>
                </c:pt>
                <c:pt idx="7">
                  <c:v>10000</c:v>
                </c:pt>
                <c:pt idx="8">
                  <c:v>7300</c:v>
                </c:pt>
                <c:pt idx="9">
                  <c:v>12600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C-425E-A860-F1527997AF03}"/>
            </c:ext>
          </c:extLst>
        </c:ser>
        <c:ser>
          <c:idx val="1"/>
          <c:order val="1"/>
          <c:tx>
            <c:strRef>
              <c:f>Hoja1!$C$17</c:f>
              <c:strCache>
                <c:ptCount val="1"/>
                <c:pt idx="0">
                  <c:v>Suma de costo_antes_iva</c:v>
                </c:pt>
              </c:strCache>
            </c:strRef>
          </c:tx>
          <c:spPr>
            <a:ln w="63500" cap="flat" cmpd="dbl" algn="ctr">
              <a:solidFill>
                <a:srgbClr val="7030A0">
                  <a:alpha val="75000"/>
                </a:srgbClr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Hoja1!$A$18:$A$28</c:f>
              <c:strCache>
                <c:ptCount val="10"/>
                <c:pt idx="0">
                  <c:v>6378-1-BATA CHEF</c:v>
                </c:pt>
                <c:pt idx="1">
                  <c:v>6378-2-BATA CHEF</c:v>
                </c:pt>
                <c:pt idx="2">
                  <c:v>6378-3-BATA CHEF</c:v>
                </c:pt>
                <c:pt idx="3">
                  <c:v>6378-4-BATA CHEF</c:v>
                </c:pt>
                <c:pt idx="4">
                  <c:v>6421-1-CAMISA MANGA LARGA</c:v>
                </c:pt>
                <c:pt idx="5">
                  <c:v>6421-3-CAMISA MANGA LARGA</c:v>
                </c:pt>
                <c:pt idx="6">
                  <c:v>6421-4-CAMISA MANGA LARGA</c:v>
                </c:pt>
                <c:pt idx="7">
                  <c:v>6421-5-CAMISA MANGA LARGA</c:v>
                </c:pt>
                <c:pt idx="8">
                  <c:v>6487-7-Chaqueta  Acolchada</c:v>
                </c:pt>
                <c:pt idx="9">
                  <c:v>6541-1-CAMISA MANGA LARGA</c:v>
                </c:pt>
              </c:strCache>
            </c:strRef>
          </c:cat>
          <c:val>
            <c:numRef>
              <c:f>Hoja1!$C$18:$C$28</c:f>
              <c:numCache>
                <c:formatCode>#,##0</c:formatCode>
                <c:ptCount val="10"/>
                <c:pt idx="0">
                  <c:v>25000</c:v>
                </c:pt>
                <c:pt idx="1">
                  <c:v>25000</c:v>
                </c:pt>
                <c:pt idx="2">
                  <c:v>12500</c:v>
                </c:pt>
                <c:pt idx="3">
                  <c:v>12500</c:v>
                </c:pt>
                <c:pt idx="4">
                  <c:v>9500</c:v>
                </c:pt>
                <c:pt idx="5">
                  <c:v>6600</c:v>
                </c:pt>
                <c:pt idx="6">
                  <c:v>10600</c:v>
                </c:pt>
                <c:pt idx="7">
                  <c:v>10600</c:v>
                </c:pt>
                <c:pt idx="8">
                  <c:v>7300</c:v>
                </c:pt>
                <c:pt idx="9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C-425E-A860-F1527997A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894160"/>
        <c:axId val="335910960"/>
      </c:lineChart>
      <c:catAx>
        <c:axId val="33589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335910960"/>
        <c:crosses val="autoZero"/>
        <c:auto val="1"/>
        <c:lblAlgn val="ctr"/>
        <c:lblOffset val="100"/>
        <c:noMultiLvlLbl val="0"/>
      </c:catAx>
      <c:valAx>
        <c:axId val="3359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33589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[jjjjj.xlsx]Hoja1!TablaDinámica3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Hoja1!$A$37:$A$69</c:f>
              <c:multiLvlStrCache>
                <c:ptCount val="30"/>
                <c:lvl>
                  <c:pt idx="0">
                    <c:v>-200.000</c:v>
                  </c:pt>
                  <c:pt idx="1">
                    <c:v>0</c:v>
                  </c:pt>
                  <c:pt idx="2">
                    <c:v>400.000</c:v>
                  </c:pt>
                  <c:pt idx="3">
                    <c:v>600.000</c:v>
                  </c:pt>
                  <c:pt idx="4">
                    <c:v>-23.600.000</c:v>
                  </c:pt>
                  <c:pt idx="5">
                    <c:v>-8.400.000</c:v>
                  </c:pt>
                  <c:pt idx="6">
                    <c:v>-8.200.000</c:v>
                  </c:pt>
                  <c:pt idx="7">
                    <c:v>-1.800.000</c:v>
                  </c:pt>
                  <c:pt idx="8">
                    <c:v>-1.600.000</c:v>
                  </c:pt>
                  <c:pt idx="9">
                    <c:v>-1.400.000</c:v>
                  </c:pt>
                  <c:pt idx="10">
                    <c:v>-1.200.000</c:v>
                  </c:pt>
                  <c:pt idx="11">
                    <c:v>-1.000.000</c:v>
                  </c:pt>
                  <c:pt idx="12">
                    <c:v>-800.000</c:v>
                  </c:pt>
                  <c:pt idx="13">
                    <c:v>-600.000</c:v>
                  </c:pt>
                  <c:pt idx="14">
                    <c:v>-400.000</c:v>
                  </c:pt>
                  <c:pt idx="15">
                    <c:v>-200.000</c:v>
                  </c:pt>
                  <c:pt idx="16">
                    <c:v>0</c:v>
                  </c:pt>
                  <c:pt idx="17">
                    <c:v>200.000</c:v>
                  </c:pt>
                  <c:pt idx="18">
                    <c:v>400.000</c:v>
                  </c:pt>
                  <c:pt idx="19">
                    <c:v>600.000</c:v>
                  </c:pt>
                  <c:pt idx="20">
                    <c:v>800.000</c:v>
                  </c:pt>
                  <c:pt idx="21">
                    <c:v>1.200.000</c:v>
                  </c:pt>
                  <c:pt idx="22">
                    <c:v>1.600.000</c:v>
                  </c:pt>
                  <c:pt idx="23">
                    <c:v>1.800.000</c:v>
                  </c:pt>
                </c:lvl>
                <c:lvl>
                  <c:pt idx="0">
                    <c:v>Bordado</c:v>
                  </c:pt>
                  <c:pt idx="4">
                    <c:v>Confección</c:v>
                  </c:pt>
                  <c:pt idx="24">
                    <c:v>Corte y Confeccion</c:v>
                  </c:pt>
                  <c:pt idx="25">
                    <c:v>Estampado</c:v>
                  </c:pt>
                  <c:pt idx="26">
                    <c:v>Paquete Completo</c:v>
                  </c:pt>
                  <c:pt idx="27">
                    <c:v>Paquete Completo Sin Marca</c:v>
                  </c:pt>
                  <c:pt idx="28">
                    <c:v>Prelavado</c:v>
                  </c:pt>
                  <c:pt idx="29">
                    <c:v>Sublimación</c:v>
                  </c:pt>
                </c:lvl>
              </c:multiLvlStrCache>
            </c:multiLvlStrRef>
          </c:cat>
          <c:val>
            <c:numRef>
              <c:f>Hoja1!$B$37:$B$69</c:f>
              <c:numCache>
                <c:formatCode>General</c:formatCode>
                <c:ptCount val="30"/>
                <c:pt idx="0">
                  <c:v>2</c:v>
                </c:pt>
                <c:pt idx="1">
                  <c:v>149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9</c:v>
                </c:pt>
                <c:pt idx="16">
                  <c:v>234</c:v>
                </c:pt>
                <c:pt idx="17">
                  <c:v>4</c:v>
                </c:pt>
                <c:pt idx="18">
                  <c:v>6</c:v>
                </c:pt>
                <c:pt idx="19">
                  <c:v>9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37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2-46C3-879D-304855EC0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53158927"/>
        <c:axId val="953157007"/>
      </c:barChart>
      <c:catAx>
        <c:axId val="95315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3157007"/>
        <c:crosses val="autoZero"/>
        <c:auto val="1"/>
        <c:lblAlgn val="ctr"/>
        <c:lblOffset val="100"/>
        <c:noMultiLvlLbl val="0"/>
      </c:catAx>
      <c:valAx>
        <c:axId val="9531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31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3AECA876-F7C8-4C79-916F-83249240CD9C}" formatIdx="18">
          <cx:tx>
            <cx:txData>
              <cx:f>_xlchart.v1.1</cx:f>
              <cx:v>Diferencia valor unitario</cx:v>
            </cx:txData>
          </cx:tx>
          <cx:spPr>
            <a:solidFill>
              <a:srgbClr val="7030A0">
                <a:alpha val="80000"/>
              </a:srgbClr>
            </a:solidFill>
            <a:ln>
              <a:solidFill>
                <a:schemeClr val="accent4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F181BF-8404-4C99-9348-E06E1EA1F157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18CF472-A634-0D25-977D-4D0C2BCCF3E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07A16E30-00E0-B2D8-9CCF-AB3FF217BA52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87435" cy="606910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s-CO" sz="1100"/>
            <a:t>Este gráfico no está disponible en su versión de Excel.
Si edita esta forma o guarda el libro en un formato de archivo diferente, el gráfico no se podrá utilizar.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15</xdr:row>
      <xdr:rowOff>144780</xdr:rowOff>
    </xdr:from>
    <xdr:to>
      <xdr:col>12</xdr:col>
      <xdr:colOff>38100</xdr:colOff>
      <xdr:row>28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6BB096-5F6B-10D2-DDE1-15A4A336B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487680</xdr:colOff>
      <xdr:row>34</xdr:row>
      <xdr:rowOff>106680</xdr:rowOff>
    </xdr:from>
    <xdr:to>
      <xdr:col>7</xdr:col>
      <xdr:colOff>358140</xdr:colOff>
      <xdr:row>49</xdr:row>
      <xdr:rowOff>106680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56C6299-A7C0-5427-13BB-DAA969A80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Laura" refreshedDate="46098.661577314815" createdVersion="8" refreshedVersion="8" minRefreshableVersion="3" recordCount="495" xr:uid="{401E214E-D563-4602-AB71-51A87ED46F96}">
  <cacheSource type="worksheet">
    <worksheetSource name="Tabla1"/>
  </cacheSource>
  <cacheFields count="26">
    <cacheField name="Num-OP" numFmtId="0">
      <sharedItems containsSemiMixedTypes="0" containsString="0" containsNumber="1" containsInteger="1" minValue="6297" maxValue="6623"/>
    </cacheField>
    <cacheField name="Secuencia" numFmtId="0">
      <sharedItems containsSemiMixedTypes="0" containsString="0" containsNumber="1" containsInteger="1" minValue="1" maxValue="23"/>
    </cacheField>
    <cacheField name="OP Det" numFmtId="0">
      <sharedItems count="249">
        <s v="6492-13-Sastre Femenino"/>
        <s v="6533-8-Pantalón dotación"/>
        <s v="6485-11-PANTALÓN TIPO CALLE CABALLERO"/>
        <s v="6533-3-Pantalón dotación"/>
        <s v="6533-7-Pantalón dotación"/>
        <s v="6533-2-Pantalón dotación"/>
        <s v="6533-4-CAMISA MANGA LARGA"/>
        <s v="6425-1-POLO MANGA CORTA"/>
        <s v="6430-1-Camibuzo"/>
        <s v="6492-18-Pantalón dotación"/>
        <s v="6492-4-PANTALÓN CARGO"/>
        <s v="6533-1-CAMISA MANGA LARGA"/>
        <s v="6492-21-CAMISA MANGA CORTA"/>
        <s v="6297-19-Pantalón dotación"/>
        <s v="6439-7-Medias Cuarto Frio"/>
        <s v="6620-10-PANTALÓN SASTRE"/>
        <s v="6487-6-DELANTAL CLASICO"/>
        <s v="6425-2-POLO MANGA CORTA"/>
        <s v="6543-5-Chaleco Liso"/>
        <s v="6541-1-CAMISA MANGA LARGA"/>
        <s v="6373-2-Chaqueta Sport"/>
        <s v="6492-5-Saco Tejido"/>
        <s v="6485-1-CAMISA MANGA CORTA"/>
        <s v="6383-5-Pantalón dotación"/>
        <s v="6371-2-Conjunto antifluido"/>
        <s v="6370-1-Buzo / Cerrado"/>
        <s v="6491-3-Gorra seis cascos"/>
        <s v="6543-4-Chaleco Liso"/>
        <s v="6496-2-Camibuzo"/>
        <s v="6492-11-camisa"/>
        <s v="6486-5-DELANTAL MICO"/>
        <s v="6428-1-Saco Tejido"/>
        <s v="6374-1-Tula"/>
        <s v="6484-1-CAMISA MANGA CORTA"/>
        <s v="6492-15-CHALECO REFLECTIVO"/>
        <s v="6492-10-CHAQUETA MICHELIN"/>
        <s v="6618-11-T-SHIRT MANGA CORTA"/>
        <s v="6618-12-T-SHIRT MANGA CORTA"/>
        <s v="6487-3-POLO MANGA CORTA"/>
        <s v="6378-1-BATA CHEF"/>
        <s v="6492-23-Conjunto antifluido"/>
        <s v="6379-8-PANTALÓN TIPO CALLE CABALLERO"/>
        <s v="6371-1-CHALECO REFLECTIVO"/>
        <s v="6487-4-POLO MANGA CORTA"/>
        <s v="6611-1-POLO MANGA CORTA"/>
        <s v="6433-10-Pantalón dotación"/>
        <s v="6421-1-CAMISA MANGA LARGA"/>
        <s v="6486-1-POLO MANGA CORTA"/>
        <s v="6379-3-CAMISA MANGA CORTA"/>
        <s v="6484-2-CAMISA MANGA LARGA"/>
        <s v="6492-19-CAMISA MANGA CORTA"/>
        <s v="6492-14-CHAQUETA MICHELIN"/>
        <s v="6297-20-CHAQUETA MICHELIN"/>
        <s v="6415-1-Camibuzo"/>
        <s v="6492-3-Camibuzo"/>
        <s v="6486-8-PANTALON RESORTADO CABALLERO"/>
        <s v="6364-6-pantalón  overol"/>
        <s v="6439-9-Pantalón dotación"/>
        <s v="6492-9-CAMISA MANGA LARGA"/>
        <s v="6433-9-Medias Cuarto Frio"/>
        <s v="6486-10-PANTALON RESORTADO DAMA"/>
        <s v="6486-6-Cofia"/>
        <s v="6524-2-Pantalón dotación"/>
        <s v="6433-3-Bata quirúrgica"/>
        <s v="6492-17-CHALECO REFLECTIVO"/>
        <s v="6492-8-BLUSA MANGA CORTA"/>
        <s v="6487-1-POLO MANGA CORTA"/>
        <s v="6485-2-CAMISA MANGA LARGA"/>
        <s v="6486-2-POLO MANGA CORTA"/>
        <s v="6379-5-POLO MANGA CORTA"/>
        <s v="6371-3-CHALECO REFLECTIVO"/>
        <s v="6484-5-Blusa  Materna"/>
        <s v="6487-2-POLO MANGA CORTA"/>
        <s v="6492-20-CHALECO REFLECTIVO"/>
        <s v="6526-1-CHAQUETA MICHELIN"/>
        <s v="6487-5-POLO MANGA CORTA"/>
        <s v="6486-4-DELANTAL MICO"/>
        <s v="6487-7-Chaqueta  Acolchada"/>
        <s v="6421-4-CAMISA MANGA LARGA"/>
        <s v="6378-2-BATA CHEF"/>
        <s v="6379-1-CAMISA MANGA LARGA"/>
        <s v="6528-1-Pantalón dotación"/>
        <s v="6439-13-Cofia"/>
        <s v="6439-14-Cofia"/>
        <s v="6439-15-Cofia"/>
        <s v="6618-13-Delantal clasico"/>
        <s v="6618-14-Delantal clasico"/>
        <s v="6381-3-CAMISA MANGA LARGA"/>
        <s v="6524-3-Cofia"/>
        <s v="6524-4-Cofia"/>
        <s v="6439-8-Pantalón  Cuarto Frio"/>
        <s v="6439-1-Bata quirúrgica"/>
        <s v="6492-12-Pantalón dotación"/>
        <s v="6383-8-Pantalón dotación"/>
        <s v="6382-1-Camiseta polo"/>
        <s v="6382-2-Camiseta polo"/>
        <s v="6433-12-Cofia"/>
        <s v="6433-13-Cofia"/>
        <s v="6433-14-Cofia"/>
        <s v="6492-16-POLO MANGA CORTA"/>
        <s v="6533-6-CAMISA MANGA LARGA"/>
        <s v="6524-5-Cofia"/>
        <s v="6376-8-Medias Cuarto Frio"/>
        <s v="6421-3-CAMISA MANGA LARGA"/>
        <s v="6517-1-T-SHIRT MANGA LARGA"/>
        <s v="6523-1-overol enterizo"/>
        <s v="6523-2-overol enterizo"/>
        <s v="6433-4-Buzo / Cerrado"/>
        <s v="6540-1-Camiseta polo"/>
        <s v="6540-2-Camiseta polo"/>
        <s v="6540-3-Camiseta polo"/>
        <s v="6421-2-CAMISA MANGA LARGA"/>
        <s v="6384-1-CAMISA MANGA LARGA"/>
        <s v="6382-3-Camiseta polo"/>
        <s v="6538-1-camisa"/>
        <s v="6538-2-camisa"/>
        <s v="6379-7-PANTALÓN  CALLE  DAMA"/>
        <s v="6384-2-CAMISA MANGA LARGA"/>
        <s v="6421-5-CAMISA MANGA LARGA"/>
        <s v="6376-3-Chaqueta Cuarto Frío"/>
        <s v="6376-4-Chaqueta Cuarto Frío"/>
        <s v="6376-5-Chaqueta Cuarto Frío"/>
        <s v="6382-4-Camiseta polo"/>
        <s v="6382-5-Camiseta polo"/>
        <s v="6363-1-camisa"/>
        <s v="6540-4-Camiseta polo"/>
        <s v="6540-5-Camiseta polo"/>
        <s v="6540-6-Camiseta polo"/>
        <s v="6439-4-Chaqueta Cuarto Frío"/>
        <s v="6439-12-Chaqueta Cuarto Frío"/>
        <s v="6382-6-Camiseta polo"/>
        <s v="6379-6-POLO MANGA CORTA"/>
        <s v="6493-2-Gorra Curva"/>
        <s v="6384-3-CHAQUETA SPORT"/>
        <s v="6379-4-BLUSA MANGA CORTA"/>
        <s v="6616-1-CAMISA MANGA LARGA"/>
        <s v="6616-4-PANTALÓN ADMINISTRATIVO HOMBRE"/>
        <s v="6383-3-CAMISA MANGA LARGA"/>
        <s v="6489-1-Chaqueta Rompevientos"/>
        <s v="6616-3-OXFORD"/>
        <s v="6383-6-Pantalón dotación"/>
        <s v="6383-4-camisa"/>
        <s v="6485-7-DELANTAL MICO"/>
        <s v="6485-14-PANTALON RESORTADO CABALLERO"/>
        <s v="6383-12-Camiseta polo"/>
        <s v="6485-13-PANTALON RESORTADO CABALLERO"/>
        <s v="6435-1-Chaqueta Sport"/>
        <s v="6381-1-CAMISA MANGA LARGA"/>
        <s v="6484-4-camisa"/>
        <s v="6486-3-DELANTAL MICO"/>
        <s v="6485-3-CAMISA MANGA LARGA"/>
        <s v="6485-6-BLUSA MANGA CORTA"/>
        <s v="6436-2-Chaqueta Rompevientos"/>
        <s v="6383-11-Camiseta polo"/>
        <s v="6383-1-CAMISA MANGA LARGA"/>
        <s v="6485-9-Cofia"/>
        <s v="6484-3-camisa"/>
        <s v="6436-3-Chaqueta Rompevientos"/>
        <s v="6503-1-POLO MANGA CORTA"/>
        <s v="6503-2-POLO MANGA CORTA"/>
        <s v="6503-3-Camiseta polo"/>
        <s v="6383-2-CAMISA MANGA LARGA"/>
        <s v="6372-1-Buzo / Cerrado"/>
        <s v="6372-2-T-SHIRT MANGA CORTA"/>
        <s v="6372-3-Gorra seis cascos"/>
        <s v="6439-6-Cofia"/>
        <s v="6377-2-CAMISA MANGA LARGA"/>
        <s v="6377-3-CAMISA MANGA LARGA"/>
        <s v="6487-8-OVEROL ENTERIZO"/>
        <s v="6436-1-Chaqueta Rompevientos"/>
        <s v="6383-7-Pantalón dotación"/>
        <s v="6383-13-Termica"/>
        <s v="6492-22-BLUSA MANGA CORTA"/>
        <s v="6422-1-Chaleco Liso"/>
        <s v="6376-14-Pantalón Flecce"/>
        <s v="6452-1-Chaqueta Sport"/>
        <s v="6383-14-Termica"/>
        <s v="6362-4-CAMISA MANGA LARGA"/>
        <s v="6488-1-Harrington"/>
        <s v="6362-2-CAMISA MANGA LARGA"/>
        <s v="6433-8-Cofia"/>
        <s v="6362-3-CAMISA MANGA LARGA"/>
        <s v="6376-6-Chaqueta Sport"/>
        <s v="6378-3-BATA CHEF"/>
        <s v="6376-11-Pantalón  Cuarto Frio"/>
        <s v="6376-12-Pantalón  Cuarto Frio"/>
        <s v="6376-13-Pantalón  Cuarto Frio"/>
        <s v="6378-4-BATA CHEF"/>
        <s v="6380-2-OVEROL ENTERIZO"/>
        <s v="6379-2-camisa"/>
        <s v="6363-2-Pantalón dotación"/>
        <s v="6623-3-Sastre Femenino"/>
        <s v="6439-11-Chaqueta Cuarto Frío"/>
        <s v="6517-2-Gorra seis cascos"/>
        <s v="6623-2-Sastre Masculino"/>
        <s v="6297-17-Conjunto antifluido"/>
        <s v="6492-6-Sastre Femenino"/>
        <s v="6373-1-Chaqueta Sport"/>
        <s v="6377-1-camisa"/>
        <s v="6377-4-camisa"/>
        <s v="6492-1-ROMPEVIENTOS REFLECTIVA"/>
        <s v="6433-1-BATA TIPO LABORATORIO"/>
        <s v="6433-2-BATA TIPO LABORATORIO"/>
        <s v="6623-1-Sastre Femenino"/>
        <s v="6618-15-Gorra Curva"/>
        <s v="6618-16-Gorra Curva"/>
        <s v="6493-1-Chaqueta  Térmica"/>
        <s v="6609-3-Gorra Curva"/>
        <s v="6376-7-Cofia"/>
        <s v="6433-7-Pasamontañas"/>
        <s v="6609-2-SACO CUELLO CERRADO"/>
        <s v="6381-4-Pantalón dotación"/>
        <s v="6612-2-Escafandra"/>
        <s v="6524-1-Camiseta Dril"/>
        <s v="6485-8-DELANTAL TIPO PETO"/>
        <s v="6618-5-POLO MANGA CORTA"/>
        <s v="6612-3-Escafandra"/>
        <s v="6618-2-POLO MANGA LARGA"/>
        <s v="6439-3-Camiseta Dril"/>
        <s v="6433-5-Camiseta Dril"/>
        <s v="6439-2-Buzo / Cerrado"/>
        <s v="6376-2-Buzo / Cerrado"/>
        <s v="6609-1-Pantalón  Cuarto Frio"/>
        <s v="6620-9-BLAZER SASTRE"/>
        <s v="6527-1-CAMISA MANGA LARGA"/>
        <s v="6433-6-Camiseta Dril"/>
        <s v="6379-9-CHAQUETA SPORT"/>
        <s v="6370-2-Gorra seis cascos"/>
        <s v="6439-5-Pasamontañas"/>
        <s v="6612-1-Escafandra"/>
        <s v="6618-3-POLO MANGA LARGA"/>
        <s v="6486-7-PANTALÓN TIPO CALLE CABALLERO"/>
        <s v="6618-6-POLO MANGA CORTA"/>
        <s v="6534-1-POLO MANGA CORTA"/>
        <s v="6486-9-PANTALÓN  CALLE  DAMA"/>
        <s v="6381-2-Pantalón dotación"/>
        <s v="6529-1-T-SHIRT MANGA CORTA"/>
        <s v="6491-1-Camiseta polo"/>
        <s v="6543-3-Chaleco Liso"/>
        <s v="6485-4-camisa"/>
        <s v="6621-1-Gorro"/>
        <s v="6485-10-PANTALÓN  CALLE  DAMA"/>
        <s v="6618-1-POLO MANGA LARGA"/>
        <s v="6616-2-PANTALÓN  CALLE  DAMA"/>
        <s v="6618-4-POLO MANGA CORTA"/>
        <s v="6297-21-POLO MANGA CORTA"/>
        <s v="6485-5-BLUSA MANGA CORTA"/>
        <s v="6297-22-Pantalón dotación"/>
        <s v="6324-1-Camibuzo"/>
      </sharedItems>
    </cacheField>
    <cacheField name="Producir" numFmtId="0">
      <sharedItems containsSemiMixedTypes="0" containsString="0" containsNumber="1" containsInteger="1" minValue="1" maxValue="4820"/>
    </cacheField>
    <cacheField name="Creado El" numFmtId="0">
      <sharedItems/>
    </cacheField>
    <cacheField name="Costeo_Producto" numFmtId="0">
      <sharedItems/>
    </cacheField>
    <cacheField name="Producto" numFmtId="0">
      <sharedItems/>
    </cacheField>
    <cacheField name="Cliente" numFmtId="0">
      <sharedItems/>
    </cacheField>
    <cacheField name="Cantidad Solicitada" numFmtId="0">
      <sharedItems containsSemiMixedTypes="0" containsString="0" containsNumber="1" containsInteger="1" minValue="0" maxValue="4820"/>
    </cacheField>
    <cacheField name="Id." numFmtId="0">
      <sharedItems containsSemiMixedTypes="0" containsString="0" containsNumber="1" containsInteger="1" minValue="74072922" maxValue="80773980"/>
    </cacheField>
    <cacheField name="Fecha" numFmtId="14">
      <sharedItems containsSemiMixedTypes="0" containsNonDate="0" containsDate="1" containsString="0" minDate="2025-10-21T00:00:00" maxDate="2026-02-27T00:00:00" count="32">
        <d v="2025-12-29T00:00:00"/>
        <d v="2026-01-28T00:00:00"/>
        <d v="2025-12-23T00:00:00"/>
        <d v="2025-11-24T00:00:00"/>
        <d v="2025-12-31T00:00:00"/>
        <d v="2025-11-26T00:00:00"/>
        <d v="2025-11-25T00:00:00"/>
        <d v="2025-10-23T00:00:00"/>
        <d v="2025-11-28T00:00:00"/>
        <d v="2026-02-24T00:00:00"/>
        <d v="2026-01-30T00:00:00"/>
        <d v="2026-01-29T00:00:00"/>
        <d v="2025-10-24T00:00:00"/>
        <d v="2025-10-29T00:00:00"/>
        <d v="2026-02-26T00:00:00"/>
        <d v="2025-10-28T00:00:00"/>
        <d v="2026-02-23T00:00:00"/>
        <d v="2025-11-27T00:00:00"/>
        <d v="2025-11-21T00:00:00"/>
        <d v="2025-10-22T00:00:00"/>
        <d v="2026-01-23T00:00:00"/>
        <d v="2026-01-26T00:00:00"/>
        <d v="2026-01-27T00:00:00"/>
        <d v="2025-10-30T00:00:00"/>
        <d v="2025-10-27T00:00:00"/>
        <d v="2026-01-21T00:00:00"/>
        <d v="2025-10-31T00:00:00"/>
        <d v="2025-10-21T00:00:00"/>
        <d v="2025-12-30T00:00:00"/>
        <d v="2025-12-28T00:00:00"/>
        <d v="2025-12-24T00:00:00"/>
        <d v="2026-02-25T00:00:00"/>
      </sharedItems>
      <fieldGroup par="25"/>
    </cacheField>
    <cacheField name="costo_antes_iva" numFmtId="3">
      <sharedItems containsSemiMixedTypes="0" containsString="0" containsNumber="1" containsInteger="1" minValue="0" maxValue="105000"/>
    </cacheField>
    <cacheField name="fecha_creacion" numFmtId="0">
      <sharedItems/>
    </cacheField>
    <cacheField name="Proceso Producción" numFmtId="0">
      <sharedItems count="8">
        <s v="Confección"/>
        <s v="Bordado"/>
        <s v="Estampado"/>
        <s v="Paquete Completo Sin Marca"/>
        <s v="Corte y Confeccion"/>
        <s v="Prelavado"/>
        <s v="Sublimación"/>
        <s v="Paquete Completo"/>
      </sharedItems>
    </cacheField>
    <cacheField name="OP-D" numFmtId="0">
      <sharedItems/>
    </cacheField>
    <cacheField name="OS-Valor Unitario" numFmtId="3">
      <sharedItems containsSemiMixedTypes="0" containsString="0" containsNumber="1" minValue="700" maxValue="95300"/>
    </cacheField>
    <cacheField name="OS-Cantidad" numFmtId="0">
      <sharedItems containsSemiMixedTypes="0" containsString="0" containsNumber="1" containsInteger="1" minValue="1" maxValue="4760"/>
    </cacheField>
    <cacheField name="Num OS" numFmtId="0">
      <sharedItems/>
    </cacheField>
    <cacheField name="Diferencia valor unitario" numFmtId="3">
      <sharedItems containsSemiMixedTypes="0" containsString="0" containsNumber="1" minValue="-63500" maxValue="31700"/>
    </cacheField>
    <cacheField name="Valor total OS" numFmtId="3">
      <sharedItems containsSemiMixedTypes="0" containsString="0" containsNumber="1" minValue="1000" maxValue="18125917.600000001"/>
    </cacheField>
    <cacheField name="valor total op" numFmtId="3">
      <sharedItems containsSemiMixedTypes="0" containsString="0" containsNumber="1" containsInteger="1" minValue="0" maxValue="25568000"/>
    </cacheField>
    <cacheField name="Diferencia" numFmtId="3">
      <sharedItems containsSemiMixedTypes="0" containsString="0" containsNumber="1" minValue="-23688000" maxValue="1902000"/>
    </cacheField>
    <cacheField name="BINS" numFmtId="3">
      <sharedItems containsSemiMixedTypes="0" containsString="0" containsNumber="1" containsInteger="1" minValue="-23600000" maxValue="1800000" count="21">
        <n v="1800000"/>
        <n v="1600000"/>
        <n v="1200000"/>
        <n v="800000"/>
        <n v="600000"/>
        <n v="400000"/>
        <n v="200000"/>
        <n v="0"/>
        <n v="-200000"/>
        <n v="-400000"/>
        <n v="-600000"/>
        <n v="-800000"/>
        <n v="-1000000"/>
        <n v="-1200000"/>
        <n v="-1400000"/>
        <n v="-1600000"/>
        <n v="-1800000"/>
        <n v="-2600000"/>
        <n v="-8200000"/>
        <n v="-8400000"/>
        <n v="-23600000"/>
      </sharedItems>
    </cacheField>
    <cacheField name="Meses (Fecha)" numFmtId="0" databaseField="0">
      <fieldGroup base="10">
        <rangePr groupBy="months" startDate="2025-10-21T00:00:00" endDate="2026-02-27T00:00:00"/>
        <groupItems count="14">
          <s v="&lt;21/10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7/02/2026"/>
        </groupItems>
      </fieldGroup>
    </cacheField>
    <cacheField name="Trimestres (Fecha)" numFmtId="0" databaseField="0">
      <fieldGroup base="10">
        <rangePr groupBy="quarters" startDate="2025-10-21T00:00:00" endDate="2026-02-27T00:00:00"/>
        <groupItems count="6">
          <s v="&lt;21/10/2025"/>
          <s v="Trim.1"/>
          <s v="Trim.2"/>
          <s v="Trim.3"/>
          <s v="Trim.4"/>
          <s v="&gt;27/02/2026"/>
        </groupItems>
      </fieldGroup>
    </cacheField>
    <cacheField name="Años (Fecha)" numFmtId="0" databaseField="0">
      <fieldGroup base="10">
        <rangePr groupBy="years" startDate="2025-10-21T00:00:00" endDate="2026-02-27T00:00:00"/>
        <groupItems count="4">
          <s v="&lt;21/10/2025"/>
          <s v="2025"/>
          <s v="2026"/>
          <s v="&gt;27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C830B-C791-46D3-85EF-4BE162E6CA11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6:B6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3">
        <item x="27"/>
        <item x="19"/>
        <item x="7"/>
        <item x="12"/>
        <item x="24"/>
        <item x="15"/>
        <item x="13"/>
        <item x="23"/>
        <item x="26"/>
        <item x="18"/>
        <item x="3"/>
        <item x="6"/>
        <item x="5"/>
        <item x="17"/>
        <item x="8"/>
        <item x="2"/>
        <item x="30"/>
        <item x="29"/>
        <item x="0"/>
        <item x="28"/>
        <item x="4"/>
        <item x="25"/>
        <item x="20"/>
        <item x="21"/>
        <item x="22"/>
        <item x="1"/>
        <item x="11"/>
        <item x="10"/>
        <item x="16"/>
        <item x="9"/>
        <item x="31"/>
        <item x="14"/>
        <item t="default"/>
      </items>
    </pivotField>
    <pivotField numFmtId="3" showAll="0"/>
    <pivotField showAll="0"/>
    <pivotField axis="axisRow" showAll="0">
      <items count="9">
        <item x="1"/>
        <item x="0"/>
        <item sd="0" x="4"/>
        <item sd="0" x="2"/>
        <item sd="0" x="7"/>
        <item sd="0" x="3"/>
        <item sd="0" x="5"/>
        <item sd="0" x="6"/>
        <item t="default"/>
      </items>
    </pivotField>
    <pivotField showAll="0"/>
    <pivotField numFmtId="3" showAll="0"/>
    <pivotField showAll="0"/>
    <pivotField showAll="0"/>
    <pivotField numFmtId="3" showAll="0"/>
    <pivotField numFmtId="3" showAll="0"/>
    <pivotField numFmtId="3" showAll="0"/>
    <pivotField dataField="1" numFmtId="3" showAll="0"/>
    <pivotField axis="axisRow" numFmtId="3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3"/>
    <field x="22"/>
  </rowFields>
  <rowItems count="33">
    <i>
      <x/>
    </i>
    <i r="1">
      <x v="12"/>
    </i>
    <i r="1">
      <x v="13"/>
    </i>
    <i r="1">
      <x v="15"/>
    </i>
    <i r="1">
      <x v="16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uenta de Diferencia" fld="21" subtotal="countNums" baseField="13" baseItem="1"/>
  </dataFields>
  <chartFormats count="2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91CC8-666C-4A3D-8A9A-FD29A382E056}" name="TablaDiná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5">
  <location ref="A17:C28" firstHeaderRow="0" firstDataRow="1" firstDataCol="1" rowPageCount="1" colPageCount="1"/>
  <pivotFields count="26">
    <pivotField showAll="0"/>
    <pivotField showAll="0"/>
    <pivotField axis="axisRow" showAll="0" measureFilter="1">
      <items count="250">
        <item x="195"/>
        <item x="13"/>
        <item x="52"/>
        <item x="245"/>
        <item x="247"/>
        <item x="248"/>
        <item x="179"/>
        <item x="181"/>
        <item x="177"/>
        <item x="124"/>
        <item x="190"/>
        <item x="56"/>
        <item x="25"/>
        <item x="227"/>
        <item x="42"/>
        <item x="24"/>
        <item x="70"/>
        <item x="162"/>
        <item x="163"/>
        <item x="164"/>
        <item x="197"/>
        <item x="20"/>
        <item x="32"/>
        <item x="184"/>
        <item x="185"/>
        <item x="186"/>
        <item x="174"/>
        <item x="221"/>
        <item x="119"/>
        <item x="120"/>
        <item x="121"/>
        <item x="182"/>
        <item x="208"/>
        <item x="102"/>
        <item x="198"/>
        <item x="166"/>
        <item x="167"/>
        <item x="199"/>
        <item x="39"/>
        <item x="79"/>
        <item x="183"/>
        <item x="187"/>
        <item x="80"/>
        <item x="189"/>
        <item x="48"/>
        <item x="134"/>
        <item x="69"/>
        <item x="131"/>
        <item x="116"/>
        <item x="41"/>
        <item x="226"/>
        <item x="188"/>
        <item x="147"/>
        <item x="235"/>
        <item x="87"/>
        <item x="211"/>
        <item x="94"/>
        <item x="95"/>
        <item x="113"/>
        <item x="122"/>
        <item x="123"/>
        <item x="130"/>
        <item x="153"/>
        <item x="144"/>
        <item x="171"/>
        <item x="176"/>
        <item x="154"/>
        <item x="161"/>
        <item x="137"/>
        <item x="141"/>
        <item x="23"/>
        <item x="140"/>
        <item x="170"/>
        <item x="93"/>
        <item x="112"/>
        <item x="117"/>
        <item x="133"/>
        <item x="53"/>
        <item x="46"/>
        <item x="111"/>
        <item x="103"/>
        <item x="78"/>
        <item x="118"/>
        <item x="173"/>
        <item x="7"/>
        <item x="17"/>
        <item x="31"/>
        <item x="8"/>
        <item x="45"/>
        <item x="96"/>
        <item x="97"/>
        <item x="98"/>
        <item x="201"/>
        <item x="202"/>
        <item x="63"/>
        <item x="107"/>
        <item x="219"/>
        <item x="225"/>
        <item x="209"/>
        <item x="180"/>
        <item x="59"/>
        <item x="146"/>
        <item x="169"/>
        <item x="152"/>
        <item x="157"/>
        <item x="192"/>
        <item x="129"/>
        <item x="82"/>
        <item x="83"/>
        <item x="84"/>
        <item x="91"/>
        <item x="220"/>
        <item x="218"/>
        <item x="128"/>
        <item x="228"/>
        <item x="165"/>
        <item x="14"/>
        <item x="90"/>
        <item x="57"/>
        <item x="175"/>
        <item x="33"/>
        <item x="49"/>
        <item x="156"/>
        <item x="148"/>
        <item x="71"/>
        <item x="241"/>
        <item x="2"/>
        <item x="145"/>
        <item x="143"/>
        <item x="22"/>
        <item x="67"/>
        <item x="150"/>
        <item x="239"/>
        <item x="246"/>
        <item x="151"/>
        <item x="142"/>
        <item x="214"/>
        <item x="155"/>
        <item x="60"/>
        <item x="47"/>
        <item x="68"/>
        <item x="149"/>
        <item x="76"/>
        <item x="30"/>
        <item x="61"/>
        <item x="231"/>
        <item x="55"/>
        <item x="234"/>
        <item x="66"/>
        <item x="72"/>
        <item x="38"/>
        <item x="43"/>
        <item x="75"/>
        <item x="16"/>
        <item x="77"/>
        <item x="168"/>
        <item x="178"/>
        <item x="138"/>
        <item x="237"/>
        <item x="26"/>
        <item x="35"/>
        <item x="29"/>
        <item x="92"/>
        <item x="0"/>
        <item x="51"/>
        <item x="34"/>
        <item x="99"/>
        <item x="64"/>
        <item x="9"/>
        <item x="50"/>
        <item x="200"/>
        <item x="73"/>
        <item x="12"/>
        <item x="172"/>
        <item x="40"/>
        <item x="54"/>
        <item x="10"/>
        <item x="21"/>
        <item x="196"/>
        <item x="65"/>
        <item x="58"/>
        <item x="206"/>
        <item x="132"/>
        <item x="28"/>
        <item x="158"/>
        <item x="159"/>
        <item x="160"/>
        <item x="104"/>
        <item x="193"/>
        <item x="105"/>
        <item x="106"/>
        <item x="213"/>
        <item x="62"/>
        <item x="88"/>
        <item x="89"/>
        <item x="101"/>
        <item x="74"/>
        <item x="224"/>
        <item x="81"/>
        <item x="236"/>
        <item x="11"/>
        <item x="5"/>
        <item x="3"/>
        <item x="6"/>
        <item x="100"/>
        <item x="4"/>
        <item x="1"/>
        <item x="233"/>
        <item x="114"/>
        <item x="115"/>
        <item x="108"/>
        <item x="109"/>
        <item x="110"/>
        <item x="125"/>
        <item x="126"/>
        <item x="127"/>
        <item x="19"/>
        <item x="238"/>
        <item x="27"/>
        <item x="18"/>
        <item x="222"/>
        <item x="210"/>
        <item x="207"/>
        <item x="44"/>
        <item x="229"/>
        <item x="212"/>
        <item x="216"/>
        <item x="135"/>
        <item x="243"/>
        <item x="139"/>
        <item x="136"/>
        <item x="36"/>
        <item x="37"/>
        <item x="85"/>
        <item x="86"/>
        <item x="204"/>
        <item x="205"/>
        <item x="242"/>
        <item x="217"/>
        <item x="230"/>
        <item x="244"/>
        <item x="215"/>
        <item x="232"/>
        <item x="15"/>
        <item x="223"/>
        <item x="240"/>
        <item x="203"/>
        <item x="194"/>
        <item x="1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33">
        <item x="27"/>
        <item x="19"/>
        <item x="7"/>
        <item x="12"/>
        <item x="24"/>
        <item x="15"/>
        <item x="13"/>
        <item x="23"/>
        <item x="26"/>
        <item x="18"/>
        <item x="3"/>
        <item x="6"/>
        <item x="5"/>
        <item x="17"/>
        <item x="8"/>
        <item x="2"/>
        <item x="30"/>
        <item x="29"/>
        <item x="0"/>
        <item x="28"/>
        <item x="4"/>
        <item x="25"/>
        <item x="20"/>
        <item x="21"/>
        <item x="22"/>
        <item x="1"/>
        <item x="11"/>
        <item x="10"/>
        <item x="16"/>
        <item x="9"/>
        <item x="31"/>
        <item x="14"/>
        <item t="default"/>
      </items>
    </pivotField>
    <pivotField dataField="1" numFmtId="3" showAll="0"/>
    <pivotField showAll="0"/>
    <pivotField axis="axisPage" showAll="0">
      <items count="9">
        <item x="1"/>
        <item x="0"/>
        <item x="4"/>
        <item x="2"/>
        <item x="7"/>
        <item x="3"/>
        <item x="5"/>
        <item x="6"/>
        <item t="default"/>
      </items>
    </pivotField>
    <pivotField showAll="0"/>
    <pivotField dataField="1" numFmtId="3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1">
    <i>
      <x v="38"/>
    </i>
    <i>
      <x v="39"/>
    </i>
    <i>
      <x v="40"/>
    </i>
    <i>
      <x v="41"/>
    </i>
    <i>
      <x v="78"/>
    </i>
    <i>
      <x v="80"/>
    </i>
    <i>
      <x v="81"/>
    </i>
    <i>
      <x v="82"/>
    </i>
    <i>
      <x v="154"/>
    </i>
    <i>
      <x v="216"/>
    </i>
    <i t="grand">
      <x/>
    </i>
  </rowItems>
  <colFields count="1">
    <field x="-2"/>
  </colFields>
  <colItems count="2">
    <i>
      <x/>
    </i>
    <i i="1">
      <x v="1"/>
    </i>
  </colItems>
  <pageFields count="1">
    <pageField fld="13" item="0" hier="-1"/>
  </pageFields>
  <dataFields count="2">
    <dataField name="Suma de OS-Valor Unitario" fld="15" baseField="0" baseItem="0" numFmtId="3"/>
    <dataField name="Suma de costo_antes_iva" fld="11" baseField="0" baseItem="0" numFmtId="3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4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EF63B-BAFE-4C49-BD5D-A1DE0DDA0D1E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>
  <location ref="A3:C12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3">
        <item x="27"/>
        <item x="19"/>
        <item x="7"/>
        <item x="12"/>
        <item x="24"/>
        <item x="15"/>
        <item x="13"/>
        <item x="23"/>
        <item x="26"/>
        <item x="18"/>
        <item x="3"/>
        <item x="6"/>
        <item x="5"/>
        <item x="17"/>
        <item x="8"/>
        <item x="2"/>
        <item x="30"/>
        <item x="29"/>
        <item x="0"/>
        <item x="28"/>
        <item x="4"/>
        <item x="25"/>
        <item x="20"/>
        <item x="21"/>
        <item x="22"/>
        <item x="1"/>
        <item x="11"/>
        <item x="10"/>
        <item x="16"/>
        <item x="9"/>
        <item x="31"/>
        <item x="14"/>
        <item t="default"/>
      </items>
    </pivotField>
    <pivotField dataField="1" numFmtId="3" showAll="0"/>
    <pivotField showAll="0"/>
    <pivotField axis="axisRow" showAll="0">
      <items count="9">
        <item x="1"/>
        <item x="0"/>
        <item x="4"/>
        <item x="2"/>
        <item x="7"/>
        <item x="3"/>
        <item x="5"/>
        <item x="6"/>
        <item t="default"/>
      </items>
    </pivotField>
    <pivotField showAll="0"/>
    <pivotField dataField="1" numFmtId="3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OS-Valor Unitario" fld="15" subtotal="average" baseField="13" baseItem="0" numFmtId="3"/>
    <dataField name="Promedio de costo_antes_iva" fld="11" subtotal="average" baseField="13" baseItem="0" numFmtId="3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3" type="button" dataOnly="0" labelOnly="1" outline="0" axis="axisRow" fieldPosition="0"/>
    </format>
    <format dxfId="2">
      <pivotArea dataOnly="0" labelOnly="1" fieldPosition="0">
        <references count="1">
          <reference field="1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F98C7-64BD-42A7-8F61-B63601B7BCE0}" name="Tabla1" displayName="Tabla1" ref="A1:W497" totalsRowCount="1">
  <autoFilter ref="A1:W496" xr:uid="{393F98C7-64BD-42A7-8F61-B63601B7BCE0}">
    <filterColumn colId="6">
      <filters>
        <filter val="Medias Cuarto Frio"/>
      </filters>
    </filterColumn>
  </autoFilter>
  <sortState xmlns:xlrd2="http://schemas.microsoft.com/office/spreadsheetml/2017/richdata2" ref="A2:W496">
    <sortCondition descending="1" ref="V1:V496"/>
  </sortState>
  <tableColumns count="23">
    <tableColumn id="1" xr3:uid="{7EFDDC16-8EE6-4413-BF38-E74794776432}" name="Num-OP"/>
    <tableColumn id="2" xr3:uid="{5BDF9B16-32C7-4699-8184-71186F098B3B}" name="Secuencia"/>
    <tableColumn id="3" xr3:uid="{DA2AEFE5-5154-4A75-B438-C6FE965DAC25}" name="OP Det"/>
    <tableColumn id="4" xr3:uid="{BC689338-7F88-491F-8B89-B67B025CE13B}" name="Producir"/>
    <tableColumn id="5" xr3:uid="{CDB05683-4643-40A1-BAF1-E24F653C6E3B}" name="Creado El"/>
    <tableColumn id="6" xr3:uid="{6CD2D238-DEBC-4FA5-B5AA-B2AE4214EDB1}" name="Costeo_Producto"/>
    <tableColumn id="7" xr3:uid="{3CD896E0-2377-409D-ADA5-0B2283A7F7A0}" name="Producto"/>
    <tableColumn id="8" xr3:uid="{9E5DB778-E178-4D09-9669-CB69D928725C}" name="Cliente"/>
    <tableColumn id="9" xr3:uid="{74C13E02-D10E-4888-84A4-D003E3043A27}" name="Cantidad Solicitada"/>
    <tableColumn id="10" xr3:uid="{FA25261F-CBDD-44C5-ABDE-08264DA326E1}" name="Id."/>
    <tableColumn id="11" xr3:uid="{8706B0C8-560B-43CE-8282-6838DB7E0206}" name="Fecha" dataDxfId="19" totalsRowDxfId="18"/>
    <tableColumn id="12" xr3:uid="{4E1949EF-696A-460D-B236-7FFB2C2E48C7}" name="costo_antes_iva" dataDxfId="17" totalsRowDxfId="16"/>
    <tableColumn id="13" xr3:uid="{9D6ACBB8-3A66-4C86-A3E7-B1C3C6ED289C}" name="fecha_creacion"/>
    <tableColumn id="14" xr3:uid="{D86C55BC-05B2-4B99-BF56-04671E864AF2}" name="Proceso Producción"/>
    <tableColumn id="15" xr3:uid="{9A76C4D9-11CC-44D8-B2AC-FC1B04F47E73}" name="OP-D"/>
    <tableColumn id="16" xr3:uid="{9C22B9D6-866C-4178-BEF4-67804931BD84}" name="OS-Valor Unitario" dataDxfId="15" totalsRowDxfId="14"/>
    <tableColumn id="17" xr3:uid="{D9082E1A-5E5B-4F11-BF34-BA642F400C80}" name="OS-Cantidad"/>
    <tableColumn id="18" xr3:uid="{FEFBFA16-3E9D-4CFE-8BFC-2DCCC8E8E1EC}" name="Num OS"/>
    <tableColumn id="22" xr3:uid="{AEB0BEE2-D2D3-4D89-B33A-99E63AB3F102}" name="Diferencia valor unitario" dataDxfId="13">
      <calculatedColumnFormula>Tabla1[[#This Row],[OS-Valor Unitario]]-Tabla1[[#This Row],[costo_antes_iva]]</calculatedColumnFormula>
    </tableColumn>
    <tableColumn id="19" xr3:uid="{5D5996F3-C0B6-46EB-BF18-2E0A77DDD3F7}" name="Valor total OS" dataDxfId="12" totalsRowDxfId="11">
      <calculatedColumnFormula>Tabla1[[#This Row],[OS-Valor Unitario]]*Tabla1[[#This Row],[OS-Cantidad]]</calculatedColumnFormula>
    </tableColumn>
    <tableColumn id="20" xr3:uid="{463A3800-A184-4F93-A63B-81F08C3701DC}" name="valor total op" dataDxfId="10" totalsRowDxfId="9">
      <calculatedColumnFormula>Tabla1[[#This Row],[costo_antes_iva]]*Tabla1[[#This Row],[OS-Cantidad]]</calculatedColumnFormula>
    </tableColumn>
    <tableColumn id="21" xr3:uid="{D85B0E97-CF0E-478B-9B78-B48FAB216CD5}" name="Diferencia" totalsRowFunction="sum" dataDxfId="8" totalsRowDxfId="7">
      <calculatedColumnFormula>Tabla1[[#This Row],[Valor total OS]]-Tabla1[[#This Row],[valor total op]]</calculatedColumnFormula>
    </tableColumn>
    <tableColumn id="23" xr3:uid="{785CB21B-8245-4255-86D6-C14323065DE1}" name="BINS" dataDxfId="6">
      <calculatedColumnFormula>ROUNDDOWN(Tabla1[[#This Row],[Diferencia]]/200000,0)*200000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7"/>
  <sheetViews>
    <sheetView tabSelected="1" workbookViewId="0">
      <selection activeCell="C1" sqref="C1:C1048576"/>
    </sheetView>
  </sheetViews>
  <sheetFormatPr baseColWidth="10" defaultColWidth="8.88671875" defaultRowHeight="14.4" x14ac:dyDescent="0.3"/>
  <cols>
    <col min="1" max="1" width="7.88671875" customWidth="1"/>
    <col min="2" max="2" width="9" customWidth="1"/>
    <col min="3" max="3" width="8.21875" customWidth="1"/>
    <col min="4" max="4" width="9.6640625" customWidth="1"/>
    <col min="5" max="5" width="17" customWidth="1"/>
    <col min="6" max="6" width="17.109375" customWidth="1"/>
    <col min="7" max="7" width="27.21875" customWidth="1"/>
    <col min="8" max="8" width="12.77734375" customWidth="1"/>
    <col min="9" max="9" width="15.5546875" customWidth="1"/>
    <col min="10" max="10" width="13.6640625" customWidth="1"/>
    <col min="11" max="11" width="15.44140625" style="2" customWidth="1"/>
    <col min="12" max="12" width="16.21875" style="1" customWidth="1"/>
    <col min="13" max="13" width="15.44140625" customWidth="1"/>
    <col min="14" max="14" width="16.21875" customWidth="1"/>
    <col min="15" max="15" width="8.88671875" customWidth="1"/>
    <col min="16" max="16" width="17.88671875" style="1" customWidth="1"/>
    <col min="17" max="17" width="18" customWidth="1"/>
    <col min="18" max="19" width="21.33203125" customWidth="1"/>
    <col min="20" max="20" width="14.21875" style="1" customWidth="1"/>
    <col min="21" max="21" width="15.88671875" style="1" customWidth="1"/>
    <col min="22" max="22" width="15" customWidth="1"/>
    <col min="23" max="23" width="11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1372</v>
      </c>
      <c r="T1" s="1" t="s">
        <v>1367</v>
      </c>
      <c r="U1" s="1" t="s">
        <v>1371</v>
      </c>
      <c r="V1" t="s">
        <v>1370</v>
      </c>
      <c r="W1" t="s">
        <v>1373</v>
      </c>
    </row>
    <row r="2" spans="1:23" hidden="1" x14ac:dyDescent="0.3">
      <c r="A2">
        <v>6492</v>
      </c>
      <c r="B2">
        <v>13</v>
      </c>
      <c r="C2" t="s">
        <v>469</v>
      </c>
      <c r="D2">
        <v>60</v>
      </c>
      <c r="E2" t="s">
        <v>418</v>
      </c>
      <c r="F2" t="s">
        <v>470</v>
      </c>
      <c r="G2" t="s">
        <v>474</v>
      </c>
      <c r="H2" t="s">
        <v>317</v>
      </c>
      <c r="I2">
        <v>10</v>
      </c>
      <c r="J2">
        <v>77863835</v>
      </c>
      <c r="K2" s="2">
        <v>46020</v>
      </c>
      <c r="L2" s="1">
        <v>7500</v>
      </c>
      <c r="M2" t="s">
        <v>476</v>
      </c>
      <c r="N2" t="s">
        <v>51</v>
      </c>
      <c r="O2" t="s">
        <v>472</v>
      </c>
      <c r="P2" s="1">
        <v>39200</v>
      </c>
      <c r="Q2">
        <v>60</v>
      </c>
      <c r="R2" t="s">
        <v>473</v>
      </c>
      <c r="S2" s="1">
        <f>Tabla1[[#This Row],[OS-Valor Unitario]]-Tabla1[[#This Row],[costo_antes_iva]]</f>
        <v>31700</v>
      </c>
      <c r="T2" s="1">
        <f>Tabla1[[#This Row],[OS-Valor Unitario]]*Tabla1[[#This Row],[OS-Cantidad]]</f>
        <v>2352000</v>
      </c>
      <c r="U2" s="1">
        <f>Tabla1[[#This Row],[costo_antes_iva]]*Tabla1[[#This Row],[OS-Cantidad]]</f>
        <v>450000</v>
      </c>
      <c r="V2" s="1">
        <f>Tabla1[[#This Row],[Valor total OS]]-Tabla1[[#This Row],[valor total op]]</f>
        <v>1902000</v>
      </c>
      <c r="W2" s="1">
        <f>ROUNDDOWN(Tabla1[[#This Row],[Diferencia]]/200000,0)*200000</f>
        <v>1800000</v>
      </c>
    </row>
    <row r="3" spans="1:23" hidden="1" x14ac:dyDescent="0.3">
      <c r="A3">
        <v>6492</v>
      </c>
      <c r="B3">
        <v>13</v>
      </c>
      <c r="C3" t="s">
        <v>469</v>
      </c>
      <c r="D3">
        <v>60</v>
      </c>
      <c r="E3" t="s">
        <v>529</v>
      </c>
      <c r="F3" t="s">
        <v>470</v>
      </c>
      <c r="G3" t="s">
        <v>474</v>
      </c>
      <c r="H3" t="s">
        <v>317</v>
      </c>
      <c r="I3">
        <v>10</v>
      </c>
      <c r="J3">
        <v>77863835</v>
      </c>
      <c r="K3" s="2">
        <v>46020</v>
      </c>
      <c r="L3" s="1">
        <v>7500</v>
      </c>
      <c r="M3" t="s">
        <v>476</v>
      </c>
      <c r="N3" t="s">
        <v>51</v>
      </c>
      <c r="O3" t="s">
        <v>472</v>
      </c>
      <c r="P3" s="1">
        <v>39200</v>
      </c>
      <c r="Q3">
        <v>60</v>
      </c>
      <c r="R3" t="s">
        <v>473</v>
      </c>
      <c r="S3" s="1">
        <f>Tabla1[[#This Row],[OS-Valor Unitario]]-Tabla1[[#This Row],[costo_antes_iva]]</f>
        <v>31700</v>
      </c>
      <c r="T3" s="1">
        <f>Tabla1[[#This Row],[OS-Valor Unitario]]*Tabla1[[#This Row],[OS-Cantidad]]</f>
        <v>2352000</v>
      </c>
      <c r="U3" s="1">
        <f>Tabla1[[#This Row],[costo_antes_iva]]*Tabla1[[#This Row],[OS-Cantidad]]</f>
        <v>450000</v>
      </c>
      <c r="V3" s="1">
        <f>Tabla1[[#This Row],[Valor total OS]]-Tabla1[[#This Row],[valor total op]]</f>
        <v>1902000</v>
      </c>
      <c r="W3" s="1">
        <f>ROUNDDOWN(Tabla1[[#This Row],[Diferencia]]/200000,0)*200000</f>
        <v>1800000</v>
      </c>
    </row>
    <row r="4" spans="1:23" hidden="1" x14ac:dyDescent="0.3">
      <c r="A4">
        <v>6492</v>
      </c>
      <c r="B4">
        <v>13</v>
      </c>
      <c r="C4" t="s">
        <v>469</v>
      </c>
      <c r="D4">
        <v>60</v>
      </c>
      <c r="E4" t="s">
        <v>418</v>
      </c>
      <c r="F4" t="s">
        <v>470</v>
      </c>
      <c r="G4" t="s">
        <v>474</v>
      </c>
      <c r="H4" t="s">
        <v>317</v>
      </c>
      <c r="I4">
        <v>50</v>
      </c>
      <c r="J4">
        <v>77869378</v>
      </c>
      <c r="K4" s="2">
        <v>46020</v>
      </c>
      <c r="L4" s="1">
        <v>12500</v>
      </c>
      <c r="M4" t="s">
        <v>475</v>
      </c>
      <c r="N4" t="s">
        <v>51</v>
      </c>
      <c r="O4" t="s">
        <v>472</v>
      </c>
      <c r="P4" s="1">
        <v>39200</v>
      </c>
      <c r="Q4">
        <v>60</v>
      </c>
      <c r="R4" t="s">
        <v>473</v>
      </c>
      <c r="S4" s="1">
        <f>Tabla1[[#This Row],[OS-Valor Unitario]]-Tabla1[[#This Row],[costo_antes_iva]]</f>
        <v>26700</v>
      </c>
      <c r="T4" s="1">
        <f>Tabla1[[#This Row],[OS-Valor Unitario]]*Tabla1[[#This Row],[OS-Cantidad]]</f>
        <v>2352000</v>
      </c>
      <c r="U4" s="1">
        <f>Tabla1[[#This Row],[costo_antes_iva]]*Tabla1[[#This Row],[OS-Cantidad]]</f>
        <v>750000</v>
      </c>
      <c r="V4" s="1">
        <f>Tabla1[[#This Row],[Valor total OS]]-Tabla1[[#This Row],[valor total op]]</f>
        <v>1602000</v>
      </c>
      <c r="W4" s="1">
        <f>ROUNDDOWN(Tabla1[[#This Row],[Diferencia]]/200000,0)*200000</f>
        <v>1600000</v>
      </c>
    </row>
    <row r="5" spans="1:23" hidden="1" x14ac:dyDescent="0.3">
      <c r="A5">
        <v>6492</v>
      </c>
      <c r="B5">
        <v>13</v>
      </c>
      <c r="C5" t="s">
        <v>469</v>
      </c>
      <c r="D5">
        <v>60</v>
      </c>
      <c r="E5" t="s">
        <v>529</v>
      </c>
      <c r="F5" t="s">
        <v>470</v>
      </c>
      <c r="G5" t="s">
        <v>474</v>
      </c>
      <c r="H5" t="s">
        <v>317</v>
      </c>
      <c r="I5">
        <v>50</v>
      </c>
      <c r="J5">
        <v>77869378</v>
      </c>
      <c r="K5" s="2">
        <v>46020</v>
      </c>
      <c r="L5" s="1">
        <v>12500</v>
      </c>
      <c r="M5" t="s">
        <v>475</v>
      </c>
      <c r="N5" t="s">
        <v>51</v>
      </c>
      <c r="O5" t="s">
        <v>472</v>
      </c>
      <c r="P5" s="1">
        <v>39200</v>
      </c>
      <c r="Q5">
        <v>60</v>
      </c>
      <c r="R5" t="s">
        <v>473</v>
      </c>
      <c r="S5" s="1">
        <f>Tabla1[[#This Row],[OS-Valor Unitario]]-Tabla1[[#This Row],[costo_antes_iva]]</f>
        <v>26700</v>
      </c>
      <c r="T5" s="1">
        <f>Tabla1[[#This Row],[OS-Valor Unitario]]*Tabla1[[#This Row],[OS-Cantidad]]</f>
        <v>2352000</v>
      </c>
      <c r="U5" s="1">
        <f>Tabla1[[#This Row],[costo_antes_iva]]*Tabla1[[#This Row],[OS-Cantidad]]</f>
        <v>750000</v>
      </c>
      <c r="V5" s="1">
        <f>Tabla1[[#This Row],[Valor total OS]]-Tabla1[[#This Row],[valor total op]]</f>
        <v>1602000</v>
      </c>
      <c r="W5" s="1">
        <f>ROUNDDOWN(Tabla1[[#This Row],[Diferencia]]/200000,0)*200000</f>
        <v>1600000</v>
      </c>
    </row>
    <row r="6" spans="1:23" hidden="1" x14ac:dyDescent="0.3">
      <c r="A6">
        <v>6533</v>
      </c>
      <c r="B6">
        <v>8</v>
      </c>
      <c r="C6" t="s">
        <v>287</v>
      </c>
      <c r="D6">
        <v>1310</v>
      </c>
      <c r="E6" t="s">
        <v>260</v>
      </c>
      <c r="F6" t="s">
        <v>288</v>
      </c>
      <c r="G6" t="s">
        <v>268</v>
      </c>
      <c r="H6" t="s">
        <v>262</v>
      </c>
      <c r="I6">
        <v>1310</v>
      </c>
      <c r="J6">
        <v>79196561</v>
      </c>
      <c r="K6" s="2">
        <v>46050</v>
      </c>
      <c r="L6" s="1">
        <v>8188</v>
      </c>
      <c r="M6" t="s">
        <v>263</v>
      </c>
      <c r="N6" t="s">
        <v>51</v>
      </c>
      <c r="O6" t="s">
        <v>289</v>
      </c>
      <c r="P6" s="1">
        <v>8837.6</v>
      </c>
      <c r="Q6">
        <v>2051</v>
      </c>
      <c r="R6" t="s">
        <v>290</v>
      </c>
      <c r="S6" s="1">
        <f>Tabla1[[#This Row],[OS-Valor Unitario]]-Tabla1[[#This Row],[costo_antes_iva]]</f>
        <v>649.60000000000036</v>
      </c>
      <c r="T6" s="1">
        <f>Tabla1[[#This Row],[OS-Valor Unitario]]*Tabla1[[#This Row],[OS-Cantidad]]</f>
        <v>18125917.600000001</v>
      </c>
      <c r="U6" s="1">
        <f>Tabla1[[#This Row],[costo_antes_iva]]*Tabla1[[#This Row],[OS-Cantidad]]</f>
        <v>16793588</v>
      </c>
      <c r="V6" s="1">
        <f>Tabla1[[#This Row],[Valor total OS]]-Tabla1[[#This Row],[valor total op]]</f>
        <v>1332329.6000000015</v>
      </c>
      <c r="W6" s="1">
        <f>ROUNDDOWN(Tabla1[[#This Row],[Diferencia]]/200000,0)*200000</f>
        <v>1200000</v>
      </c>
    </row>
    <row r="7" spans="1:23" hidden="1" x14ac:dyDescent="0.3">
      <c r="A7">
        <v>6485</v>
      </c>
      <c r="B7">
        <v>11</v>
      </c>
      <c r="C7" t="s">
        <v>695</v>
      </c>
      <c r="D7">
        <v>145</v>
      </c>
      <c r="E7" t="s">
        <v>650</v>
      </c>
      <c r="F7" t="s">
        <v>696</v>
      </c>
      <c r="G7" t="s">
        <v>633</v>
      </c>
      <c r="H7" t="s">
        <v>166</v>
      </c>
      <c r="I7">
        <v>1</v>
      </c>
      <c r="J7">
        <v>77662859</v>
      </c>
      <c r="K7" s="2">
        <v>46014</v>
      </c>
      <c r="L7" s="1">
        <v>0</v>
      </c>
      <c r="M7" t="s">
        <v>652</v>
      </c>
      <c r="N7" t="s">
        <v>51</v>
      </c>
      <c r="O7" t="s">
        <v>697</v>
      </c>
      <c r="P7" s="1">
        <v>9000</v>
      </c>
      <c r="Q7">
        <v>145</v>
      </c>
      <c r="R7" t="s">
        <v>698</v>
      </c>
      <c r="S7" s="1">
        <f>Tabla1[[#This Row],[OS-Valor Unitario]]-Tabla1[[#This Row],[costo_antes_iva]]</f>
        <v>9000</v>
      </c>
      <c r="T7" s="1">
        <f>Tabla1[[#This Row],[OS-Valor Unitario]]*Tabla1[[#This Row],[OS-Cantidad]]</f>
        <v>1305000</v>
      </c>
      <c r="U7" s="1">
        <f>Tabla1[[#This Row],[costo_antes_iva]]*Tabla1[[#This Row],[OS-Cantidad]]</f>
        <v>0</v>
      </c>
      <c r="V7" s="1">
        <f>Tabla1[[#This Row],[Valor total OS]]-Tabla1[[#This Row],[valor total op]]</f>
        <v>1305000</v>
      </c>
      <c r="W7" s="1">
        <f>ROUNDDOWN(Tabla1[[#This Row],[Diferencia]]/200000,0)*200000</f>
        <v>1200000</v>
      </c>
    </row>
    <row r="8" spans="1:23" hidden="1" x14ac:dyDescent="0.3">
      <c r="A8">
        <v>6485</v>
      </c>
      <c r="B8">
        <v>11</v>
      </c>
      <c r="C8" t="s">
        <v>695</v>
      </c>
      <c r="D8">
        <v>145</v>
      </c>
      <c r="E8" t="s">
        <v>650</v>
      </c>
      <c r="F8" t="s">
        <v>696</v>
      </c>
      <c r="G8" t="s">
        <v>633</v>
      </c>
      <c r="H8" t="s">
        <v>166</v>
      </c>
      <c r="I8">
        <v>1</v>
      </c>
      <c r="J8">
        <v>77663154</v>
      </c>
      <c r="K8" s="2">
        <v>46014</v>
      </c>
      <c r="L8" s="1">
        <v>0</v>
      </c>
      <c r="M8" t="s">
        <v>655</v>
      </c>
      <c r="N8" t="s">
        <v>51</v>
      </c>
      <c r="O8" t="s">
        <v>697</v>
      </c>
      <c r="P8" s="1">
        <v>9000</v>
      </c>
      <c r="Q8">
        <v>145</v>
      </c>
      <c r="R8" t="s">
        <v>698</v>
      </c>
      <c r="S8" s="1">
        <f>Tabla1[[#This Row],[OS-Valor Unitario]]-Tabla1[[#This Row],[costo_antes_iva]]</f>
        <v>9000</v>
      </c>
      <c r="T8" s="1">
        <f>Tabla1[[#This Row],[OS-Valor Unitario]]*Tabla1[[#This Row],[OS-Cantidad]]</f>
        <v>1305000</v>
      </c>
      <c r="U8" s="1">
        <f>Tabla1[[#This Row],[costo_antes_iva]]*Tabla1[[#This Row],[OS-Cantidad]]</f>
        <v>0</v>
      </c>
      <c r="V8" s="1">
        <f>Tabla1[[#This Row],[Valor total OS]]-Tabla1[[#This Row],[valor total op]]</f>
        <v>1305000</v>
      </c>
      <c r="W8" s="1">
        <f>ROUNDDOWN(Tabla1[[#This Row],[Diferencia]]/200000,0)*200000</f>
        <v>1200000</v>
      </c>
    </row>
    <row r="9" spans="1:23" hidden="1" x14ac:dyDescent="0.3">
      <c r="A9">
        <v>6533</v>
      </c>
      <c r="B9">
        <v>3</v>
      </c>
      <c r="C9" t="s">
        <v>271</v>
      </c>
      <c r="D9">
        <v>866</v>
      </c>
      <c r="E9" t="s">
        <v>260</v>
      </c>
      <c r="F9" t="s">
        <v>272</v>
      </c>
      <c r="G9" t="s">
        <v>268</v>
      </c>
      <c r="H9" t="s">
        <v>262</v>
      </c>
      <c r="I9">
        <v>866</v>
      </c>
      <c r="J9">
        <v>79196523</v>
      </c>
      <c r="K9" s="2">
        <v>46050</v>
      </c>
      <c r="L9" s="1">
        <v>8143</v>
      </c>
      <c r="M9" t="s">
        <v>263</v>
      </c>
      <c r="N9" t="s">
        <v>51</v>
      </c>
      <c r="O9" t="s">
        <v>273</v>
      </c>
      <c r="P9" s="1">
        <v>9035.75</v>
      </c>
      <c r="Q9">
        <v>1390</v>
      </c>
      <c r="R9" t="s">
        <v>274</v>
      </c>
      <c r="S9" s="1">
        <f>Tabla1[[#This Row],[OS-Valor Unitario]]-Tabla1[[#This Row],[costo_antes_iva]]</f>
        <v>892.75</v>
      </c>
      <c r="T9" s="1">
        <f>Tabla1[[#This Row],[OS-Valor Unitario]]*Tabla1[[#This Row],[OS-Cantidad]]</f>
        <v>12559692.5</v>
      </c>
      <c r="U9" s="1">
        <f>Tabla1[[#This Row],[costo_antes_iva]]*Tabla1[[#This Row],[OS-Cantidad]]</f>
        <v>11318770</v>
      </c>
      <c r="V9" s="1">
        <f>Tabla1[[#This Row],[Valor total OS]]-Tabla1[[#This Row],[valor total op]]</f>
        <v>1240922.5</v>
      </c>
      <c r="W9" s="1">
        <f>ROUNDDOWN(Tabla1[[#This Row],[Diferencia]]/200000,0)*200000</f>
        <v>1200000</v>
      </c>
    </row>
    <row r="10" spans="1:23" hidden="1" x14ac:dyDescent="0.3">
      <c r="A10">
        <v>6533</v>
      </c>
      <c r="B10">
        <v>7</v>
      </c>
      <c r="C10" t="s">
        <v>283</v>
      </c>
      <c r="D10">
        <v>1795</v>
      </c>
      <c r="E10" t="s">
        <v>260</v>
      </c>
      <c r="F10" t="s">
        <v>284</v>
      </c>
      <c r="G10" t="s">
        <v>268</v>
      </c>
      <c r="H10" t="s">
        <v>262</v>
      </c>
      <c r="I10">
        <v>1795</v>
      </c>
      <c r="J10">
        <v>79196554</v>
      </c>
      <c r="K10" s="2">
        <v>46050</v>
      </c>
      <c r="L10" s="1">
        <v>8125</v>
      </c>
      <c r="M10" t="s">
        <v>263</v>
      </c>
      <c r="N10" t="s">
        <v>51</v>
      </c>
      <c r="O10" t="s">
        <v>285</v>
      </c>
      <c r="P10" s="1">
        <v>8833.3333333333303</v>
      </c>
      <c r="Q10">
        <v>1395</v>
      </c>
      <c r="R10" t="s">
        <v>286</v>
      </c>
      <c r="S10" s="1">
        <f>Tabla1[[#This Row],[OS-Valor Unitario]]-Tabla1[[#This Row],[costo_antes_iva]]</f>
        <v>708.3333333333303</v>
      </c>
      <c r="T10" s="1">
        <f>Tabla1[[#This Row],[OS-Valor Unitario]]*Tabla1[[#This Row],[OS-Cantidad]]</f>
        <v>12322499.999999996</v>
      </c>
      <c r="U10" s="1">
        <f>Tabla1[[#This Row],[costo_antes_iva]]*Tabla1[[#This Row],[OS-Cantidad]]</f>
        <v>11334375</v>
      </c>
      <c r="V10" s="1">
        <f>Tabla1[[#This Row],[Valor total OS]]-Tabla1[[#This Row],[valor total op]]</f>
        <v>988124.99999999627</v>
      </c>
      <c r="W10" s="1">
        <f>ROUNDDOWN(Tabla1[[#This Row],[Diferencia]]/200000,0)*200000</f>
        <v>800000</v>
      </c>
    </row>
    <row r="11" spans="1:23" hidden="1" x14ac:dyDescent="0.3">
      <c r="A11">
        <v>6533</v>
      </c>
      <c r="B11">
        <v>2</v>
      </c>
      <c r="C11" t="s">
        <v>266</v>
      </c>
      <c r="D11">
        <v>1561</v>
      </c>
      <c r="E11" t="s">
        <v>260</v>
      </c>
      <c r="F11" t="s">
        <v>267</v>
      </c>
      <c r="G11" t="s">
        <v>268</v>
      </c>
      <c r="H11" t="s">
        <v>262</v>
      </c>
      <c r="I11">
        <v>1561</v>
      </c>
      <c r="J11">
        <v>79196515</v>
      </c>
      <c r="K11" s="2">
        <v>46050</v>
      </c>
      <c r="L11" s="1">
        <v>8167</v>
      </c>
      <c r="M11" t="s">
        <v>263</v>
      </c>
      <c r="N11" t="s">
        <v>51</v>
      </c>
      <c r="O11" t="s">
        <v>269</v>
      </c>
      <c r="P11" s="1">
        <v>8833.3333333333303</v>
      </c>
      <c r="Q11">
        <v>1161</v>
      </c>
      <c r="R11" t="s">
        <v>270</v>
      </c>
      <c r="S11" s="1">
        <f>Tabla1[[#This Row],[OS-Valor Unitario]]-Tabla1[[#This Row],[costo_antes_iva]]</f>
        <v>666.3333333333303</v>
      </c>
      <c r="T11" s="1">
        <f>Tabla1[[#This Row],[OS-Valor Unitario]]*Tabla1[[#This Row],[OS-Cantidad]]</f>
        <v>10255499.999999996</v>
      </c>
      <c r="U11" s="1">
        <f>Tabla1[[#This Row],[costo_antes_iva]]*Tabla1[[#This Row],[OS-Cantidad]]</f>
        <v>9481887</v>
      </c>
      <c r="V11" s="1">
        <f>Tabla1[[#This Row],[Valor total OS]]-Tabla1[[#This Row],[valor total op]]</f>
        <v>773612.99999999627</v>
      </c>
      <c r="W11" s="1">
        <f>ROUNDDOWN(Tabla1[[#This Row],[Diferencia]]/200000,0)*200000</f>
        <v>600000</v>
      </c>
    </row>
    <row r="12" spans="1:23" hidden="1" x14ac:dyDescent="0.3">
      <c r="A12">
        <v>6533</v>
      </c>
      <c r="B12">
        <v>4</v>
      </c>
      <c r="C12" t="s">
        <v>275</v>
      </c>
      <c r="D12">
        <v>4820</v>
      </c>
      <c r="E12" t="s">
        <v>260</v>
      </c>
      <c r="F12" t="s">
        <v>276</v>
      </c>
      <c r="G12" t="s">
        <v>118</v>
      </c>
      <c r="H12" t="s">
        <v>262</v>
      </c>
      <c r="I12">
        <v>4820</v>
      </c>
      <c r="J12">
        <v>79196531</v>
      </c>
      <c r="K12" s="2">
        <v>46050</v>
      </c>
      <c r="L12" s="1">
        <v>750</v>
      </c>
      <c r="M12" t="s">
        <v>263</v>
      </c>
      <c r="N12" t="s">
        <v>24</v>
      </c>
      <c r="O12" t="s">
        <v>277</v>
      </c>
      <c r="P12" s="1">
        <v>900</v>
      </c>
      <c r="Q12">
        <v>4760</v>
      </c>
      <c r="R12" t="s">
        <v>278</v>
      </c>
      <c r="S12" s="1">
        <f>Tabla1[[#This Row],[OS-Valor Unitario]]-Tabla1[[#This Row],[costo_antes_iva]]</f>
        <v>150</v>
      </c>
      <c r="T12" s="1">
        <f>Tabla1[[#This Row],[OS-Valor Unitario]]*Tabla1[[#This Row],[OS-Cantidad]]</f>
        <v>4284000</v>
      </c>
      <c r="U12" s="1">
        <f>Tabla1[[#This Row],[costo_antes_iva]]*Tabla1[[#This Row],[OS-Cantidad]]</f>
        <v>3570000</v>
      </c>
      <c r="V12" s="1">
        <f>Tabla1[[#This Row],[Valor total OS]]-Tabla1[[#This Row],[valor total op]]</f>
        <v>714000</v>
      </c>
      <c r="W12" s="1">
        <f>ROUNDDOWN(Tabla1[[#This Row],[Diferencia]]/200000,0)*200000</f>
        <v>600000</v>
      </c>
    </row>
    <row r="13" spans="1:23" hidden="1" x14ac:dyDescent="0.3">
      <c r="A13">
        <v>6425</v>
      </c>
      <c r="B13">
        <v>1</v>
      </c>
      <c r="C13" t="s">
        <v>901</v>
      </c>
      <c r="D13">
        <v>680</v>
      </c>
      <c r="E13" t="s">
        <v>902</v>
      </c>
      <c r="F13" t="s">
        <v>903</v>
      </c>
      <c r="G13" t="s">
        <v>1376</v>
      </c>
      <c r="H13" t="s">
        <v>166</v>
      </c>
      <c r="I13">
        <v>680</v>
      </c>
      <c r="J13">
        <v>75860551</v>
      </c>
      <c r="K13" s="2">
        <v>45985</v>
      </c>
      <c r="L13" s="1">
        <v>4000</v>
      </c>
      <c r="M13" t="s">
        <v>904</v>
      </c>
      <c r="N13" t="s">
        <v>51</v>
      </c>
      <c r="O13" t="s">
        <v>905</v>
      </c>
      <c r="P13" s="1">
        <v>5000</v>
      </c>
      <c r="Q13">
        <v>680</v>
      </c>
      <c r="R13" t="s">
        <v>906</v>
      </c>
      <c r="S13" s="1">
        <f>Tabla1[[#This Row],[OS-Valor Unitario]]-Tabla1[[#This Row],[costo_antes_iva]]</f>
        <v>1000</v>
      </c>
      <c r="T13" s="1">
        <f>Tabla1[[#This Row],[OS-Valor Unitario]]*Tabla1[[#This Row],[OS-Cantidad]]</f>
        <v>3400000</v>
      </c>
      <c r="U13" s="1">
        <f>Tabla1[[#This Row],[costo_antes_iva]]*Tabla1[[#This Row],[OS-Cantidad]]</f>
        <v>2720000</v>
      </c>
      <c r="V13" s="1">
        <f>Tabla1[[#This Row],[Valor total OS]]-Tabla1[[#This Row],[valor total op]]</f>
        <v>680000</v>
      </c>
      <c r="W13" s="1">
        <f>ROUNDDOWN(Tabla1[[#This Row],[Diferencia]]/200000,0)*200000</f>
        <v>600000</v>
      </c>
    </row>
    <row r="14" spans="1:23" hidden="1" x14ac:dyDescent="0.3">
      <c r="A14">
        <v>6430</v>
      </c>
      <c r="B14">
        <v>1</v>
      </c>
      <c r="C14" t="s">
        <v>890</v>
      </c>
      <c r="D14">
        <v>1310</v>
      </c>
      <c r="E14" t="s">
        <v>891</v>
      </c>
      <c r="F14" t="s">
        <v>393</v>
      </c>
      <c r="G14" t="s">
        <v>398</v>
      </c>
      <c r="H14" t="s">
        <v>317</v>
      </c>
      <c r="I14">
        <v>200</v>
      </c>
      <c r="J14">
        <v>77935140</v>
      </c>
      <c r="K14" s="2">
        <v>46022</v>
      </c>
      <c r="L14" s="1">
        <v>4500</v>
      </c>
      <c r="M14" t="s">
        <v>399</v>
      </c>
      <c r="N14" t="s">
        <v>51</v>
      </c>
      <c r="O14" t="s">
        <v>892</v>
      </c>
      <c r="P14" s="1">
        <v>5000</v>
      </c>
      <c r="Q14">
        <v>1310</v>
      </c>
      <c r="R14" t="s">
        <v>893</v>
      </c>
      <c r="S14" s="1">
        <f>Tabla1[[#This Row],[OS-Valor Unitario]]-Tabla1[[#This Row],[costo_antes_iva]]</f>
        <v>500</v>
      </c>
      <c r="T14" s="1">
        <f>Tabla1[[#This Row],[OS-Valor Unitario]]*Tabla1[[#This Row],[OS-Cantidad]]</f>
        <v>6550000</v>
      </c>
      <c r="U14" s="1">
        <f>Tabla1[[#This Row],[costo_antes_iva]]*Tabla1[[#This Row],[OS-Cantidad]]</f>
        <v>5895000</v>
      </c>
      <c r="V14" s="1">
        <f>Tabla1[[#This Row],[Valor total OS]]-Tabla1[[#This Row],[valor total op]]</f>
        <v>655000</v>
      </c>
      <c r="W14" s="1">
        <f>ROUNDDOWN(Tabla1[[#This Row],[Diferencia]]/200000,0)*200000</f>
        <v>600000</v>
      </c>
    </row>
    <row r="15" spans="1:23" hidden="1" x14ac:dyDescent="0.3">
      <c r="A15">
        <v>6430</v>
      </c>
      <c r="B15">
        <v>1</v>
      </c>
      <c r="C15" t="s">
        <v>890</v>
      </c>
      <c r="D15">
        <v>1310</v>
      </c>
      <c r="E15" t="s">
        <v>891</v>
      </c>
      <c r="F15" t="s">
        <v>393</v>
      </c>
      <c r="G15" t="s">
        <v>398</v>
      </c>
      <c r="H15" t="s">
        <v>317</v>
      </c>
      <c r="I15">
        <v>1150</v>
      </c>
      <c r="J15">
        <v>76177272</v>
      </c>
      <c r="K15" s="2">
        <v>45987</v>
      </c>
      <c r="L15" s="1">
        <v>4500</v>
      </c>
      <c r="M15" t="s">
        <v>402</v>
      </c>
      <c r="N15" t="s">
        <v>51</v>
      </c>
      <c r="O15" t="s">
        <v>892</v>
      </c>
      <c r="P15" s="1">
        <v>5000</v>
      </c>
      <c r="Q15">
        <v>1310</v>
      </c>
      <c r="R15" t="s">
        <v>893</v>
      </c>
      <c r="S15" s="1">
        <f>Tabla1[[#This Row],[OS-Valor Unitario]]-Tabla1[[#This Row],[costo_antes_iva]]</f>
        <v>500</v>
      </c>
      <c r="T15" s="1">
        <f>Tabla1[[#This Row],[OS-Valor Unitario]]*Tabla1[[#This Row],[OS-Cantidad]]</f>
        <v>6550000</v>
      </c>
      <c r="U15" s="1">
        <f>Tabla1[[#This Row],[costo_antes_iva]]*Tabla1[[#This Row],[OS-Cantidad]]</f>
        <v>5895000</v>
      </c>
      <c r="V15" s="1">
        <f>Tabla1[[#This Row],[Valor total OS]]-Tabla1[[#This Row],[valor total op]]</f>
        <v>655000</v>
      </c>
      <c r="W15" s="1">
        <f>ROUNDDOWN(Tabla1[[#This Row],[Diferencia]]/200000,0)*200000</f>
        <v>600000</v>
      </c>
    </row>
    <row r="16" spans="1:23" hidden="1" x14ac:dyDescent="0.3">
      <c r="A16">
        <v>6430</v>
      </c>
      <c r="B16">
        <v>1</v>
      </c>
      <c r="C16" t="s">
        <v>890</v>
      </c>
      <c r="D16">
        <v>1310</v>
      </c>
      <c r="E16" t="s">
        <v>891</v>
      </c>
      <c r="F16" t="s">
        <v>393</v>
      </c>
      <c r="G16" t="s">
        <v>398</v>
      </c>
      <c r="H16" t="s">
        <v>317</v>
      </c>
      <c r="I16">
        <v>5</v>
      </c>
      <c r="J16">
        <v>75885191</v>
      </c>
      <c r="K16" s="2">
        <v>45986</v>
      </c>
      <c r="L16" s="1">
        <v>4500</v>
      </c>
      <c r="M16" t="s">
        <v>403</v>
      </c>
      <c r="N16" t="s">
        <v>51</v>
      </c>
      <c r="O16" t="s">
        <v>892</v>
      </c>
      <c r="P16" s="1">
        <v>5000</v>
      </c>
      <c r="Q16">
        <v>1310</v>
      </c>
      <c r="R16" t="s">
        <v>893</v>
      </c>
      <c r="S16" s="1">
        <f>Tabla1[[#This Row],[OS-Valor Unitario]]-Tabla1[[#This Row],[costo_antes_iva]]</f>
        <v>500</v>
      </c>
      <c r="T16" s="1">
        <f>Tabla1[[#This Row],[OS-Valor Unitario]]*Tabla1[[#This Row],[OS-Cantidad]]</f>
        <v>6550000</v>
      </c>
      <c r="U16" s="1">
        <f>Tabla1[[#This Row],[costo_antes_iva]]*Tabla1[[#This Row],[OS-Cantidad]]</f>
        <v>5895000</v>
      </c>
      <c r="V16" s="1">
        <f>Tabla1[[#This Row],[Valor total OS]]-Tabla1[[#This Row],[valor total op]]</f>
        <v>655000</v>
      </c>
      <c r="W16" s="1">
        <f>ROUNDDOWN(Tabla1[[#This Row],[Diferencia]]/200000,0)*200000</f>
        <v>600000</v>
      </c>
    </row>
    <row r="17" spans="1:23" hidden="1" x14ac:dyDescent="0.3">
      <c r="A17">
        <v>6492</v>
      </c>
      <c r="B17">
        <v>18</v>
      </c>
      <c r="C17" t="s">
        <v>497</v>
      </c>
      <c r="D17">
        <v>140</v>
      </c>
      <c r="E17" t="s">
        <v>418</v>
      </c>
      <c r="F17" t="s">
        <v>498</v>
      </c>
      <c r="G17" t="s">
        <v>268</v>
      </c>
      <c r="H17" t="s">
        <v>317</v>
      </c>
      <c r="I17">
        <v>140</v>
      </c>
      <c r="J17">
        <v>77864668</v>
      </c>
      <c r="K17" s="2">
        <v>46020</v>
      </c>
      <c r="L17" s="1">
        <v>7500</v>
      </c>
      <c r="M17" t="s">
        <v>420</v>
      </c>
      <c r="N17" t="s">
        <v>51</v>
      </c>
      <c r="O17" t="s">
        <v>499</v>
      </c>
      <c r="P17" s="1">
        <v>12000</v>
      </c>
      <c r="Q17">
        <v>140</v>
      </c>
      <c r="R17" t="s">
        <v>500</v>
      </c>
      <c r="S17" s="1">
        <f>Tabla1[[#This Row],[OS-Valor Unitario]]-Tabla1[[#This Row],[costo_antes_iva]]</f>
        <v>4500</v>
      </c>
      <c r="T17" s="1">
        <f>Tabla1[[#This Row],[OS-Valor Unitario]]*Tabla1[[#This Row],[OS-Cantidad]]</f>
        <v>1680000</v>
      </c>
      <c r="U17" s="1">
        <f>Tabla1[[#This Row],[costo_antes_iva]]*Tabla1[[#This Row],[OS-Cantidad]]</f>
        <v>1050000</v>
      </c>
      <c r="V17" s="1">
        <f>Tabla1[[#This Row],[Valor total OS]]-Tabla1[[#This Row],[valor total op]]</f>
        <v>630000</v>
      </c>
      <c r="W17" s="1">
        <f>ROUNDDOWN(Tabla1[[#This Row],[Diferencia]]/200000,0)*200000</f>
        <v>600000</v>
      </c>
    </row>
    <row r="18" spans="1:23" hidden="1" x14ac:dyDescent="0.3">
      <c r="A18">
        <v>6492</v>
      </c>
      <c r="B18">
        <v>18</v>
      </c>
      <c r="C18" t="s">
        <v>497</v>
      </c>
      <c r="D18">
        <v>140</v>
      </c>
      <c r="E18" t="s">
        <v>529</v>
      </c>
      <c r="F18" t="s">
        <v>498</v>
      </c>
      <c r="G18" t="s">
        <v>268</v>
      </c>
      <c r="H18" t="s">
        <v>317</v>
      </c>
      <c r="I18">
        <v>140</v>
      </c>
      <c r="J18">
        <v>77864668</v>
      </c>
      <c r="K18" s="2">
        <v>46020</v>
      </c>
      <c r="L18" s="1">
        <v>7500</v>
      </c>
      <c r="M18" t="s">
        <v>420</v>
      </c>
      <c r="N18" t="s">
        <v>51</v>
      </c>
      <c r="O18" t="s">
        <v>499</v>
      </c>
      <c r="P18" s="1">
        <v>12000</v>
      </c>
      <c r="Q18">
        <v>140</v>
      </c>
      <c r="R18" t="s">
        <v>500</v>
      </c>
      <c r="S18" s="1">
        <f>Tabla1[[#This Row],[OS-Valor Unitario]]-Tabla1[[#This Row],[costo_antes_iva]]</f>
        <v>4500</v>
      </c>
      <c r="T18" s="1">
        <f>Tabla1[[#This Row],[OS-Valor Unitario]]*Tabla1[[#This Row],[OS-Cantidad]]</f>
        <v>1680000</v>
      </c>
      <c r="U18" s="1">
        <f>Tabla1[[#This Row],[costo_antes_iva]]*Tabla1[[#This Row],[OS-Cantidad]]</f>
        <v>1050000</v>
      </c>
      <c r="V18" s="1">
        <f>Tabla1[[#This Row],[Valor total OS]]-Tabla1[[#This Row],[valor total op]]</f>
        <v>630000</v>
      </c>
      <c r="W18" s="1">
        <f>ROUNDDOWN(Tabla1[[#This Row],[Diferencia]]/200000,0)*200000</f>
        <v>600000</v>
      </c>
    </row>
    <row r="19" spans="1:23" hidden="1" x14ac:dyDescent="0.3">
      <c r="A19">
        <v>6492</v>
      </c>
      <c r="B19">
        <v>4</v>
      </c>
      <c r="C19" t="s">
        <v>429</v>
      </c>
      <c r="D19">
        <v>1100</v>
      </c>
      <c r="E19" t="s">
        <v>418</v>
      </c>
      <c r="F19" t="s">
        <v>430</v>
      </c>
      <c r="G19" t="s">
        <v>431</v>
      </c>
      <c r="H19" t="s">
        <v>317</v>
      </c>
      <c r="I19">
        <v>1100</v>
      </c>
      <c r="J19">
        <v>77864570</v>
      </c>
      <c r="K19" s="2">
        <v>46020</v>
      </c>
      <c r="L19" s="1">
        <v>8200</v>
      </c>
      <c r="M19" t="s">
        <v>420</v>
      </c>
      <c r="N19" t="s">
        <v>51</v>
      </c>
      <c r="O19" t="s">
        <v>432</v>
      </c>
      <c r="P19" s="1">
        <v>8750</v>
      </c>
      <c r="Q19">
        <v>1100</v>
      </c>
      <c r="R19" t="s">
        <v>434</v>
      </c>
      <c r="S19" s="1">
        <f>Tabla1[[#This Row],[OS-Valor Unitario]]-Tabla1[[#This Row],[costo_antes_iva]]</f>
        <v>550</v>
      </c>
      <c r="T19" s="1">
        <f>Tabla1[[#This Row],[OS-Valor Unitario]]*Tabla1[[#This Row],[OS-Cantidad]]</f>
        <v>9625000</v>
      </c>
      <c r="U19" s="1">
        <f>Tabla1[[#This Row],[costo_antes_iva]]*Tabla1[[#This Row],[OS-Cantidad]]</f>
        <v>9020000</v>
      </c>
      <c r="V19" s="1">
        <f>Tabla1[[#This Row],[Valor total OS]]-Tabla1[[#This Row],[valor total op]]</f>
        <v>605000</v>
      </c>
      <c r="W19" s="1">
        <f>ROUNDDOWN(Tabla1[[#This Row],[Diferencia]]/200000,0)*200000</f>
        <v>600000</v>
      </c>
    </row>
    <row r="20" spans="1:23" hidden="1" x14ac:dyDescent="0.3">
      <c r="A20">
        <v>6492</v>
      </c>
      <c r="B20">
        <v>4</v>
      </c>
      <c r="C20" t="s">
        <v>429</v>
      </c>
      <c r="D20">
        <v>1100</v>
      </c>
      <c r="E20" t="s">
        <v>529</v>
      </c>
      <c r="F20" t="s">
        <v>430</v>
      </c>
      <c r="G20" t="s">
        <v>431</v>
      </c>
      <c r="H20" t="s">
        <v>317</v>
      </c>
      <c r="I20">
        <v>1100</v>
      </c>
      <c r="J20">
        <v>77864570</v>
      </c>
      <c r="K20" s="2">
        <v>46020</v>
      </c>
      <c r="L20" s="1">
        <v>8200</v>
      </c>
      <c r="M20" t="s">
        <v>420</v>
      </c>
      <c r="N20" t="s">
        <v>51</v>
      </c>
      <c r="O20" t="s">
        <v>432</v>
      </c>
      <c r="P20" s="1">
        <v>8750</v>
      </c>
      <c r="Q20">
        <v>1100</v>
      </c>
      <c r="R20" t="s">
        <v>434</v>
      </c>
      <c r="S20" s="1">
        <f>Tabla1[[#This Row],[OS-Valor Unitario]]-Tabla1[[#This Row],[costo_antes_iva]]</f>
        <v>550</v>
      </c>
      <c r="T20" s="1">
        <f>Tabla1[[#This Row],[OS-Valor Unitario]]*Tabla1[[#This Row],[OS-Cantidad]]</f>
        <v>9625000</v>
      </c>
      <c r="U20" s="1">
        <f>Tabla1[[#This Row],[costo_antes_iva]]*Tabla1[[#This Row],[OS-Cantidad]]</f>
        <v>9020000</v>
      </c>
      <c r="V20" s="1">
        <f>Tabla1[[#This Row],[Valor total OS]]-Tabla1[[#This Row],[valor total op]]</f>
        <v>605000</v>
      </c>
      <c r="W20" s="1">
        <f>ROUNDDOWN(Tabla1[[#This Row],[Diferencia]]/200000,0)*200000</f>
        <v>600000</v>
      </c>
    </row>
    <row r="21" spans="1:23" hidden="1" x14ac:dyDescent="0.3">
      <c r="A21">
        <v>6533</v>
      </c>
      <c r="B21">
        <v>1</v>
      </c>
      <c r="C21" t="s">
        <v>259</v>
      </c>
      <c r="D21">
        <v>3907</v>
      </c>
      <c r="E21" t="s">
        <v>260</v>
      </c>
      <c r="F21" t="s">
        <v>261</v>
      </c>
      <c r="G21" t="s">
        <v>118</v>
      </c>
      <c r="H21" t="s">
        <v>262</v>
      </c>
      <c r="I21">
        <v>3907</v>
      </c>
      <c r="J21">
        <v>79196499</v>
      </c>
      <c r="K21" s="2">
        <v>46050</v>
      </c>
      <c r="L21" s="1">
        <v>750</v>
      </c>
      <c r="M21" t="s">
        <v>263</v>
      </c>
      <c r="N21" t="s">
        <v>24</v>
      </c>
      <c r="O21" t="s">
        <v>264</v>
      </c>
      <c r="P21" s="1">
        <v>900</v>
      </c>
      <c r="Q21">
        <v>3947</v>
      </c>
      <c r="R21" t="s">
        <v>265</v>
      </c>
      <c r="S21" s="1">
        <f>Tabla1[[#This Row],[OS-Valor Unitario]]-Tabla1[[#This Row],[costo_antes_iva]]</f>
        <v>150</v>
      </c>
      <c r="T21" s="1">
        <f>Tabla1[[#This Row],[OS-Valor Unitario]]*Tabla1[[#This Row],[OS-Cantidad]]</f>
        <v>3552300</v>
      </c>
      <c r="U21" s="1">
        <f>Tabla1[[#This Row],[costo_antes_iva]]*Tabla1[[#This Row],[OS-Cantidad]]</f>
        <v>2960250</v>
      </c>
      <c r="V21" s="1">
        <f>Tabla1[[#This Row],[Valor total OS]]-Tabla1[[#This Row],[valor total op]]</f>
        <v>592050</v>
      </c>
      <c r="W21" s="1">
        <f>ROUNDDOWN(Tabla1[[#This Row],[Diferencia]]/200000,0)*200000</f>
        <v>400000</v>
      </c>
    </row>
    <row r="22" spans="1:23" hidden="1" x14ac:dyDescent="0.3">
      <c r="A22">
        <v>6492</v>
      </c>
      <c r="B22">
        <v>21</v>
      </c>
      <c r="C22" t="s">
        <v>512</v>
      </c>
      <c r="D22">
        <v>50</v>
      </c>
      <c r="E22" t="s">
        <v>418</v>
      </c>
      <c r="F22" t="s">
        <v>393</v>
      </c>
      <c r="G22" t="s">
        <v>398</v>
      </c>
      <c r="H22" t="s">
        <v>317</v>
      </c>
      <c r="I22">
        <v>200</v>
      </c>
      <c r="J22">
        <v>77935140</v>
      </c>
      <c r="K22" s="2">
        <v>46022</v>
      </c>
      <c r="L22" s="1">
        <v>4500</v>
      </c>
      <c r="M22" t="s">
        <v>399</v>
      </c>
      <c r="N22" t="s">
        <v>51</v>
      </c>
      <c r="O22" t="s">
        <v>513</v>
      </c>
      <c r="P22" s="1">
        <v>13000</v>
      </c>
      <c r="Q22">
        <v>50</v>
      </c>
      <c r="R22" t="s">
        <v>514</v>
      </c>
      <c r="S22" s="1">
        <f>Tabla1[[#This Row],[OS-Valor Unitario]]-Tabla1[[#This Row],[costo_antes_iva]]</f>
        <v>8500</v>
      </c>
      <c r="T22" s="1">
        <f>Tabla1[[#This Row],[OS-Valor Unitario]]*Tabla1[[#This Row],[OS-Cantidad]]</f>
        <v>650000</v>
      </c>
      <c r="U22" s="1">
        <f>Tabla1[[#This Row],[costo_antes_iva]]*Tabla1[[#This Row],[OS-Cantidad]]</f>
        <v>225000</v>
      </c>
      <c r="V22" s="1">
        <f>Tabla1[[#This Row],[Valor total OS]]-Tabla1[[#This Row],[valor total op]]</f>
        <v>425000</v>
      </c>
      <c r="W22" s="1">
        <f>ROUNDDOWN(Tabla1[[#This Row],[Diferencia]]/200000,0)*200000</f>
        <v>400000</v>
      </c>
    </row>
    <row r="23" spans="1:23" hidden="1" x14ac:dyDescent="0.3">
      <c r="A23">
        <v>6492</v>
      </c>
      <c r="B23">
        <v>21</v>
      </c>
      <c r="C23" t="s">
        <v>512</v>
      </c>
      <c r="D23">
        <v>50</v>
      </c>
      <c r="E23" t="s">
        <v>418</v>
      </c>
      <c r="F23" t="s">
        <v>393</v>
      </c>
      <c r="G23" t="s">
        <v>398</v>
      </c>
      <c r="H23" t="s">
        <v>317</v>
      </c>
      <c r="I23">
        <v>1150</v>
      </c>
      <c r="J23">
        <v>76177272</v>
      </c>
      <c r="K23" s="2">
        <v>45987</v>
      </c>
      <c r="L23" s="1">
        <v>4500</v>
      </c>
      <c r="M23" t="s">
        <v>402</v>
      </c>
      <c r="N23" t="s">
        <v>51</v>
      </c>
      <c r="O23" t="s">
        <v>513</v>
      </c>
      <c r="P23" s="1">
        <v>13000</v>
      </c>
      <c r="Q23">
        <v>50</v>
      </c>
      <c r="R23" t="s">
        <v>514</v>
      </c>
      <c r="S23" s="1">
        <f>Tabla1[[#This Row],[OS-Valor Unitario]]-Tabla1[[#This Row],[costo_antes_iva]]</f>
        <v>8500</v>
      </c>
      <c r="T23" s="1">
        <f>Tabla1[[#This Row],[OS-Valor Unitario]]*Tabla1[[#This Row],[OS-Cantidad]]</f>
        <v>650000</v>
      </c>
      <c r="U23" s="1">
        <f>Tabla1[[#This Row],[costo_antes_iva]]*Tabla1[[#This Row],[OS-Cantidad]]</f>
        <v>225000</v>
      </c>
      <c r="V23" s="1">
        <f>Tabla1[[#This Row],[Valor total OS]]-Tabla1[[#This Row],[valor total op]]</f>
        <v>425000</v>
      </c>
      <c r="W23" s="1">
        <f>ROUNDDOWN(Tabla1[[#This Row],[Diferencia]]/200000,0)*200000</f>
        <v>400000</v>
      </c>
    </row>
    <row r="24" spans="1:23" hidden="1" x14ac:dyDescent="0.3">
      <c r="A24">
        <v>6492</v>
      </c>
      <c r="B24">
        <v>21</v>
      </c>
      <c r="C24" t="s">
        <v>512</v>
      </c>
      <c r="D24">
        <v>50</v>
      </c>
      <c r="E24" t="s">
        <v>418</v>
      </c>
      <c r="F24" t="s">
        <v>393</v>
      </c>
      <c r="G24" t="s">
        <v>398</v>
      </c>
      <c r="H24" t="s">
        <v>317</v>
      </c>
      <c r="I24">
        <v>5</v>
      </c>
      <c r="J24">
        <v>75885191</v>
      </c>
      <c r="K24" s="2">
        <v>45986</v>
      </c>
      <c r="L24" s="1">
        <v>4500</v>
      </c>
      <c r="M24" t="s">
        <v>403</v>
      </c>
      <c r="N24" t="s">
        <v>51</v>
      </c>
      <c r="O24" t="s">
        <v>513</v>
      </c>
      <c r="P24" s="1">
        <v>13000</v>
      </c>
      <c r="Q24">
        <v>50</v>
      </c>
      <c r="R24" t="s">
        <v>514</v>
      </c>
      <c r="S24" s="1">
        <f>Tabla1[[#This Row],[OS-Valor Unitario]]-Tabla1[[#This Row],[costo_antes_iva]]</f>
        <v>8500</v>
      </c>
      <c r="T24" s="1">
        <f>Tabla1[[#This Row],[OS-Valor Unitario]]*Tabla1[[#This Row],[OS-Cantidad]]</f>
        <v>650000</v>
      </c>
      <c r="U24" s="1">
        <f>Tabla1[[#This Row],[costo_antes_iva]]*Tabla1[[#This Row],[OS-Cantidad]]</f>
        <v>225000</v>
      </c>
      <c r="V24" s="1">
        <f>Tabla1[[#This Row],[Valor total OS]]-Tabla1[[#This Row],[valor total op]]</f>
        <v>425000</v>
      </c>
      <c r="W24" s="1">
        <f>ROUNDDOWN(Tabla1[[#This Row],[Diferencia]]/200000,0)*200000</f>
        <v>400000</v>
      </c>
    </row>
    <row r="25" spans="1:23" hidden="1" x14ac:dyDescent="0.3">
      <c r="A25">
        <v>6492</v>
      </c>
      <c r="B25">
        <v>21</v>
      </c>
      <c r="C25" t="s">
        <v>512</v>
      </c>
      <c r="D25">
        <v>50</v>
      </c>
      <c r="E25" t="s">
        <v>529</v>
      </c>
      <c r="F25" t="s">
        <v>393</v>
      </c>
      <c r="G25" t="s">
        <v>398</v>
      </c>
      <c r="H25" t="s">
        <v>317</v>
      </c>
      <c r="I25">
        <v>200</v>
      </c>
      <c r="J25">
        <v>77935140</v>
      </c>
      <c r="K25" s="2">
        <v>46022</v>
      </c>
      <c r="L25" s="1">
        <v>4500</v>
      </c>
      <c r="M25" t="s">
        <v>399</v>
      </c>
      <c r="N25" t="s">
        <v>51</v>
      </c>
      <c r="O25" t="s">
        <v>513</v>
      </c>
      <c r="P25" s="1">
        <v>13000</v>
      </c>
      <c r="Q25">
        <v>50</v>
      </c>
      <c r="R25" t="s">
        <v>514</v>
      </c>
      <c r="S25" s="1">
        <f>Tabla1[[#This Row],[OS-Valor Unitario]]-Tabla1[[#This Row],[costo_antes_iva]]</f>
        <v>8500</v>
      </c>
      <c r="T25" s="1">
        <f>Tabla1[[#This Row],[OS-Valor Unitario]]*Tabla1[[#This Row],[OS-Cantidad]]</f>
        <v>650000</v>
      </c>
      <c r="U25" s="1">
        <f>Tabla1[[#This Row],[costo_antes_iva]]*Tabla1[[#This Row],[OS-Cantidad]]</f>
        <v>225000</v>
      </c>
      <c r="V25" s="1">
        <f>Tabla1[[#This Row],[Valor total OS]]-Tabla1[[#This Row],[valor total op]]</f>
        <v>425000</v>
      </c>
      <c r="W25" s="1">
        <f>ROUNDDOWN(Tabla1[[#This Row],[Diferencia]]/200000,0)*200000</f>
        <v>400000</v>
      </c>
    </row>
    <row r="26" spans="1:23" hidden="1" x14ac:dyDescent="0.3">
      <c r="A26">
        <v>6492</v>
      </c>
      <c r="B26">
        <v>21</v>
      </c>
      <c r="C26" t="s">
        <v>512</v>
      </c>
      <c r="D26">
        <v>50</v>
      </c>
      <c r="E26" t="s">
        <v>529</v>
      </c>
      <c r="F26" t="s">
        <v>393</v>
      </c>
      <c r="G26" t="s">
        <v>398</v>
      </c>
      <c r="H26" t="s">
        <v>317</v>
      </c>
      <c r="I26">
        <v>1150</v>
      </c>
      <c r="J26">
        <v>76177272</v>
      </c>
      <c r="K26" s="2">
        <v>45987</v>
      </c>
      <c r="L26" s="1">
        <v>4500</v>
      </c>
      <c r="M26" t="s">
        <v>402</v>
      </c>
      <c r="N26" t="s">
        <v>51</v>
      </c>
      <c r="O26" t="s">
        <v>513</v>
      </c>
      <c r="P26" s="1">
        <v>13000</v>
      </c>
      <c r="Q26">
        <v>50</v>
      </c>
      <c r="R26" t="s">
        <v>514</v>
      </c>
      <c r="S26" s="1">
        <f>Tabla1[[#This Row],[OS-Valor Unitario]]-Tabla1[[#This Row],[costo_antes_iva]]</f>
        <v>8500</v>
      </c>
      <c r="T26" s="1">
        <f>Tabla1[[#This Row],[OS-Valor Unitario]]*Tabla1[[#This Row],[OS-Cantidad]]</f>
        <v>650000</v>
      </c>
      <c r="U26" s="1">
        <f>Tabla1[[#This Row],[costo_antes_iva]]*Tabla1[[#This Row],[OS-Cantidad]]</f>
        <v>225000</v>
      </c>
      <c r="V26" s="1">
        <f>Tabla1[[#This Row],[Valor total OS]]-Tabla1[[#This Row],[valor total op]]</f>
        <v>425000</v>
      </c>
      <c r="W26" s="1">
        <f>ROUNDDOWN(Tabla1[[#This Row],[Diferencia]]/200000,0)*200000</f>
        <v>400000</v>
      </c>
    </row>
    <row r="27" spans="1:23" hidden="1" x14ac:dyDescent="0.3">
      <c r="A27">
        <v>6492</v>
      </c>
      <c r="B27">
        <v>21</v>
      </c>
      <c r="C27" t="s">
        <v>512</v>
      </c>
      <c r="D27">
        <v>50</v>
      </c>
      <c r="E27" t="s">
        <v>529</v>
      </c>
      <c r="F27" t="s">
        <v>393</v>
      </c>
      <c r="G27" t="s">
        <v>398</v>
      </c>
      <c r="H27" t="s">
        <v>317</v>
      </c>
      <c r="I27">
        <v>5</v>
      </c>
      <c r="J27">
        <v>75885191</v>
      </c>
      <c r="K27" s="2">
        <v>45986</v>
      </c>
      <c r="L27" s="1">
        <v>4500</v>
      </c>
      <c r="M27" t="s">
        <v>403</v>
      </c>
      <c r="N27" t="s">
        <v>51</v>
      </c>
      <c r="O27" t="s">
        <v>513</v>
      </c>
      <c r="P27" s="1">
        <v>13000</v>
      </c>
      <c r="Q27">
        <v>50</v>
      </c>
      <c r="R27" t="s">
        <v>514</v>
      </c>
      <c r="S27" s="1">
        <f>Tabla1[[#This Row],[OS-Valor Unitario]]-Tabla1[[#This Row],[costo_antes_iva]]</f>
        <v>8500</v>
      </c>
      <c r="T27" s="1">
        <f>Tabla1[[#This Row],[OS-Valor Unitario]]*Tabla1[[#This Row],[OS-Cantidad]]</f>
        <v>650000</v>
      </c>
      <c r="U27" s="1">
        <f>Tabla1[[#This Row],[costo_antes_iva]]*Tabla1[[#This Row],[OS-Cantidad]]</f>
        <v>225000</v>
      </c>
      <c r="V27" s="1">
        <f>Tabla1[[#This Row],[Valor total OS]]-Tabla1[[#This Row],[valor total op]]</f>
        <v>425000</v>
      </c>
      <c r="W27" s="1">
        <f>ROUNDDOWN(Tabla1[[#This Row],[Diferencia]]/200000,0)*200000</f>
        <v>400000</v>
      </c>
    </row>
    <row r="28" spans="1:23" hidden="1" x14ac:dyDescent="0.3">
      <c r="A28">
        <v>6297</v>
      </c>
      <c r="B28">
        <v>19</v>
      </c>
      <c r="C28" t="s">
        <v>1350</v>
      </c>
      <c r="D28">
        <v>252</v>
      </c>
      <c r="E28" t="s">
        <v>1347</v>
      </c>
      <c r="F28" t="s">
        <v>1277</v>
      </c>
      <c r="G28" t="s">
        <v>474</v>
      </c>
      <c r="H28" t="s">
        <v>317</v>
      </c>
      <c r="I28">
        <v>48</v>
      </c>
      <c r="J28">
        <v>74212926</v>
      </c>
      <c r="K28" s="2">
        <v>45953</v>
      </c>
      <c r="L28" s="1">
        <v>12500</v>
      </c>
      <c r="M28" t="s">
        <v>1278</v>
      </c>
      <c r="N28" t="s">
        <v>51</v>
      </c>
      <c r="O28" t="s">
        <v>1351</v>
      </c>
      <c r="P28" s="1">
        <v>13800</v>
      </c>
      <c r="Q28">
        <v>252</v>
      </c>
      <c r="R28" t="s">
        <v>1352</v>
      </c>
      <c r="S28" s="1">
        <f>Tabla1[[#This Row],[OS-Valor Unitario]]-Tabla1[[#This Row],[costo_antes_iva]]</f>
        <v>1300</v>
      </c>
      <c r="T28" s="1">
        <f>Tabla1[[#This Row],[OS-Valor Unitario]]*Tabla1[[#This Row],[OS-Cantidad]]</f>
        <v>3477600</v>
      </c>
      <c r="U28" s="1">
        <f>Tabla1[[#This Row],[costo_antes_iva]]*Tabla1[[#This Row],[OS-Cantidad]]</f>
        <v>3150000</v>
      </c>
      <c r="V28" s="1">
        <f>Tabla1[[#This Row],[Valor total OS]]-Tabla1[[#This Row],[valor total op]]</f>
        <v>327600</v>
      </c>
      <c r="W28" s="1">
        <f>ROUNDDOWN(Tabla1[[#This Row],[Diferencia]]/200000,0)*200000</f>
        <v>200000</v>
      </c>
    </row>
    <row r="29" spans="1:23" x14ac:dyDescent="0.3">
      <c r="A29">
        <v>6439</v>
      </c>
      <c r="B29">
        <v>7</v>
      </c>
      <c r="C29" t="s">
        <v>774</v>
      </c>
      <c r="D29">
        <v>70</v>
      </c>
      <c r="E29" t="s">
        <v>745</v>
      </c>
      <c r="F29" t="s">
        <v>775</v>
      </c>
      <c r="G29" t="s">
        <v>776</v>
      </c>
      <c r="H29" t="s">
        <v>166</v>
      </c>
      <c r="I29">
        <v>0</v>
      </c>
      <c r="J29">
        <v>76369464</v>
      </c>
      <c r="K29" s="2">
        <v>45989</v>
      </c>
      <c r="L29" s="1">
        <v>2000</v>
      </c>
      <c r="M29" t="s">
        <v>748</v>
      </c>
      <c r="N29" t="s">
        <v>51</v>
      </c>
      <c r="O29" t="s">
        <v>777</v>
      </c>
      <c r="P29" s="1">
        <v>5500</v>
      </c>
      <c r="Q29">
        <v>80</v>
      </c>
      <c r="R29" t="s">
        <v>778</v>
      </c>
      <c r="S29" s="1">
        <f>Tabla1[[#This Row],[OS-Valor Unitario]]-Tabla1[[#This Row],[costo_antes_iva]]</f>
        <v>3500</v>
      </c>
      <c r="T29" s="1">
        <f>Tabla1[[#This Row],[OS-Valor Unitario]]*Tabla1[[#This Row],[OS-Cantidad]]</f>
        <v>440000</v>
      </c>
      <c r="U29" s="1">
        <f>Tabla1[[#This Row],[costo_antes_iva]]*Tabla1[[#This Row],[OS-Cantidad]]</f>
        <v>160000</v>
      </c>
      <c r="V29" s="1">
        <f>Tabla1[[#This Row],[Valor total OS]]-Tabla1[[#This Row],[valor total op]]</f>
        <v>280000</v>
      </c>
      <c r="W29" s="1">
        <f>ROUNDDOWN(Tabla1[[#This Row],[Diferencia]]/200000,0)*200000</f>
        <v>200000</v>
      </c>
    </row>
    <row r="30" spans="1:23" hidden="1" x14ac:dyDescent="0.3">
      <c r="A30">
        <v>6620</v>
      </c>
      <c r="B30">
        <v>10</v>
      </c>
      <c r="C30" t="s">
        <v>55</v>
      </c>
      <c r="D30">
        <v>35</v>
      </c>
      <c r="E30" t="s">
        <v>46</v>
      </c>
      <c r="F30" t="s">
        <v>56</v>
      </c>
      <c r="G30" t="s">
        <v>57</v>
      </c>
      <c r="H30" t="s">
        <v>49</v>
      </c>
      <c r="I30">
        <v>1</v>
      </c>
      <c r="J30">
        <v>80608074</v>
      </c>
      <c r="K30" s="2">
        <v>46077</v>
      </c>
      <c r="L30" s="1">
        <v>22000</v>
      </c>
      <c r="M30" t="s">
        <v>50</v>
      </c>
      <c r="N30" t="s">
        <v>51</v>
      </c>
      <c r="O30" t="s">
        <v>58</v>
      </c>
      <c r="P30" s="1">
        <v>29500</v>
      </c>
      <c r="Q30">
        <v>35</v>
      </c>
      <c r="R30" t="s">
        <v>59</v>
      </c>
      <c r="S30" s="1">
        <f>Tabla1[[#This Row],[OS-Valor Unitario]]-Tabla1[[#This Row],[costo_antes_iva]]</f>
        <v>7500</v>
      </c>
      <c r="T30" s="1">
        <f>Tabla1[[#This Row],[OS-Valor Unitario]]*Tabla1[[#This Row],[OS-Cantidad]]</f>
        <v>1032500</v>
      </c>
      <c r="U30" s="1">
        <f>Tabla1[[#This Row],[costo_antes_iva]]*Tabla1[[#This Row],[OS-Cantidad]]</f>
        <v>770000</v>
      </c>
      <c r="V30" s="1">
        <f>Tabla1[[#This Row],[Valor total OS]]-Tabla1[[#This Row],[valor total op]]</f>
        <v>262500</v>
      </c>
      <c r="W30" s="1">
        <f>ROUNDDOWN(Tabla1[[#This Row],[Diferencia]]/200000,0)*200000</f>
        <v>200000</v>
      </c>
    </row>
    <row r="31" spans="1:23" hidden="1" x14ac:dyDescent="0.3">
      <c r="A31">
        <v>6487</v>
      </c>
      <c r="B31">
        <v>6</v>
      </c>
      <c r="C31" t="s">
        <v>583</v>
      </c>
      <c r="D31">
        <v>230</v>
      </c>
      <c r="E31" t="s">
        <v>559</v>
      </c>
      <c r="F31" t="s">
        <v>584</v>
      </c>
      <c r="G31" t="s">
        <v>585</v>
      </c>
      <c r="H31" t="s">
        <v>166</v>
      </c>
      <c r="I31">
        <v>1</v>
      </c>
      <c r="J31">
        <v>77670375</v>
      </c>
      <c r="K31" s="2">
        <v>46014</v>
      </c>
      <c r="L31" s="1">
        <v>3000</v>
      </c>
      <c r="M31" t="s">
        <v>561</v>
      </c>
      <c r="N31" t="s">
        <v>51</v>
      </c>
      <c r="O31" t="s">
        <v>586</v>
      </c>
      <c r="P31" s="1">
        <v>4000</v>
      </c>
      <c r="Q31">
        <v>232</v>
      </c>
      <c r="R31" t="s">
        <v>587</v>
      </c>
      <c r="S31" s="1">
        <f>Tabla1[[#This Row],[OS-Valor Unitario]]-Tabla1[[#This Row],[costo_antes_iva]]</f>
        <v>1000</v>
      </c>
      <c r="T31" s="1">
        <f>Tabla1[[#This Row],[OS-Valor Unitario]]*Tabla1[[#This Row],[OS-Cantidad]]</f>
        <v>928000</v>
      </c>
      <c r="U31" s="1">
        <f>Tabla1[[#This Row],[costo_antes_iva]]*Tabla1[[#This Row],[OS-Cantidad]]</f>
        <v>696000</v>
      </c>
      <c r="V31" s="1">
        <f>Tabla1[[#This Row],[Valor total OS]]-Tabla1[[#This Row],[valor total op]]</f>
        <v>232000</v>
      </c>
      <c r="W31" s="1">
        <f>ROUNDDOWN(Tabla1[[#This Row],[Diferencia]]/200000,0)*200000</f>
        <v>200000</v>
      </c>
    </row>
    <row r="32" spans="1:23" hidden="1" x14ac:dyDescent="0.3">
      <c r="A32">
        <v>6425</v>
      </c>
      <c r="B32">
        <v>2</v>
      </c>
      <c r="C32" t="s">
        <v>908</v>
      </c>
      <c r="D32">
        <v>170</v>
      </c>
      <c r="E32" t="s">
        <v>902</v>
      </c>
      <c r="F32" t="s">
        <v>909</v>
      </c>
      <c r="G32" t="s">
        <v>1376</v>
      </c>
      <c r="H32" t="s">
        <v>166</v>
      </c>
      <c r="I32">
        <v>170</v>
      </c>
      <c r="J32">
        <v>75861971</v>
      </c>
      <c r="K32" s="2">
        <v>45985</v>
      </c>
      <c r="L32" s="1">
        <v>4000</v>
      </c>
      <c r="M32" t="s">
        <v>910</v>
      </c>
      <c r="N32" t="s">
        <v>51</v>
      </c>
      <c r="O32" t="s">
        <v>911</v>
      </c>
      <c r="P32" s="1">
        <v>5000</v>
      </c>
      <c r="Q32">
        <v>170</v>
      </c>
      <c r="R32" t="s">
        <v>912</v>
      </c>
      <c r="S32" s="1">
        <f>Tabla1[[#This Row],[OS-Valor Unitario]]-Tabla1[[#This Row],[costo_antes_iva]]</f>
        <v>1000</v>
      </c>
      <c r="T32" s="1">
        <f>Tabla1[[#This Row],[OS-Valor Unitario]]*Tabla1[[#This Row],[OS-Cantidad]]</f>
        <v>850000</v>
      </c>
      <c r="U32" s="1">
        <f>Tabla1[[#This Row],[costo_antes_iva]]*Tabla1[[#This Row],[OS-Cantidad]]</f>
        <v>680000</v>
      </c>
      <c r="V32" s="1">
        <f>Tabla1[[#This Row],[Valor total OS]]-Tabla1[[#This Row],[valor total op]]</f>
        <v>170000</v>
      </c>
      <c r="W32" s="1">
        <f>ROUNDDOWN(Tabla1[[#This Row],[Diferencia]]/200000,0)*200000</f>
        <v>0</v>
      </c>
    </row>
    <row r="33" spans="1:23" hidden="1" x14ac:dyDescent="0.3">
      <c r="A33">
        <v>6543</v>
      </c>
      <c r="B33">
        <v>5</v>
      </c>
      <c r="C33" t="s">
        <v>193</v>
      </c>
      <c r="D33">
        <v>330</v>
      </c>
      <c r="E33" t="s">
        <v>181</v>
      </c>
      <c r="F33" t="s">
        <v>194</v>
      </c>
      <c r="G33" t="s">
        <v>183</v>
      </c>
      <c r="H33" t="s">
        <v>184</v>
      </c>
      <c r="I33">
        <v>330</v>
      </c>
      <c r="J33">
        <v>79260326</v>
      </c>
      <c r="K33" s="2">
        <v>46052</v>
      </c>
      <c r="L33" s="1">
        <v>3000</v>
      </c>
      <c r="M33" t="s">
        <v>195</v>
      </c>
      <c r="N33" t="s">
        <v>65</v>
      </c>
      <c r="O33" t="s">
        <v>196</v>
      </c>
      <c r="P33" s="1">
        <v>3500</v>
      </c>
      <c r="Q33">
        <v>330</v>
      </c>
      <c r="R33" t="s">
        <v>197</v>
      </c>
      <c r="S33" s="1">
        <f>Tabla1[[#This Row],[OS-Valor Unitario]]-Tabla1[[#This Row],[costo_antes_iva]]</f>
        <v>500</v>
      </c>
      <c r="T33" s="1">
        <f>Tabla1[[#This Row],[OS-Valor Unitario]]*Tabla1[[#This Row],[OS-Cantidad]]</f>
        <v>1155000</v>
      </c>
      <c r="U33" s="1">
        <f>Tabla1[[#This Row],[costo_antes_iva]]*Tabla1[[#This Row],[OS-Cantidad]]</f>
        <v>990000</v>
      </c>
      <c r="V33" s="1">
        <f>Tabla1[[#This Row],[Valor total OS]]-Tabla1[[#This Row],[valor total op]]</f>
        <v>165000</v>
      </c>
      <c r="W33" s="1">
        <f>ROUNDDOWN(Tabla1[[#This Row],[Diferencia]]/200000,0)*200000</f>
        <v>0</v>
      </c>
    </row>
    <row r="34" spans="1:23" hidden="1" x14ac:dyDescent="0.3">
      <c r="A34">
        <v>6487</v>
      </c>
      <c r="B34">
        <v>6</v>
      </c>
      <c r="C34" t="s">
        <v>583</v>
      </c>
      <c r="D34">
        <v>230</v>
      </c>
      <c r="E34" t="s">
        <v>559</v>
      </c>
      <c r="F34" t="s">
        <v>584</v>
      </c>
      <c r="G34" t="s">
        <v>585</v>
      </c>
      <c r="H34" t="s">
        <v>166</v>
      </c>
      <c r="I34">
        <v>1</v>
      </c>
      <c r="J34">
        <v>77670375</v>
      </c>
      <c r="K34" s="2">
        <v>46014</v>
      </c>
      <c r="L34" s="1">
        <v>1800</v>
      </c>
      <c r="M34" t="s">
        <v>561</v>
      </c>
      <c r="N34" t="s">
        <v>24</v>
      </c>
      <c r="O34" t="s">
        <v>586</v>
      </c>
      <c r="P34" s="1">
        <v>2500</v>
      </c>
      <c r="Q34">
        <v>232</v>
      </c>
      <c r="R34" t="s">
        <v>588</v>
      </c>
      <c r="S34" s="1">
        <f>Tabla1[[#This Row],[OS-Valor Unitario]]-Tabla1[[#This Row],[costo_antes_iva]]</f>
        <v>700</v>
      </c>
      <c r="T34" s="1">
        <f>Tabla1[[#This Row],[OS-Valor Unitario]]*Tabla1[[#This Row],[OS-Cantidad]]</f>
        <v>580000</v>
      </c>
      <c r="U34" s="1">
        <f>Tabla1[[#This Row],[costo_antes_iva]]*Tabla1[[#This Row],[OS-Cantidad]]</f>
        <v>417600</v>
      </c>
      <c r="V34" s="1">
        <f>Tabla1[[#This Row],[Valor total OS]]-Tabla1[[#This Row],[valor total op]]</f>
        <v>162400</v>
      </c>
      <c r="W34" s="1">
        <f>ROUNDDOWN(Tabla1[[#This Row],[Diferencia]]/200000,0)*200000</f>
        <v>0</v>
      </c>
    </row>
    <row r="35" spans="1:23" hidden="1" x14ac:dyDescent="0.3">
      <c r="A35">
        <v>6541</v>
      </c>
      <c r="B35">
        <v>1</v>
      </c>
      <c r="C35" t="s">
        <v>198</v>
      </c>
      <c r="D35">
        <v>25</v>
      </c>
      <c r="E35" t="s">
        <v>199</v>
      </c>
      <c r="F35" t="s">
        <v>200</v>
      </c>
      <c r="G35" t="s">
        <v>118</v>
      </c>
      <c r="H35" t="s">
        <v>201</v>
      </c>
      <c r="I35">
        <v>25</v>
      </c>
      <c r="J35">
        <v>79222439</v>
      </c>
      <c r="K35" s="2">
        <v>46051</v>
      </c>
      <c r="L35" s="1">
        <v>12000</v>
      </c>
      <c r="M35" t="s">
        <v>202</v>
      </c>
      <c r="N35" t="s">
        <v>51</v>
      </c>
      <c r="O35" t="s">
        <v>203</v>
      </c>
      <c r="P35" s="1">
        <v>18000</v>
      </c>
      <c r="Q35">
        <v>25</v>
      </c>
      <c r="R35" t="s">
        <v>205</v>
      </c>
      <c r="S35" s="1">
        <f>Tabla1[[#This Row],[OS-Valor Unitario]]-Tabla1[[#This Row],[costo_antes_iva]]</f>
        <v>6000</v>
      </c>
      <c r="T35" s="1">
        <f>Tabla1[[#This Row],[OS-Valor Unitario]]*Tabla1[[#This Row],[OS-Cantidad]]</f>
        <v>450000</v>
      </c>
      <c r="U35" s="1">
        <f>Tabla1[[#This Row],[costo_antes_iva]]*Tabla1[[#This Row],[OS-Cantidad]]</f>
        <v>300000</v>
      </c>
      <c r="V35" s="1">
        <f>Tabla1[[#This Row],[Valor total OS]]-Tabla1[[#This Row],[valor total op]]</f>
        <v>150000</v>
      </c>
      <c r="W35" s="1">
        <f>ROUNDDOWN(Tabla1[[#This Row],[Diferencia]]/200000,0)*200000</f>
        <v>0</v>
      </c>
    </row>
    <row r="36" spans="1:23" hidden="1" x14ac:dyDescent="0.3">
      <c r="A36">
        <v>6373</v>
      </c>
      <c r="B36">
        <v>2</v>
      </c>
      <c r="C36" t="s">
        <v>1254</v>
      </c>
      <c r="D36">
        <v>16</v>
      </c>
      <c r="E36" t="s">
        <v>1248</v>
      </c>
      <c r="F36" t="s">
        <v>1255</v>
      </c>
      <c r="G36" t="s">
        <v>108</v>
      </c>
      <c r="H36" t="s">
        <v>166</v>
      </c>
      <c r="I36">
        <v>13</v>
      </c>
      <c r="J36">
        <v>74280393</v>
      </c>
      <c r="K36" s="2">
        <v>45954</v>
      </c>
      <c r="L36" s="1">
        <v>6000</v>
      </c>
      <c r="M36" t="s">
        <v>1250</v>
      </c>
      <c r="N36" t="s">
        <v>51</v>
      </c>
      <c r="O36" t="s">
        <v>1257</v>
      </c>
      <c r="P36" s="1">
        <v>15000</v>
      </c>
      <c r="Q36">
        <v>16</v>
      </c>
      <c r="R36" t="s">
        <v>1258</v>
      </c>
      <c r="S36" s="1">
        <f>Tabla1[[#This Row],[OS-Valor Unitario]]-Tabla1[[#This Row],[costo_antes_iva]]</f>
        <v>9000</v>
      </c>
      <c r="T36" s="1">
        <f>Tabla1[[#This Row],[OS-Valor Unitario]]*Tabla1[[#This Row],[OS-Cantidad]]</f>
        <v>240000</v>
      </c>
      <c r="U36" s="1">
        <f>Tabla1[[#This Row],[costo_antes_iva]]*Tabla1[[#This Row],[OS-Cantidad]]</f>
        <v>96000</v>
      </c>
      <c r="V36" s="1">
        <f>Tabla1[[#This Row],[Valor total OS]]-Tabla1[[#This Row],[valor total op]]</f>
        <v>144000</v>
      </c>
      <c r="W36" s="1">
        <f>ROUNDDOWN(Tabla1[[#This Row],[Diferencia]]/200000,0)*200000</f>
        <v>0</v>
      </c>
    </row>
    <row r="37" spans="1:23" hidden="1" x14ac:dyDescent="0.3">
      <c r="A37">
        <v>6492</v>
      </c>
      <c r="B37">
        <v>5</v>
      </c>
      <c r="C37" t="s">
        <v>435</v>
      </c>
      <c r="D37">
        <v>20</v>
      </c>
      <c r="E37" t="s">
        <v>418</v>
      </c>
      <c r="F37" t="s">
        <v>436</v>
      </c>
      <c r="G37" t="s">
        <v>437</v>
      </c>
      <c r="H37" t="s">
        <v>317</v>
      </c>
      <c r="I37">
        <v>20</v>
      </c>
      <c r="J37">
        <v>77864583</v>
      </c>
      <c r="K37" s="2">
        <v>46020</v>
      </c>
      <c r="L37" s="1">
        <v>40000</v>
      </c>
      <c r="M37" t="s">
        <v>420</v>
      </c>
      <c r="N37" t="s">
        <v>438</v>
      </c>
      <c r="O37" t="s">
        <v>439</v>
      </c>
      <c r="P37" s="1">
        <v>47000</v>
      </c>
      <c r="Q37">
        <v>20</v>
      </c>
      <c r="R37" t="s">
        <v>440</v>
      </c>
      <c r="S37" s="1">
        <f>Tabla1[[#This Row],[OS-Valor Unitario]]-Tabla1[[#This Row],[costo_antes_iva]]</f>
        <v>7000</v>
      </c>
      <c r="T37" s="1">
        <f>Tabla1[[#This Row],[OS-Valor Unitario]]*Tabla1[[#This Row],[OS-Cantidad]]</f>
        <v>940000</v>
      </c>
      <c r="U37" s="1">
        <f>Tabla1[[#This Row],[costo_antes_iva]]*Tabla1[[#This Row],[OS-Cantidad]]</f>
        <v>800000</v>
      </c>
      <c r="V37" s="1">
        <f>Tabla1[[#This Row],[Valor total OS]]-Tabla1[[#This Row],[valor total op]]</f>
        <v>140000</v>
      </c>
      <c r="W37" s="1">
        <f>ROUNDDOWN(Tabla1[[#This Row],[Diferencia]]/200000,0)*200000</f>
        <v>0</v>
      </c>
    </row>
    <row r="38" spans="1:23" hidden="1" x14ac:dyDescent="0.3">
      <c r="A38">
        <v>6492</v>
      </c>
      <c r="B38">
        <v>5</v>
      </c>
      <c r="C38" t="s">
        <v>435</v>
      </c>
      <c r="D38">
        <v>20</v>
      </c>
      <c r="E38" t="s">
        <v>529</v>
      </c>
      <c r="F38" t="s">
        <v>436</v>
      </c>
      <c r="G38" t="s">
        <v>437</v>
      </c>
      <c r="H38" t="s">
        <v>317</v>
      </c>
      <c r="I38">
        <v>20</v>
      </c>
      <c r="J38">
        <v>77864583</v>
      </c>
      <c r="K38" s="2">
        <v>46020</v>
      </c>
      <c r="L38" s="1">
        <v>40000</v>
      </c>
      <c r="M38" t="s">
        <v>420</v>
      </c>
      <c r="N38" t="s">
        <v>438</v>
      </c>
      <c r="O38" t="s">
        <v>439</v>
      </c>
      <c r="P38" s="1">
        <v>47000</v>
      </c>
      <c r="Q38">
        <v>20</v>
      </c>
      <c r="R38" t="s">
        <v>440</v>
      </c>
      <c r="S38" s="1">
        <f>Tabla1[[#This Row],[OS-Valor Unitario]]-Tabla1[[#This Row],[costo_antes_iva]]</f>
        <v>7000</v>
      </c>
      <c r="T38" s="1">
        <f>Tabla1[[#This Row],[OS-Valor Unitario]]*Tabla1[[#This Row],[OS-Cantidad]]</f>
        <v>940000</v>
      </c>
      <c r="U38" s="1">
        <f>Tabla1[[#This Row],[costo_antes_iva]]*Tabla1[[#This Row],[OS-Cantidad]]</f>
        <v>800000</v>
      </c>
      <c r="V38" s="1">
        <f>Tabla1[[#This Row],[Valor total OS]]-Tabla1[[#This Row],[valor total op]]</f>
        <v>140000</v>
      </c>
      <c r="W38" s="1">
        <f>ROUNDDOWN(Tabla1[[#This Row],[Diferencia]]/200000,0)*200000</f>
        <v>0</v>
      </c>
    </row>
    <row r="39" spans="1:23" hidden="1" x14ac:dyDescent="0.3">
      <c r="A39">
        <v>6485</v>
      </c>
      <c r="B39">
        <v>1</v>
      </c>
      <c r="C39" t="s">
        <v>649</v>
      </c>
      <c r="D39">
        <v>155</v>
      </c>
      <c r="E39" t="s">
        <v>650</v>
      </c>
      <c r="F39" t="s">
        <v>651</v>
      </c>
      <c r="G39" t="s">
        <v>394</v>
      </c>
      <c r="H39" t="s">
        <v>166</v>
      </c>
      <c r="I39">
        <v>1</v>
      </c>
      <c r="J39">
        <v>77662375</v>
      </c>
      <c r="K39" s="2">
        <v>46014</v>
      </c>
      <c r="L39" s="1">
        <v>1600</v>
      </c>
      <c r="M39" t="s">
        <v>652</v>
      </c>
      <c r="N39" t="s">
        <v>24</v>
      </c>
      <c r="O39" t="s">
        <v>653</v>
      </c>
      <c r="P39" s="1">
        <v>2400</v>
      </c>
      <c r="Q39">
        <v>172</v>
      </c>
      <c r="R39" t="s">
        <v>654</v>
      </c>
      <c r="S39" s="1">
        <f>Tabla1[[#This Row],[OS-Valor Unitario]]-Tabla1[[#This Row],[costo_antes_iva]]</f>
        <v>800</v>
      </c>
      <c r="T39" s="1">
        <f>Tabla1[[#This Row],[OS-Valor Unitario]]*Tabla1[[#This Row],[OS-Cantidad]]</f>
        <v>412800</v>
      </c>
      <c r="U39" s="1">
        <f>Tabla1[[#This Row],[costo_antes_iva]]*Tabla1[[#This Row],[OS-Cantidad]]</f>
        <v>275200</v>
      </c>
      <c r="V39" s="1">
        <f>Tabla1[[#This Row],[Valor total OS]]-Tabla1[[#This Row],[valor total op]]</f>
        <v>137600</v>
      </c>
      <c r="W39" s="1">
        <f>ROUNDDOWN(Tabla1[[#This Row],[Diferencia]]/200000,0)*200000</f>
        <v>0</v>
      </c>
    </row>
    <row r="40" spans="1:23" hidden="1" x14ac:dyDescent="0.3">
      <c r="A40">
        <v>6485</v>
      </c>
      <c r="B40">
        <v>1</v>
      </c>
      <c r="C40" t="s">
        <v>649</v>
      </c>
      <c r="D40">
        <v>155</v>
      </c>
      <c r="E40" t="s">
        <v>650</v>
      </c>
      <c r="F40" t="s">
        <v>651</v>
      </c>
      <c r="G40" t="s">
        <v>394</v>
      </c>
      <c r="H40" t="s">
        <v>166</v>
      </c>
      <c r="I40">
        <v>1</v>
      </c>
      <c r="J40">
        <v>77662618</v>
      </c>
      <c r="K40" s="2">
        <v>46014</v>
      </c>
      <c r="L40" s="1">
        <v>1600</v>
      </c>
      <c r="M40" t="s">
        <v>655</v>
      </c>
      <c r="N40" t="s">
        <v>24</v>
      </c>
      <c r="O40" t="s">
        <v>653</v>
      </c>
      <c r="P40" s="1">
        <v>2400</v>
      </c>
      <c r="Q40">
        <v>172</v>
      </c>
      <c r="R40" t="s">
        <v>654</v>
      </c>
      <c r="S40" s="1">
        <f>Tabla1[[#This Row],[OS-Valor Unitario]]-Tabla1[[#This Row],[costo_antes_iva]]</f>
        <v>800</v>
      </c>
      <c r="T40" s="1">
        <f>Tabla1[[#This Row],[OS-Valor Unitario]]*Tabla1[[#This Row],[OS-Cantidad]]</f>
        <v>412800</v>
      </c>
      <c r="U40" s="1">
        <f>Tabla1[[#This Row],[costo_antes_iva]]*Tabla1[[#This Row],[OS-Cantidad]]</f>
        <v>275200</v>
      </c>
      <c r="V40" s="1">
        <f>Tabla1[[#This Row],[Valor total OS]]-Tabla1[[#This Row],[valor total op]]</f>
        <v>137600</v>
      </c>
      <c r="W40" s="1">
        <f>ROUNDDOWN(Tabla1[[#This Row],[Diferencia]]/200000,0)*200000</f>
        <v>0</v>
      </c>
    </row>
    <row r="41" spans="1:23" hidden="1" x14ac:dyDescent="0.3">
      <c r="A41">
        <v>6383</v>
      </c>
      <c r="B41">
        <v>5</v>
      </c>
      <c r="C41" t="s">
        <v>999</v>
      </c>
      <c r="D41">
        <v>241</v>
      </c>
      <c r="E41" t="s">
        <v>978</v>
      </c>
      <c r="F41" t="s">
        <v>1000</v>
      </c>
      <c r="G41" t="s">
        <v>268</v>
      </c>
      <c r="H41" t="s">
        <v>961</v>
      </c>
      <c r="I41">
        <v>1</v>
      </c>
      <c r="J41">
        <v>74549252</v>
      </c>
      <c r="K41" s="2">
        <v>45959</v>
      </c>
      <c r="L41" s="1">
        <v>11000</v>
      </c>
      <c r="M41" t="s">
        <v>980</v>
      </c>
      <c r="N41" t="s">
        <v>51</v>
      </c>
      <c r="O41" t="s">
        <v>1001</v>
      </c>
      <c r="P41" s="1">
        <v>11500</v>
      </c>
      <c r="Q41">
        <v>244</v>
      </c>
      <c r="R41" t="s">
        <v>1002</v>
      </c>
      <c r="S41" s="1">
        <f>Tabla1[[#This Row],[OS-Valor Unitario]]-Tabla1[[#This Row],[costo_antes_iva]]</f>
        <v>500</v>
      </c>
      <c r="T41" s="1">
        <f>Tabla1[[#This Row],[OS-Valor Unitario]]*Tabla1[[#This Row],[OS-Cantidad]]</f>
        <v>2806000</v>
      </c>
      <c r="U41" s="1">
        <f>Tabla1[[#This Row],[costo_antes_iva]]*Tabla1[[#This Row],[OS-Cantidad]]</f>
        <v>2684000</v>
      </c>
      <c r="V41" s="1">
        <f>Tabla1[[#This Row],[Valor total OS]]-Tabla1[[#This Row],[valor total op]]</f>
        <v>122000</v>
      </c>
      <c r="W41" s="1">
        <f>ROUNDDOWN(Tabla1[[#This Row],[Diferencia]]/200000,0)*200000</f>
        <v>0</v>
      </c>
    </row>
    <row r="42" spans="1:23" hidden="1" x14ac:dyDescent="0.3">
      <c r="A42">
        <v>6371</v>
      </c>
      <c r="B42">
        <v>2</v>
      </c>
      <c r="C42" t="s">
        <v>1282</v>
      </c>
      <c r="D42">
        <v>16</v>
      </c>
      <c r="E42" t="s">
        <v>1276</v>
      </c>
      <c r="F42" t="s">
        <v>950</v>
      </c>
      <c r="G42" t="s">
        <v>398</v>
      </c>
      <c r="H42" t="s">
        <v>317</v>
      </c>
      <c r="I42">
        <v>76</v>
      </c>
      <c r="J42">
        <v>75885113</v>
      </c>
      <c r="K42" s="2">
        <v>45986</v>
      </c>
      <c r="L42" s="1">
        <v>4500</v>
      </c>
      <c r="M42" t="s">
        <v>955</v>
      </c>
      <c r="N42" t="s">
        <v>51</v>
      </c>
      <c r="O42" t="s">
        <v>1283</v>
      </c>
      <c r="P42" s="1">
        <v>12000</v>
      </c>
      <c r="Q42">
        <v>16</v>
      </c>
      <c r="R42" t="s">
        <v>1284</v>
      </c>
      <c r="S42" s="1">
        <f>Tabla1[[#This Row],[OS-Valor Unitario]]-Tabla1[[#This Row],[costo_antes_iva]]</f>
        <v>7500</v>
      </c>
      <c r="T42" s="1">
        <f>Tabla1[[#This Row],[OS-Valor Unitario]]*Tabla1[[#This Row],[OS-Cantidad]]</f>
        <v>192000</v>
      </c>
      <c r="U42" s="1">
        <f>Tabla1[[#This Row],[costo_antes_iva]]*Tabla1[[#This Row],[OS-Cantidad]]</f>
        <v>72000</v>
      </c>
      <c r="V42" s="1">
        <f>Tabla1[[#This Row],[Valor total OS]]-Tabla1[[#This Row],[valor total op]]</f>
        <v>120000</v>
      </c>
      <c r="W42" s="1">
        <f>ROUNDDOWN(Tabla1[[#This Row],[Diferencia]]/200000,0)*200000</f>
        <v>0</v>
      </c>
    </row>
    <row r="43" spans="1:23" hidden="1" x14ac:dyDescent="0.3">
      <c r="A43">
        <v>6541</v>
      </c>
      <c r="B43">
        <v>1</v>
      </c>
      <c r="C43" t="s">
        <v>198</v>
      </c>
      <c r="D43">
        <v>25</v>
      </c>
      <c r="E43" t="s">
        <v>199</v>
      </c>
      <c r="F43" t="s">
        <v>200</v>
      </c>
      <c r="G43" t="s">
        <v>118</v>
      </c>
      <c r="H43" t="s">
        <v>201</v>
      </c>
      <c r="I43">
        <v>25</v>
      </c>
      <c r="J43">
        <v>79222439</v>
      </c>
      <c r="K43" s="2">
        <v>46051</v>
      </c>
      <c r="L43" s="1">
        <v>2000</v>
      </c>
      <c r="M43" t="s">
        <v>202</v>
      </c>
      <c r="N43" t="s">
        <v>24</v>
      </c>
      <c r="O43" t="s">
        <v>203</v>
      </c>
      <c r="P43" s="1">
        <v>6300</v>
      </c>
      <c r="Q43">
        <v>25</v>
      </c>
      <c r="R43" t="s">
        <v>204</v>
      </c>
      <c r="S43" s="1">
        <f>Tabla1[[#This Row],[OS-Valor Unitario]]-Tabla1[[#This Row],[costo_antes_iva]]</f>
        <v>4300</v>
      </c>
      <c r="T43" s="1">
        <f>Tabla1[[#This Row],[OS-Valor Unitario]]*Tabla1[[#This Row],[OS-Cantidad]]</f>
        <v>157500</v>
      </c>
      <c r="U43" s="1">
        <f>Tabla1[[#This Row],[costo_antes_iva]]*Tabla1[[#This Row],[OS-Cantidad]]</f>
        <v>50000</v>
      </c>
      <c r="V43" s="1">
        <f>Tabla1[[#This Row],[Valor total OS]]-Tabla1[[#This Row],[valor total op]]</f>
        <v>107500</v>
      </c>
      <c r="W43" s="1">
        <f>ROUNDDOWN(Tabla1[[#This Row],[Diferencia]]/200000,0)*200000</f>
        <v>0</v>
      </c>
    </row>
    <row r="44" spans="1:23" hidden="1" x14ac:dyDescent="0.3">
      <c r="A44">
        <v>6370</v>
      </c>
      <c r="B44">
        <v>1</v>
      </c>
      <c r="C44" t="s">
        <v>1292</v>
      </c>
      <c r="D44">
        <v>58</v>
      </c>
      <c r="E44" t="s">
        <v>1293</v>
      </c>
      <c r="F44" t="s">
        <v>1294</v>
      </c>
      <c r="G44" t="s">
        <v>753</v>
      </c>
      <c r="H44" t="s">
        <v>1295</v>
      </c>
      <c r="I44">
        <v>58</v>
      </c>
      <c r="J44">
        <v>74208230</v>
      </c>
      <c r="K44" s="2">
        <v>45953</v>
      </c>
      <c r="L44" s="1">
        <v>1665</v>
      </c>
      <c r="M44" t="s">
        <v>1296</v>
      </c>
      <c r="N44" t="s">
        <v>24</v>
      </c>
      <c r="O44" t="s">
        <v>1297</v>
      </c>
      <c r="P44" s="1">
        <v>3500</v>
      </c>
      <c r="Q44">
        <v>58</v>
      </c>
      <c r="R44" t="s">
        <v>1298</v>
      </c>
      <c r="S44" s="1">
        <f>Tabla1[[#This Row],[OS-Valor Unitario]]-Tabla1[[#This Row],[costo_antes_iva]]</f>
        <v>1835</v>
      </c>
      <c r="T44" s="1">
        <f>Tabla1[[#This Row],[OS-Valor Unitario]]*Tabla1[[#This Row],[OS-Cantidad]]</f>
        <v>203000</v>
      </c>
      <c r="U44" s="1">
        <f>Tabla1[[#This Row],[costo_antes_iva]]*Tabla1[[#This Row],[OS-Cantidad]]</f>
        <v>96570</v>
      </c>
      <c r="V44" s="1">
        <f>Tabla1[[#This Row],[Valor total OS]]-Tabla1[[#This Row],[valor total op]]</f>
        <v>106430</v>
      </c>
      <c r="W44" s="1">
        <f>ROUNDDOWN(Tabla1[[#This Row],[Diferencia]]/200000,0)*200000</f>
        <v>0</v>
      </c>
    </row>
    <row r="45" spans="1:23" hidden="1" x14ac:dyDescent="0.3">
      <c r="A45">
        <v>6491</v>
      </c>
      <c r="B45">
        <v>3</v>
      </c>
      <c r="C45" t="s">
        <v>537</v>
      </c>
      <c r="D45">
        <v>50</v>
      </c>
      <c r="E45" t="s">
        <v>531</v>
      </c>
      <c r="F45" t="s">
        <v>538</v>
      </c>
      <c r="G45" t="s">
        <v>370</v>
      </c>
      <c r="H45" t="s">
        <v>533</v>
      </c>
      <c r="I45">
        <v>50</v>
      </c>
      <c r="J45">
        <v>77869118</v>
      </c>
      <c r="K45" s="2">
        <v>46020</v>
      </c>
      <c r="L45" s="1">
        <v>4600</v>
      </c>
      <c r="M45" t="s">
        <v>534</v>
      </c>
      <c r="N45" t="s">
        <v>539</v>
      </c>
      <c r="O45" t="s">
        <v>540</v>
      </c>
      <c r="P45" s="1">
        <v>6700</v>
      </c>
      <c r="Q45">
        <v>50</v>
      </c>
      <c r="R45" t="s">
        <v>541</v>
      </c>
      <c r="S45" s="1">
        <f>Tabla1[[#This Row],[OS-Valor Unitario]]-Tabla1[[#This Row],[costo_antes_iva]]</f>
        <v>2100</v>
      </c>
      <c r="T45" s="1">
        <f>Tabla1[[#This Row],[OS-Valor Unitario]]*Tabla1[[#This Row],[OS-Cantidad]]</f>
        <v>335000</v>
      </c>
      <c r="U45" s="1">
        <f>Tabla1[[#This Row],[costo_antes_iva]]*Tabla1[[#This Row],[OS-Cantidad]]</f>
        <v>230000</v>
      </c>
      <c r="V45" s="1">
        <f>Tabla1[[#This Row],[Valor total OS]]-Tabla1[[#This Row],[valor total op]]</f>
        <v>105000</v>
      </c>
      <c r="W45" s="1">
        <f>ROUNDDOWN(Tabla1[[#This Row],[Diferencia]]/200000,0)*200000</f>
        <v>0</v>
      </c>
    </row>
    <row r="46" spans="1:23" hidden="1" x14ac:dyDescent="0.3">
      <c r="A46">
        <v>6543</v>
      </c>
      <c r="B46">
        <v>4</v>
      </c>
      <c r="C46" t="s">
        <v>189</v>
      </c>
      <c r="D46">
        <v>208</v>
      </c>
      <c r="E46" t="s">
        <v>181</v>
      </c>
      <c r="F46" t="s">
        <v>190</v>
      </c>
      <c r="G46" t="s">
        <v>183</v>
      </c>
      <c r="H46" t="s">
        <v>184</v>
      </c>
      <c r="I46">
        <v>208</v>
      </c>
      <c r="J46">
        <v>79260244</v>
      </c>
      <c r="K46" s="2">
        <v>46052</v>
      </c>
      <c r="L46" s="1">
        <v>3000</v>
      </c>
      <c r="M46" t="s">
        <v>185</v>
      </c>
      <c r="N46" t="s">
        <v>65</v>
      </c>
      <c r="O46" t="s">
        <v>191</v>
      </c>
      <c r="P46" s="1">
        <v>3500</v>
      </c>
      <c r="Q46">
        <v>208</v>
      </c>
      <c r="R46" t="s">
        <v>192</v>
      </c>
      <c r="S46" s="1">
        <f>Tabla1[[#This Row],[OS-Valor Unitario]]-Tabla1[[#This Row],[costo_antes_iva]]</f>
        <v>500</v>
      </c>
      <c r="T46" s="1">
        <f>Tabla1[[#This Row],[OS-Valor Unitario]]*Tabla1[[#This Row],[OS-Cantidad]]</f>
        <v>728000</v>
      </c>
      <c r="U46" s="1">
        <f>Tabla1[[#This Row],[costo_antes_iva]]*Tabla1[[#This Row],[OS-Cantidad]]</f>
        <v>624000</v>
      </c>
      <c r="V46" s="1">
        <f>Tabla1[[#This Row],[Valor total OS]]-Tabla1[[#This Row],[valor total op]]</f>
        <v>104000</v>
      </c>
      <c r="W46" s="1">
        <f>ROUNDDOWN(Tabla1[[#This Row],[Diferencia]]/200000,0)*200000</f>
        <v>0</v>
      </c>
    </row>
    <row r="47" spans="1:23" hidden="1" x14ac:dyDescent="0.3">
      <c r="A47">
        <v>6496</v>
      </c>
      <c r="B47">
        <v>2</v>
      </c>
      <c r="C47" t="s">
        <v>391</v>
      </c>
      <c r="D47">
        <v>200</v>
      </c>
      <c r="E47" t="s">
        <v>392</v>
      </c>
      <c r="F47" t="s">
        <v>393</v>
      </c>
      <c r="G47" t="s">
        <v>398</v>
      </c>
      <c r="H47" t="s">
        <v>317</v>
      </c>
      <c r="I47">
        <v>200</v>
      </c>
      <c r="J47">
        <v>77935140</v>
      </c>
      <c r="K47" s="2">
        <v>46022</v>
      </c>
      <c r="L47" s="1">
        <v>4500</v>
      </c>
      <c r="M47" t="s">
        <v>399</v>
      </c>
      <c r="N47" t="s">
        <v>51</v>
      </c>
      <c r="O47" t="s">
        <v>396</v>
      </c>
      <c r="P47" s="1">
        <v>5000</v>
      </c>
      <c r="Q47">
        <v>200</v>
      </c>
      <c r="R47" t="s">
        <v>397</v>
      </c>
      <c r="S47" s="1">
        <f>Tabla1[[#This Row],[OS-Valor Unitario]]-Tabla1[[#This Row],[costo_antes_iva]]</f>
        <v>500</v>
      </c>
      <c r="T47" s="1">
        <f>Tabla1[[#This Row],[OS-Valor Unitario]]*Tabla1[[#This Row],[OS-Cantidad]]</f>
        <v>1000000</v>
      </c>
      <c r="U47" s="1">
        <f>Tabla1[[#This Row],[costo_antes_iva]]*Tabla1[[#This Row],[OS-Cantidad]]</f>
        <v>900000</v>
      </c>
      <c r="V47" s="1">
        <f>Tabla1[[#This Row],[Valor total OS]]-Tabla1[[#This Row],[valor total op]]</f>
        <v>100000</v>
      </c>
      <c r="W47" s="1">
        <f>ROUNDDOWN(Tabla1[[#This Row],[Diferencia]]/200000,0)*200000</f>
        <v>0</v>
      </c>
    </row>
    <row r="48" spans="1:23" hidden="1" x14ac:dyDescent="0.3">
      <c r="A48">
        <v>6496</v>
      </c>
      <c r="B48">
        <v>2</v>
      </c>
      <c r="C48" t="s">
        <v>391</v>
      </c>
      <c r="D48">
        <v>200</v>
      </c>
      <c r="E48" t="s">
        <v>392</v>
      </c>
      <c r="F48" t="s">
        <v>393</v>
      </c>
      <c r="G48" t="s">
        <v>398</v>
      </c>
      <c r="H48" t="s">
        <v>317</v>
      </c>
      <c r="I48">
        <v>1150</v>
      </c>
      <c r="J48">
        <v>76177272</v>
      </c>
      <c r="K48" s="2">
        <v>45987</v>
      </c>
      <c r="L48" s="1">
        <v>4500</v>
      </c>
      <c r="M48" t="s">
        <v>402</v>
      </c>
      <c r="N48" t="s">
        <v>51</v>
      </c>
      <c r="O48" t="s">
        <v>396</v>
      </c>
      <c r="P48" s="1">
        <v>5000</v>
      </c>
      <c r="Q48">
        <v>200</v>
      </c>
      <c r="R48" t="s">
        <v>397</v>
      </c>
      <c r="S48" s="1">
        <f>Tabla1[[#This Row],[OS-Valor Unitario]]-Tabla1[[#This Row],[costo_antes_iva]]</f>
        <v>500</v>
      </c>
      <c r="T48" s="1">
        <f>Tabla1[[#This Row],[OS-Valor Unitario]]*Tabla1[[#This Row],[OS-Cantidad]]</f>
        <v>1000000</v>
      </c>
      <c r="U48" s="1">
        <f>Tabla1[[#This Row],[costo_antes_iva]]*Tabla1[[#This Row],[OS-Cantidad]]</f>
        <v>900000</v>
      </c>
      <c r="V48" s="1">
        <f>Tabla1[[#This Row],[Valor total OS]]-Tabla1[[#This Row],[valor total op]]</f>
        <v>100000</v>
      </c>
      <c r="W48" s="1">
        <f>ROUNDDOWN(Tabla1[[#This Row],[Diferencia]]/200000,0)*200000</f>
        <v>0</v>
      </c>
    </row>
    <row r="49" spans="1:23" hidden="1" x14ac:dyDescent="0.3">
      <c r="A49">
        <v>6496</v>
      </c>
      <c r="B49">
        <v>2</v>
      </c>
      <c r="C49" t="s">
        <v>391</v>
      </c>
      <c r="D49">
        <v>200</v>
      </c>
      <c r="E49" t="s">
        <v>392</v>
      </c>
      <c r="F49" t="s">
        <v>393</v>
      </c>
      <c r="G49" t="s">
        <v>398</v>
      </c>
      <c r="H49" t="s">
        <v>317</v>
      </c>
      <c r="I49">
        <v>5</v>
      </c>
      <c r="J49">
        <v>75885191</v>
      </c>
      <c r="K49" s="2">
        <v>45986</v>
      </c>
      <c r="L49" s="1">
        <v>4500</v>
      </c>
      <c r="M49" t="s">
        <v>403</v>
      </c>
      <c r="N49" t="s">
        <v>51</v>
      </c>
      <c r="O49" t="s">
        <v>396</v>
      </c>
      <c r="P49" s="1">
        <v>5000</v>
      </c>
      <c r="Q49">
        <v>200</v>
      </c>
      <c r="R49" t="s">
        <v>397</v>
      </c>
      <c r="S49" s="1">
        <f>Tabla1[[#This Row],[OS-Valor Unitario]]-Tabla1[[#This Row],[costo_antes_iva]]</f>
        <v>500</v>
      </c>
      <c r="T49" s="1">
        <f>Tabla1[[#This Row],[OS-Valor Unitario]]*Tabla1[[#This Row],[OS-Cantidad]]</f>
        <v>1000000</v>
      </c>
      <c r="U49" s="1">
        <f>Tabla1[[#This Row],[costo_antes_iva]]*Tabla1[[#This Row],[OS-Cantidad]]</f>
        <v>900000</v>
      </c>
      <c r="V49" s="1">
        <f>Tabla1[[#This Row],[Valor total OS]]-Tabla1[[#This Row],[valor total op]]</f>
        <v>100000</v>
      </c>
      <c r="W49" s="1">
        <f>ROUNDDOWN(Tabla1[[#This Row],[Diferencia]]/200000,0)*200000</f>
        <v>0</v>
      </c>
    </row>
    <row r="50" spans="1:23" hidden="1" x14ac:dyDescent="0.3">
      <c r="A50">
        <v>6492</v>
      </c>
      <c r="B50">
        <v>11</v>
      </c>
      <c r="C50" t="s">
        <v>461</v>
      </c>
      <c r="D50">
        <v>200</v>
      </c>
      <c r="E50" t="s">
        <v>418</v>
      </c>
      <c r="F50" t="s">
        <v>462</v>
      </c>
      <c r="G50" t="s">
        <v>242</v>
      </c>
      <c r="H50" t="s">
        <v>317</v>
      </c>
      <c r="I50">
        <v>200</v>
      </c>
      <c r="J50">
        <v>77864629</v>
      </c>
      <c r="K50" s="2">
        <v>46020</v>
      </c>
      <c r="L50" s="1">
        <v>11500</v>
      </c>
      <c r="M50" t="s">
        <v>420</v>
      </c>
      <c r="N50" t="s">
        <v>51</v>
      </c>
      <c r="O50" t="s">
        <v>463</v>
      </c>
      <c r="P50" s="1">
        <v>12000</v>
      </c>
      <c r="Q50">
        <v>200</v>
      </c>
      <c r="R50" t="s">
        <v>464</v>
      </c>
      <c r="S50" s="1">
        <f>Tabla1[[#This Row],[OS-Valor Unitario]]-Tabla1[[#This Row],[costo_antes_iva]]</f>
        <v>500</v>
      </c>
      <c r="T50" s="1">
        <f>Tabla1[[#This Row],[OS-Valor Unitario]]*Tabla1[[#This Row],[OS-Cantidad]]</f>
        <v>2400000</v>
      </c>
      <c r="U50" s="1">
        <f>Tabla1[[#This Row],[costo_antes_iva]]*Tabla1[[#This Row],[OS-Cantidad]]</f>
        <v>2300000</v>
      </c>
      <c r="V50" s="1">
        <f>Tabla1[[#This Row],[Valor total OS]]-Tabla1[[#This Row],[valor total op]]</f>
        <v>100000</v>
      </c>
      <c r="W50" s="1">
        <f>ROUNDDOWN(Tabla1[[#This Row],[Diferencia]]/200000,0)*200000</f>
        <v>0</v>
      </c>
    </row>
    <row r="51" spans="1:23" hidden="1" x14ac:dyDescent="0.3">
      <c r="A51">
        <v>6492</v>
      </c>
      <c r="B51">
        <v>11</v>
      </c>
      <c r="C51" t="s">
        <v>461</v>
      </c>
      <c r="D51">
        <v>200</v>
      </c>
      <c r="E51" t="s">
        <v>529</v>
      </c>
      <c r="F51" t="s">
        <v>462</v>
      </c>
      <c r="G51" t="s">
        <v>242</v>
      </c>
      <c r="H51" t="s">
        <v>317</v>
      </c>
      <c r="I51">
        <v>200</v>
      </c>
      <c r="J51">
        <v>77864629</v>
      </c>
      <c r="K51" s="2">
        <v>46020</v>
      </c>
      <c r="L51" s="1">
        <v>11500</v>
      </c>
      <c r="M51" t="s">
        <v>420</v>
      </c>
      <c r="N51" t="s">
        <v>51</v>
      </c>
      <c r="O51" t="s">
        <v>463</v>
      </c>
      <c r="P51" s="1">
        <v>12000</v>
      </c>
      <c r="Q51">
        <v>200</v>
      </c>
      <c r="R51" t="s">
        <v>464</v>
      </c>
      <c r="S51" s="1">
        <f>Tabla1[[#This Row],[OS-Valor Unitario]]-Tabla1[[#This Row],[costo_antes_iva]]</f>
        <v>500</v>
      </c>
      <c r="T51" s="1">
        <f>Tabla1[[#This Row],[OS-Valor Unitario]]*Tabla1[[#This Row],[OS-Cantidad]]</f>
        <v>2400000</v>
      </c>
      <c r="U51" s="1">
        <f>Tabla1[[#This Row],[costo_antes_iva]]*Tabla1[[#This Row],[OS-Cantidad]]</f>
        <v>2300000</v>
      </c>
      <c r="V51" s="1">
        <f>Tabla1[[#This Row],[Valor total OS]]-Tabla1[[#This Row],[valor total op]]</f>
        <v>100000</v>
      </c>
      <c r="W51" s="1">
        <f>ROUNDDOWN(Tabla1[[#This Row],[Diferencia]]/200000,0)*200000</f>
        <v>0</v>
      </c>
    </row>
    <row r="52" spans="1:23" hidden="1" x14ac:dyDescent="0.3">
      <c r="A52">
        <v>6486</v>
      </c>
      <c r="B52">
        <v>5</v>
      </c>
      <c r="C52" t="s">
        <v>622</v>
      </c>
      <c r="D52">
        <v>60</v>
      </c>
      <c r="E52" t="s">
        <v>602</v>
      </c>
      <c r="F52" t="s">
        <v>623</v>
      </c>
      <c r="G52" t="s">
        <v>615</v>
      </c>
      <c r="H52" t="s">
        <v>166</v>
      </c>
      <c r="I52">
        <v>1</v>
      </c>
      <c r="J52">
        <v>77668024</v>
      </c>
      <c r="K52" s="2">
        <v>46014</v>
      </c>
      <c r="L52" s="1">
        <v>1800</v>
      </c>
      <c r="M52" t="s">
        <v>604</v>
      </c>
      <c r="N52" t="s">
        <v>24</v>
      </c>
      <c r="O52" t="s">
        <v>624</v>
      </c>
      <c r="P52" s="1">
        <v>3400</v>
      </c>
      <c r="Q52">
        <v>60</v>
      </c>
      <c r="R52" t="s">
        <v>625</v>
      </c>
      <c r="S52" s="1">
        <f>Tabla1[[#This Row],[OS-Valor Unitario]]-Tabla1[[#This Row],[costo_antes_iva]]</f>
        <v>1600</v>
      </c>
      <c r="T52" s="1">
        <f>Tabla1[[#This Row],[OS-Valor Unitario]]*Tabla1[[#This Row],[OS-Cantidad]]</f>
        <v>204000</v>
      </c>
      <c r="U52" s="1">
        <f>Tabla1[[#This Row],[costo_antes_iva]]*Tabla1[[#This Row],[OS-Cantidad]]</f>
        <v>108000</v>
      </c>
      <c r="V52" s="1">
        <f>Tabla1[[#This Row],[Valor total OS]]-Tabla1[[#This Row],[valor total op]]</f>
        <v>96000</v>
      </c>
      <c r="W52" s="1">
        <f>ROUNDDOWN(Tabla1[[#This Row],[Diferencia]]/200000,0)*200000</f>
        <v>0</v>
      </c>
    </row>
    <row r="53" spans="1:23" hidden="1" x14ac:dyDescent="0.3">
      <c r="A53">
        <v>6428</v>
      </c>
      <c r="B53">
        <v>1</v>
      </c>
      <c r="C53" t="s">
        <v>895</v>
      </c>
      <c r="D53">
        <v>60</v>
      </c>
      <c r="E53" t="s">
        <v>896</v>
      </c>
      <c r="F53" t="s">
        <v>897</v>
      </c>
      <c r="G53" t="s">
        <v>437</v>
      </c>
      <c r="H53" t="s">
        <v>294</v>
      </c>
      <c r="I53">
        <v>60</v>
      </c>
      <c r="J53">
        <v>75938400</v>
      </c>
      <c r="K53" s="2">
        <v>45986</v>
      </c>
      <c r="L53" s="1">
        <v>1500</v>
      </c>
      <c r="M53" t="s">
        <v>898</v>
      </c>
      <c r="N53" t="s">
        <v>24</v>
      </c>
      <c r="O53" t="s">
        <v>899</v>
      </c>
      <c r="P53" s="1">
        <v>2900</v>
      </c>
      <c r="Q53">
        <v>60</v>
      </c>
      <c r="R53" t="s">
        <v>900</v>
      </c>
      <c r="S53" s="1">
        <f>Tabla1[[#This Row],[OS-Valor Unitario]]-Tabla1[[#This Row],[costo_antes_iva]]</f>
        <v>1400</v>
      </c>
      <c r="T53" s="1">
        <f>Tabla1[[#This Row],[OS-Valor Unitario]]*Tabla1[[#This Row],[OS-Cantidad]]</f>
        <v>174000</v>
      </c>
      <c r="U53" s="1">
        <f>Tabla1[[#This Row],[costo_antes_iva]]*Tabla1[[#This Row],[OS-Cantidad]]</f>
        <v>90000</v>
      </c>
      <c r="V53" s="1">
        <f>Tabla1[[#This Row],[Valor total OS]]-Tabla1[[#This Row],[valor total op]]</f>
        <v>84000</v>
      </c>
      <c r="W53" s="1">
        <f>ROUNDDOWN(Tabla1[[#This Row],[Diferencia]]/200000,0)*200000</f>
        <v>0</v>
      </c>
    </row>
    <row r="54" spans="1:23" hidden="1" x14ac:dyDescent="0.3">
      <c r="A54">
        <v>6374</v>
      </c>
      <c r="B54">
        <v>1</v>
      </c>
      <c r="C54" t="s">
        <v>1240</v>
      </c>
      <c r="D54">
        <v>200</v>
      </c>
      <c r="E54" t="s">
        <v>1241</v>
      </c>
      <c r="F54" t="s">
        <v>1242</v>
      </c>
      <c r="G54" t="s">
        <v>209</v>
      </c>
      <c r="H54" t="s">
        <v>1243</v>
      </c>
      <c r="I54">
        <v>200</v>
      </c>
      <c r="J54">
        <v>74292087</v>
      </c>
      <c r="K54" s="2">
        <v>45954</v>
      </c>
      <c r="L54" s="1">
        <v>2800</v>
      </c>
      <c r="M54" t="s">
        <v>1244</v>
      </c>
      <c r="N54" t="s">
        <v>24</v>
      </c>
      <c r="O54" t="s">
        <v>1245</v>
      </c>
      <c r="P54" s="1">
        <v>3200</v>
      </c>
      <c r="Q54">
        <v>202</v>
      </c>
      <c r="R54" t="s">
        <v>1246</v>
      </c>
      <c r="S54" s="1">
        <f>Tabla1[[#This Row],[OS-Valor Unitario]]-Tabla1[[#This Row],[costo_antes_iva]]</f>
        <v>400</v>
      </c>
      <c r="T54" s="1">
        <f>Tabla1[[#This Row],[OS-Valor Unitario]]*Tabla1[[#This Row],[OS-Cantidad]]</f>
        <v>646400</v>
      </c>
      <c r="U54" s="1">
        <f>Tabla1[[#This Row],[costo_antes_iva]]*Tabla1[[#This Row],[OS-Cantidad]]</f>
        <v>565600</v>
      </c>
      <c r="V54" s="1">
        <f>Tabla1[[#This Row],[Valor total OS]]-Tabla1[[#This Row],[valor total op]]</f>
        <v>80800</v>
      </c>
      <c r="W54" s="1">
        <f>ROUNDDOWN(Tabla1[[#This Row],[Diferencia]]/200000,0)*200000</f>
        <v>0</v>
      </c>
    </row>
    <row r="55" spans="1:23" hidden="1" x14ac:dyDescent="0.3">
      <c r="A55">
        <v>6484</v>
      </c>
      <c r="B55">
        <v>1</v>
      </c>
      <c r="C55" t="s">
        <v>707</v>
      </c>
      <c r="D55">
        <v>80</v>
      </c>
      <c r="E55" t="s">
        <v>708</v>
      </c>
      <c r="F55" t="s">
        <v>709</v>
      </c>
      <c r="G55" t="s">
        <v>394</v>
      </c>
      <c r="H55" t="s">
        <v>166</v>
      </c>
      <c r="I55">
        <v>1</v>
      </c>
      <c r="J55">
        <v>77658373</v>
      </c>
      <c r="K55" s="2">
        <v>46014</v>
      </c>
      <c r="L55" s="1">
        <v>12000</v>
      </c>
      <c r="M55" t="s">
        <v>710</v>
      </c>
      <c r="N55" t="s">
        <v>51</v>
      </c>
      <c r="O55" t="s">
        <v>711</v>
      </c>
      <c r="P55" s="1">
        <v>13000</v>
      </c>
      <c r="Q55">
        <v>80</v>
      </c>
      <c r="R55" t="s">
        <v>712</v>
      </c>
      <c r="S55" s="1">
        <f>Tabla1[[#This Row],[OS-Valor Unitario]]-Tabla1[[#This Row],[costo_antes_iva]]</f>
        <v>1000</v>
      </c>
      <c r="T55" s="1">
        <f>Tabla1[[#This Row],[OS-Valor Unitario]]*Tabla1[[#This Row],[OS-Cantidad]]</f>
        <v>1040000</v>
      </c>
      <c r="U55" s="1">
        <f>Tabla1[[#This Row],[costo_antes_iva]]*Tabla1[[#This Row],[OS-Cantidad]]</f>
        <v>960000</v>
      </c>
      <c r="V55" s="1">
        <f>Tabla1[[#This Row],[Valor total OS]]-Tabla1[[#This Row],[valor total op]]</f>
        <v>80000</v>
      </c>
      <c r="W55" s="1">
        <f>ROUNDDOWN(Tabla1[[#This Row],[Diferencia]]/200000,0)*200000</f>
        <v>0</v>
      </c>
    </row>
    <row r="56" spans="1:23" hidden="1" x14ac:dyDescent="0.3">
      <c r="A56">
        <v>6492</v>
      </c>
      <c r="B56">
        <v>15</v>
      </c>
      <c r="C56" t="s">
        <v>482</v>
      </c>
      <c r="D56">
        <v>50</v>
      </c>
      <c r="E56" t="s">
        <v>418</v>
      </c>
      <c r="F56" t="s">
        <v>470</v>
      </c>
      <c r="G56" t="s">
        <v>474</v>
      </c>
      <c r="H56" t="s">
        <v>317</v>
      </c>
      <c r="I56">
        <v>10</v>
      </c>
      <c r="J56">
        <v>77863835</v>
      </c>
      <c r="K56" s="2">
        <v>46020</v>
      </c>
      <c r="L56" s="1">
        <v>7500</v>
      </c>
      <c r="M56" t="s">
        <v>476</v>
      </c>
      <c r="N56" t="s">
        <v>51</v>
      </c>
      <c r="O56" t="s">
        <v>483</v>
      </c>
      <c r="P56" s="1">
        <v>9000</v>
      </c>
      <c r="Q56">
        <v>50</v>
      </c>
      <c r="R56" t="s">
        <v>484</v>
      </c>
      <c r="S56" s="1">
        <f>Tabla1[[#This Row],[OS-Valor Unitario]]-Tabla1[[#This Row],[costo_antes_iva]]</f>
        <v>1500</v>
      </c>
      <c r="T56" s="1">
        <f>Tabla1[[#This Row],[OS-Valor Unitario]]*Tabla1[[#This Row],[OS-Cantidad]]</f>
        <v>450000</v>
      </c>
      <c r="U56" s="1">
        <f>Tabla1[[#This Row],[costo_antes_iva]]*Tabla1[[#This Row],[OS-Cantidad]]</f>
        <v>375000</v>
      </c>
      <c r="V56" s="1">
        <f>Tabla1[[#This Row],[Valor total OS]]-Tabla1[[#This Row],[valor total op]]</f>
        <v>75000</v>
      </c>
      <c r="W56" s="1">
        <f>ROUNDDOWN(Tabla1[[#This Row],[Diferencia]]/200000,0)*200000</f>
        <v>0</v>
      </c>
    </row>
    <row r="57" spans="1:23" hidden="1" x14ac:dyDescent="0.3">
      <c r="A57">
        <v>6492</v>
      </c>
      <c r="B57">
        <v>21</v>
      </c>
      <c r="C57" t="s">
        <v>512</v>
      </c>
      <c r="D57">
        <v>50</v>
      </c>
      <c r="E57" t="s">
        <v>418</v>
      </c>
      <c r="F57" t="s">
        <v>393</v>
      </c>
      <c r="G57" t="s">
        <v>394</v>
      </c>
      <c r="H57" t="s">
        <v>317</v>
      </c>
      <c r="I57">
        <v>50</v>
      </c>
      <c r="J57">
        <v>77869395</v>
      </c>
      <c r="K57" s="2">
        <v>46020</v>
      </c>
      <c r="L57" s="1">
        <v>11500</v>
      </c>
      <c r="M57" t="s">
        <v>395</v>
      </c>
      <c r="N57" t="s">
        <v>51</v>
      </c>
      <c r="O57" t="s">
        <v>513</v>
      </c>
      <c r="P57" s="1">
        <v>13000</v>
      </c>
      <c r="Q57">
        <v>50</v>
      </c>
      <c r="R57" t="s">
        <v>514</v>
      </c>
      <c r="S57" s="1">
        <f>Tabla1[[#This Row],[OS-Valor Unitario]]-Tabla1[[#This Row],[costo_antes_iva]]</f>
        <v>1500</v>
      </c>
      <c r="T57" s="1">
        <f>Tabla1[[#This Row],[OS-Valor Unitario]]*Tabla1[[#This Row],[OS-Cantidad]]</f>
        <v>650000</v>
      </c>
      <c r="U57" s="1">
        <f>Tabla1[[#This Row],[costo_antes_iva]]*Tabla1[[#This Row],[OS-Cantidad]]</f>
        <v>575000</v>
      </c>
      <c r="V57" s="1">
        <f>Tabla1[[#This Row],[Valor total OS]]-Tabla1[[#This Row],[valor total op]]</f>
        <v>75000</v>
      </c>
      <c r="W57" s="1">
        <f>ROUNDDOWN(Tabla1[[#This Row],[Diferencia]]/200000,0)*200000</f>
        <v>0</v>
      </c>
    </row>
    <row r="58" spans="1:23" hidden="1" x14ac:dyDescent="0.3">
      <c r="A58">
        <v>6492</v>
      </c>
      <c r="B58">
        <v>15</v>
      </c>
      <c r="C58" t="s">
        <v>482</v>
      </c>
      <c r="D58">
        <v>50</v>
      </c>
      <c r="E58" t="s">
        <v>529</v>
      </c>
      <c r="F58" t="s">
        <v>470</v>
      </c>
      <c r="G58" t="s">
        <v>474</v>
      </c>
      <c r="H58" t="s">
        <v>317</v>
      </c>
      <c r="I58">
        <v>10</v>
      </c>
      <c r="J58">
        <v>77863835</v>
      </c>
      <c r="K58" s="2">
        <v>46020</v>
      </c>
      <c r="L58" s="1">
        <v>7500</v>
      </c>
      <c r="M58" t="s">
        <v>476</v>
      </c>
      <c r="N58" t="s">
        <v>51</v>
      </c>
      <c r="O58" t="s">
        <v>483</v>
      </c>
      <c r="P58" s="1">
        <v>9000</v>
      </c>
      <c r="Q58">
        <v>50</v>
      </c>
      <c r="R58" t="s">
        <v>484</v>
      </c>
      <c r="S58" s="1">
        <f>Tabla1[[#This Row],[OS-Valor Unitario]]-Tabla1[[#This Row],[costo_antes_iva]]</f>
        <v>1500</v>
      </c>
      <c r="T58" s="1">
        <f>Tabla1[[#This Row],[OS-Valor Unitario]]*Tabla1[[#This Row],[OS-Cantidad]]</f>
        <v>450000</v>
      </c>
      <c r="U58" s="1">
        <f>Tabla1[[#This Row],[costo_antes_iva]]*Tabla1[[#This Row],[OS-Cantidad]]</f>
        <v>375000</v>
      </c>
      <c r="V58" s="1">
        <f>Tabla1[[#This Row],[Valor total OS]]-Tabla1[[#This Row],[valor total op]]</f>
        <v>75000</v>
      </c>
      <c r="W58" s="1">
        <f>ROUNDDOWN(Tabla1[[#This Row],[Diferencia]]/200000,0)*200000</f>
        <v>0</v>
      </c>
    </row>
    <row r="59" spans="1:23" hidden="1" x14ac:dyDescent="0.3">
      <c r="A59">
        <v>6492</v>
      </c>
      <c r="B59">
        <v>21</v>
      </c>
      <c r="C59" t="s">
        <v>512</v>
      </c>
      <c r="D59">
        <v>50</v>
      </c>
      <c r="E59" t="s">
        <v>529</v>
      </c>
      <c r="F59" t="s">
        <v>393</v>
      </c>
      <c r="G59" t="s">
        <v>394</v>
      </c>
      <c r="H59" t="s">
        <v>317</v>
      </c>
      <c r="I59">
        <v>50</v>
      </c>
      <c r="J59">
        <v>77869395</v>
      </c>
      <c r="K59" s="2">
        <v>46020</v>
      </c>
      <c r="L59" s="1">
        <v>11500</v>
      </c>
      <c r="M59" t="s">
        <v>395</v>
      </c>
      <c r="N59" t="s">
        <v>51</v>
      </c>
      <c r="O59" t="s">
        <v>513</v>
      </c>
      <c r="P59" s="1">
        <v>13000</v>
      </c>
      <c r="Q59">
        <v>50</v>
      </c>
      <c r="R59" t="s">
        <v>514</v>
      </c>
      <c r="S59" s="1">
        <f>Tabla1[[#This Row],[OS-Valor Unitario]]-Tabla1[[#This Row],[costo_antes_iva]]</f>
        <v>1500</v>
      </c>
      <c r="T59" s="1">
        <f>Tabla1[[#This Row],[OS-Valor Unitario]]*Tabla1[[#This Row],[OS-Cantidad]]</f>
        <v>650000</v>
      </c>
      <c r="U59" s="1">
        <f>Tabla1[[#This Row],[costo_antes_iva]]*Tabla1[[#This Row],[OS-Cantidad]]</f>
        <v>575000</v>
      </c>
      <c r="V59" s="1">
        <f>Tabla1[[#This Row],[Valor total OS]]-Tabla1[[#This Row],[valor total op]]</f>
        <v>75000</v>
      </c>
      <c r="W59" s="1">
        <f>ROUNDDOWN(Tabla1[[#This Row],[Diferencia]]/200000,0)*200000</f>
        <v>0</v>
      </c>
    </row>
    <row r="60" spans="1:23" hidden="1" x14ac:dyDescent="0.3">
      <c r="A60">
        <v>6492</v>
      </c>
      <c r="B60">
        <v>10</v>
      </c>
      <c r="C60" t="s">
        <v>456</v>
      </c>
      <c r="D60">
        <v>120</v>
      </c>
      <c r="E60" t="s">
        <v>418</v>
      </c>
      <c r="F60" t="s">
        <v>457</v>
      </c>
      <c r="G60" t="s">
        <v>316</v>
      </c>
      <c r="H60" t="s">
        <v>317</v>
      </c>
      <c r="I60">
        <v>30</v>
      </c>
      <c r="J60">
        <v>77864618</v>
      </c>
      <c r="K60" s="2">
        <v>46020</v>
      </c>
      <c r="L60" s="1">
        <v>800</v>
      </c>
      <c r="M60" t="s">
        <v>420</v>
      </c>
      <c r="N60" t="s">
        <v>65</v>
      </c>
      <c r="O60" t="s">
        <v>458</v>
      </c>
      <c r="P60" s="1">
        <v>1400</v>
      </c>
      <c r="Q60">
        <v>120</v>
      </c>
      <c r="R60" t="s">
        <v>459</v>
      </c>
      <c r="S60" s="1">
        <f>Tabla1[[#This Row],[OS-Valor Unitario]]-Tabla1[[#This Row],[costo_antes_iva]]</f>
        <v>600</v>
      </c>
      <c r="T60" s="1">
        <f>Tabla1[[#This Row],[OS-Valor Unitario]]*Tabla1[[#This Row],[OS-Cantidad]]</f>
        <v>168000</v>
      </c>
      <c r="U60" s="1">
        <f>Tabla1[[#This Row],[costo_antes_iva]]*Tabla1[[#This Row],[OS-Cantidad]]</f>
        <v>96000</v>
      </c>
      <c r="V60" s="1">
        <f>Tabla1[[#This Row],[Valor total OS]]-Tabla1[[#This Row],[valor total op]]</f>
        <v>72000</v>
      </c>
      <c r="W60" s="1">
        <f>ROUNDDOWN(Tabla1[[#This Row],[Diferencia]]/200000,0)*200000</f>
        <v>0</v>
      </c>
    </row>
    <row r="61" spans="1:23" hidden="1" x14ac:dyDescent="0.3">
      <c r="A61">
        <v>6492</v>
      </c>
      <c r="B61">
        <v>10</v>
      </c>
      <c r="C61" t="s">
        <v>456</v>
      </c>
      <c r="D61">
        <v>120</v>
      </c>
      <c r="E61" t="s">
        <v>529</v>
      </c>
      <c r="F61" t="s">
        <v>457</v>
      </c>
      <c r="G61" t="s">
        <v>316</v>
      </c>
      <c r="H61" t="s">
        <v>317</v>
      </c>
      <c r="I61">
        <v>30</v>
      </c>
      <c r="J61">
        <v>77864618</v>
      </c>
      <c r="K61" s="2">
        <v>46020</v>
      </c>
      <c r="L61" s="1">
        <v>800</v>
      </c>
      <c r="M61" t="s">
        <v>420</v>
      </c>
      <c r="N61" t="s">
        <v>65</v>
      </c>
      <c r="O61" t="s">
        <v>458</v>
      </c>
      <c r="P61" s="1">
        <v>1400</v>
      </c>
      <c r="Q61">
        <v>120</v>
      </c>
      <c r="R61" t="s">
        <v>459</v>
      </c>
      <c r="S61" s="1">
        <f>Tabla1[[#This Row],[OS-Valor Unitario]]-Tabla1[[#This Row],[costo_antes_iva]]</f>
        <v>600</v>
      </c>
      <c r="T61" s="1">
        <f>Tabla1[[#This Row],[OS-Valor Unitario]]*Tabla1[[#This Row],[OS-Cantidad]]</f>
        <v>168000</v>
      </c>
      <c r="U61" s="1">
        <f>Tabla1[[#This Row],[costo_antes_iva]]*Tabla1[[#This Row],[OS-Cantidad]]</f>
        <v>96000</v>
      </c>
      <c r="V61" s="1">
        <f>Tabla1[[#This Row],[Valor total OS]]-Tabla1[[#This Row],[valor total op]]</f>
        <v>72000</v>
      </c>
      <c r="W61" s="1">
        <f>ROUNDDOWN(Tabla1[[#This Row],[Diferencia]]/200000,0)*200000</f>
        <v>0</v>
      </c>
    </row>
    <row r="62" spans="1:23" hidden="1" x14ac:dyDescent="0.3">
      <c r="A62">
        <v>6371</v>
      </c>
      <c r="B62">
        <v>2</v>
      </c>
      <c r="C62" t="s">
        <v>1282</v>
      </c>
      <c r="D62">
        <v>16</v>
      </c>
      <c r="E62" t="s">
        <v>1276</v>
      </c>
      <c r="F62" t="s">
        <v>950</v>
      </c>
      <c r="G62" t="s">
        <v>268</v>
      </c>
      <c r="H62" t="s">
        <v>317</v>
      </c>
      <c r="I62">
        <v>144</v>
      </c>
      <c r="J62">
        <v>74212373</v>
      </c>
      <c r="K62" s="2">
        <v>45953</v>
      </c>
      <c r="L62" s="1">
        <v>7500</v>
      </c>
      <c r="M62" t="s">
        <v>954</v>
      </c>
      <c r="N62" t="s">
        <v>51</v>
      </c>
      <c r="O62" t="s">
        <v>1283</v>
      </c>
      <c r="P62" s="1">
        <v>12000</v>
      </c>
      <c r="Q62">
        <v>16</v>
      </c>
      <c r="R62" t="s">
        <v>1284</v>
      </c>
      <c r="S62" s="1">
        <f>Tabla1[[#This Row],[OS-Valor Unitario]]-Tabla1[[#This Row],[costo_antes_iva]]</f>
        <v>4500</v>
      </c>
      <c r="T62" s="1">
        <f>Tabla1[[#This Row],[OS-Valor Unitario]]*Tabla1[[#This Row],[OS-Cantidad]]</f>
        <v>192000</v>
      </c>
      <c r="U62" s="1">
        <f>Tabla1[[#This Row],[costo_antes_iva]]*Tabla1[[#This Row],[OS-Cantidad]]</f>
        <v>120000</v>
      </c>
      <c r="V62" s="1">
        <f>Tabla1[[#This Row],[Valor total OS]]-Tabla1[[#This Row],[valor total op]]</f>
        <v>72000</v>
      </c>
      <c r="W62" s="1">
        <f>ROUNDDOWN(Tabla1[[#This Row],[Diferencia]]/200000,0)*200000</f>
        <v>0</v>
      </c>
    </row>
    <row r="63" spans="1:23" hidden="1" x14ac:dyDescent="0.3">
      <c r="A63">
        <v>6541</v>
      </c>
      <c r="B63">
        <v>1</v>
      </c>
      <c r="C63" t="s">
        <v>198</v>
      </c>
      <c r="D63">
        <v>25</v>
      </c>
      <c r="E63" t="s">
        <v>199</v>
      </c>
      <c r="F63" t="s">
        <v>200</v>
      </c>
      <c r="G63" t="s">
        <v>118</v>
      </c>
      <c r="H63" t="s">
        <v>201</v>
      </c>
      <c r="I63">
        <v>25</v>
      </c>
      <c r="J63">
        <v>79222439</v>
      </c>
      <c r="K63" s="2">
        <v>46051</v>
      </c>
      <c r="L63" s="1">
        <v>3500</v>
      </c>
      <c r="M63" t="s">
        <v>202</v>
      </c>
      <c r="N63" t="s">
        <v>24</v>
      </c>
      <c r="O63" t="s">
        <v>203</v>
      </c>
      <c r="P63" s="1">
        <v>6300</v>
      </c>
      <c r="Q63">
        <v>25</v>
      </c>
      <c r="R63" t="s">
        <v>204</v>
      </c>
      <c r="S63" s="1">
        <f>Tabla1[[#This Row],[OS-Valor Unitario]]-Tabla1[[#This Row],[costo_antes_iva]]</f>
        <v>2800</v>
      </c>
      <c r="T63" s="1">
        <f>Tabla1[[#This Row],[OS-Valor Unitario]]*Tabla1[[#This Row],[OS-Cantidad]]</f>
        <v>157500</v>
      </c>
      <c r="U63" s="1">
        <f>Tabla1[[#This Row],[costo_antes_iva]]*Tabla1[[#This Row],[OS-Cantidad]]</f>
        <v>87500</v>
      </c>
      <c r="V63" s="1">
        <f>Tabla1[[#This Row],[Valor total OS]]-Tabla1[[#This Row],[valor total op]]</f>
        <v>70000</v>
      </c>
      <c r="W63" s="1">
        <f>ROUNDDOWN(Tabla1[[#This Row],[Diferencia]]/200000,0)*200000</f>
        <v>0</v>
      </c>
    </row>
    <row r="64" spans="1:23" hidden="1" x14ac:dyDescent="0.3">
      <c r="A64">
        <v>6618</v>
      </c>
      <c r="B64">
        <v>11</v>
      </c>
      <c r="C64" t="s">
        <v>88</v>
      </c>
      <c r="D64">
        <v>30</v>
      </c>
      <c r="E64" t="s">
        <v>61</v>
      </c>
      <c r="F64" t="s">
        <v>89</v>
      </c>
      <c r="G64" t="s">
        <v>1378</v>
      </c>
      <c r="H64" t="s">
        <v>63</v>
      </c>
      <c r="I64">
        <v>1</v>
      </c>
      <c r="J64">
        <v>80759211</v>
      </c>
      <c r="K64" s="2">
        <v>46079</v>
      </c>
      <c r="L64" s="1">
        <v>2300</v>
      </c>
      <c r="M64" t="s">
        <v>64</v>
      </c>
      <c r="N64" t="s">
        <v>65</v>
      </c>
      <c r="O64" t="s">
        <v>90</v>
      </c>
      <c r="P64" s="1">
        <v>4500</v>
      </c>
      <c r="Q64">
        <v>30</v>
      </c>
      <c r="R64" t="s">
        <v>91</v>
      </c>
      <c r="S64" s="1">
        <f>Tabla1[[#This Row],[OS-Valor Unitario]]-Tabla1[[#This Row],[costo_antes_iva]]</f>
        <v>2200</v>
      </c>
      <c r="T64" s="1">
        <f>Tabla1[[#This Row],[OS-Valor Unitario]]*Tabla1[[#This Row],[OS-Cantidad]]</f>
        <v>135000</v>
      </c>
      <c r="U64" s="1">
        <f>Tabla1[[#This Row],[costo_antes_iva]]*Tabla1[[#This Row],[OS-Cantidad]]</f>
        <v>69000</v>
      </c>
      <c r="V64" s="1">
        <f>Tabla1[[#This Row],[Valor total OS]]-Tabla1[[#This Row],[valor total op]]</f>
        <v>66000</v>
      </c>
      <c r="W64" s="1">
        <f>ROUNDDOWN(Tabla1[[#This Row],[Diferencia]]/200000,0)*200000</f>
        <v>0</v>
      </c>
    </row>
    <row r="65" spans="1:23" hidden="1" x14ac:dyDescent="0.3">
      <c r="A65">
        <v>6618</v>
      </c>
      <c r="B65">
        <v>12</v>
      </c>
      <c r="C65" t="s">
        <v>92</v>
      </c>
      <c r="D65">
        <v>30</v>
      </c>
      <c r="E65" t="s">
        <v>61</v>
      </c>
      <c r="F65" t="s">
        <v>93</v>
      </c>
      <c r="G65" t="s">
        <v>1378</v>
      </c>
      <c r="H65" t="s">
        <v>63</v>
      </c>
      <c r="I65">
        <v>1</v>
      </c>
      <c r="J65">
        <v>80759216</v>
      </c>
      <c r="K65" s="2">
        <v>46079</v>
      </c>
      <c r="L65" s="1">
        <v>2300</v>
      </c>
      <c r="M65" t="s">
        <v>64</v>
      </c>
      <c r="N65" t="s">
        <v>65</v>
      </c>
      <c r="O65" t="s">
        <v>94</v>
      </c>
      <c r="P65" s="1">
        <v>4500</v>
      </c>
      <c r="Q65">
        <v>30</v>
      </c>
      <c r="R65" t="s">
        <v>95</v>
      </c>
      <c r="S65" s="1">
        <f>Tabla1[[#This Row],[OS-Valor Unitario]]-Tabla1[[#This Row],[costo_antes_iva]]</f>
        <v>2200</v>
      </c>
      <c r="T65" s="1">
        <f>Tabla1[[#This Row],[OS-Valor Unitario]]*Tabla1[[#This Row],[OS-Cantidad]]</f>
        <v>135000</v>
      </c>
      <c r="U65" s="1">
        <f>Tabla1[[#This Row],[costo_antes_iva]]*Tabla1[[#This Row],[OS-Cantidad]]</f>
        <v>69000</v>
      </c>
      <c r="V65" s="1">
        <f>Tabla1[[#This Row],[Valor total OS]]-Tabla1[[#This Row],[valor total op]]</f>
        <v>66000</v>
      </c>
      <c r="W65" s="1">
        <f>ROUNDDOWN(Tabla1[[#This Row],[Diferencia]]/200000,0)*200000</f>
        <v>0</v>
      </c>
    </row>
    <row r="66" spans="1:23" hidden="1" x14ac:dyDescent="0.3">
      <c r="A66">
        <v>6487</v>
      </c>
      <c r="B66">
        <v>3</v>
      </c>
      <c r="C66" t="s">
        <v>568</v>
      </c>
      <c r="D66">
        <v>125</v>
      </c>
      <c r="E66" t="s">
        <v>559</v>
      </c>
      <c r="F66" t="s">
        <v>569</v>
      </c>
      <c r="G66" t="s">
        <v>1376</v>
      </c>
      <c r="H66" t="s">
        <v>166</v>
      </c>
      <c r="I66">
        <v>1</v>
      </c>
      <c r="J66">
        <v>77670340</v>
      </c>
      <c r="K66" s="2">
        <v>46014</v>
      </c>
      <c r="L66" s="1">
        <v>4500</v>
      </c>
      <c r="M66" t="s">
        <v>561</v>
      </c>
      <c r="N66" t="s">
        <v>51</v>
      </c>
      <c r="O66" t="s">
        <v>570</v>
      </c>
      <c r="P66" s="1">
        <v>5000</v>
      </c>
      <c r="Q66">
        <v>125</v>
      </c>
      <c r="R66" t="s">
        <v>571</v>
      </c>
      <c r="S66" s="1">
        <f>Tabla1[[#This Row],[OS-Valor Unitario]]-Tabla1[[#This Row],[costo_antes_iva]]</f>
        <v>500</v>
      </c>
      <c r="T66" s="1">
        <f>Tabla1[[#This Row],[OS-Valor Unitario]]*Tabla1[[#This Row],[OS-Cantidad]]</f>
        <v>625000</v>
      </c>
      <c r="U66" s="1">
        <f>Tabla1[[#This Row],[costo_antes_iva]]*Tabla1[[#This Row],[OS-Cantidad]]</f>
        <v>562500</v>
      </c>
      <c r="V66" s="1">
        <f>Tabla1[[#This Row],[Valor total OS]]-Tabla1[[#This Row],[valor total op]]</f>
        <v>62500</v>
      </c>
      <c r="W66" s="1">
        <f>ROUNDDOWN(Tabla1[[#This Row],[Diferencia]]/200000,0)*200000</f>
        <v>0</v>
      </c>
    </row>
    <row r="67" spans="1:23" hidden="1" x14ac:dyDescent="0.3">
      <c r="A67">
        <v>6378</v>
      </c>
      <c r="B67">
        <v>1</v>
      </c>
      <c r="C67" t="s">
        <v>1140</v>
      </c>
      <c r="D67">
        <v>4</v>
      </c>
      <c r="E67" t="s">
        <v>1141</v>
      </c>
      <c r="F67" t="s">
        <v>1142</v>
      </c>
      <c r="G67" t="s">
        <v>1143</v>
      </c>
      <c r="H67" t="s">
        <v>166</v>
      </c>
      <c r="I67">
        <v>1</v>
      </c>
      <c r="J67">
        <v>74463474</v>
      </c>
      <c r="K67" s="2">
        <v>45958</v>
      </c>
      <c r="L67" s="1">
        <v>9500</v>
      </c>
      <c r="M67" t="s">
        <v>1144</v>
      </c>
      <c r="N67" t="s">
        <v>51</v>
      </c>
      <c r="O67" t="s">
        <v>1145</v>
      </c>
      <c r="P67" s="1">
        <v>25000</v>
      </c>
      <c r="Q67">
        <v>4</v>
      </c>
      <c r="R67" t="s">
        <v>1146</v>
      </c>
      <c r="S67" s="1">
        <f>Tabla1[[#This Row],[OS-Valor Unitario]]-Tabla1[[#This Row],[costo_antes_iva]]</f>
        <v>15500</v>
      </c>
      <c r="T67" s="1">
        <f>Tabla1[[#This Row],[OS-Valor Unitario]]*Tabla1[[#This Row],[OS-Cantidad]]</f>
        <v>100000</v>
      </c>
      <c r="U67" s="1">
        <f>Tabla1[[#This Row],[costo_antes_iva]]*Tabla1[[#This Row],[OS-Cantidad]]</f>
        <v>38000</v>
      </c>
      <c r="V67" s="1">
        <f>Tabla1[[#This Row],[Valor total OS]]-Tabla1[[#This Row],[valor total op]]</f>
        <v>62000</v>
      </c>
      <c r="W67" s="1">
        <f>ROUNDDOWN(Tabla1[[#This Row],[Diferencia]]/200000,0)*200000</f>
        <v>0</v>
      </c>
    </row>
    <row r="68" spans="1:23" hidden="1" x14ac:dyDescent="0.3">
      <c r="A68">
        <v>6378</v>
      </c>
      <c r="B68">
        <v>1</v>
      </c>
      <c r="C68" t="s">
        <v>1140</v>
      </c>
      <c r="D68">
        <v>4</v>
      </c>
      <c r="E68" t="s">
        <v>1141</v>
      </c>
      <c r="F68" t="s">
        <v>1142</v>
      </c>
      <c r="G68" t="s">
        <v>1143</v>
      </c>
      <c r="H68" t="s">
        <v>166</v>
      </c>
      <c r="I68">
        <v>1</v>
      </c>
      <c r="J68">
        <v>74463501</v>
      </c>
      <c r="K68" s="2">
        <v>45958</v>
      </c>
      <c r="L68" s="1">
        <v>9500</v>
      </c>
      <c r="M68" t="s">
        <v>1148</v>
      </c>
      <c r="N68" t="s">
        <v>51</v>
      </c>
      <c r="O68" t="s">
        <v>1145</v>
      </c>
      <c r="P68" s="1">
        <v>25000</v>
      </c>
      <c r="Q68">
        <v>4</v>
      </c>
      <c r="R68" t="s">
        <v>1146</v>
      </c>
      <c r="S68" s="1">
        <f>Tabla1[[#This Row],[OS-Valor Unitario]]-Tabla1[[#This Row],[costo_antes_iva]]</f>
        <v>15500</v>
      </c>
      <c r="T68" s="1">
        <f>Tabla1[[#This Row],[OS-Valor Unitario]]*Tabla1[[#This Row],[OS-Cantidad]]</f>
        <v>100000</v>
      </c>
      <c r="U68" s="1">
        <f>Tabla1[[#This Row],[costo_antes_iva]]*Tabla1[[#This Row],[OS-Cantidad]]</f>
        <v>38000</v>
      </c>
      <c r="V68" s="1">
        <f>Tabla1[[#This Row],[Valor total OS]]-Tabla1[[#This Row],[valor total op]]</f>
        <v>62000</v>
      </c>
      <c r="W68" s="1">
        <f>ROUNDDOWN(Tabla1[[#This Row],[Diferencia]]/200000,0)*200000</f>
        <v>0</v>
      </c>
    </row>
    <row r="69" spans="1:23" hidden="1" x14ac:dyDescent="0.3">
      <c r="A69">
        <v>6492</v>
      </c>
      <c r="B69">
        <v>23</v>
      </c>
      <c r="C69" t="s">
        <v>521</v>
      </c>
      <c r="D69">
        <v>7</v>
      </c>
      <c r="E69" t="s">
        <v>418</v>
      </c>
      <c r="F69" t="s">
        <v>522</v>
      </c>
      <c r="G69" t="s">
        <v>1376</v>
      </c>
      <c r="H69" t="s">
        <v>317</v>
      </c>
      <c r="I69">
        <v>14</v>
      </c>
      <c r="J69">
        <v>77864464</v>
      </c>
      <c r="K69" s="2">
        <v>46020</v>
      </c>
      <c r="L69" s="1">
        <v>3200</v>
      </c>
      <c r="M69" t="s">
        <v>528</v>
      </c>
      <c r="N69" t="s">
        <v>51</v>
      </c>
      <c r="O69" t="s">
        <v>525</v>
      </c>
      <c r="P69" s="1">
        <v>12000</v>
      </c>
      <c r="Q69">
        <v>7</v>
      </c>
      <c r="R69" t="s">
        <v>527</v>
      </c>
      <c r="S69" s="1">
        <f>Tabla1[[#This Row],[OS-Valor Unitario]]-Tabla1[[#This Row],[costo_antes_iva]]</f>
        <v>8800</v>
      </c>
      <c r="T69" s="1">
        <f>Tabla1[[#This Row],[OS-Valor Unitario]]*Tabla1[[#This Row],[OS-Cantidad]]</f>
        <v>84000</v>
      </c>
      <c r="U69" s="1">
        <f>Tabla1[[#This Row],[costo_antes_iva]]*Tabla1[[#This Row],[OS-Cantidad]]</f>
        <v>22400</v>
      </c>
      <c r="V69" s="1">
        <f>Tabla1[[#This Row],[Valor total OS]]-Tabla1[[#This Row],[valor total op]]</f>
        <v>61600</v>
      </c>
      <c r="W69" s="1">
        <f>ROUNDDOWN(Tabla1[[#This Row],[Diferencia]]/200000,0)*200000</f>
        <v>0</v>
      </c>
    </row>
    <row r="70" spans="1:23" hidden="1" x14ac:dyDescent="0.3">
      <c r="A70">
        <v>6492</v>
      </c>
      <c r="B70">
        <v>23</v>
      </c>
      <c r="C70" t="s">
        <v>521</v>
      </c>
      <c r="D70">
        <v>7</v>
      </c>
      <c r="E70" t="s">
        <v>529</v>
      </c>
      <c r="F70" t="s">
        <v>522</v>
      </c>
      <c r="G70" t="s">
        <v>1376</v>
      </c>
      <c r="H70" t="s">
        <v>317</v>
      </c>
      <c r="I70">
        <v>14</v>
      </c>
      <c r="J70">
        <v>77864464</v>
      </c>
      <c r="K70" s="2">
        <v>46020</v>
      </c>
      <c r="L70" s="1">
        <v>3200</v>
      </c>
      <c r="M70" t="s">
        <v>528</v>
      </c>
      <c r="N70" t="s">
        <v>51</v>
      </c>
      <c r="O70" t="s">
        <v>525</v>
      </c>
      <c r="P70" s="1">
        <v>12000</v>
      </c>
      <c r="Q70">
        <v>7</v>
      </c>
      <c r="R70" t="s">
        <v>527</v>
      </c>
      <c r="S70" s="1">
        <f>Tabla1[[#This Row],[OS-Valor Unitario]]-Tabla1[[#This Row],[costo_antes_iva]]</f>
        <v>8800</v>
      </c>
      <c r="T70" s="1">
        <f>Tabla1[[#This Row],[OS-Valor Unitario]]*Tabla1[[#This Row],[OS-Cantidad]]</f>
        <v>84000</v>
      </c>
      <c r="U70" s="1">
        <f>Tabla1[[#This Row],[costo_antes_iva]]*Tabla1[[#This Row],[OS-Cantidad]]</f>
        <v>22400</v>
      </c>
      <c r="V70" s="1">
        <f>Tabla1[[#This Row],[Valor total OS]]-Tabla1[[#This Row],[valor total op]]</f>
        <v>61600</v>
      </c>
      <c r="W70" s="1">
        <f>ROUNDDOWN(Tabla1[[#This Row],[Diferencia]]/200000,0)*200000</f>
        <v>0</v>
      </c>
    </row>
    <row r="71" spans="1:23" hidden="1" x14ac:dyDescent="0.3">
      <c r="A71">
        <v>6379</v>
      </c>
      <c r="B71">
        <v>8</v>
      </c>
      <c r="C71" t="s">
        <v>1132</v>
      </c>
      <c r="D71">
        <v>86</v>
      </c>
      <c r="E71" t="s">
        <v>1095</v>
      </c>
      <c r="F71" t="s">
        <v>1133</v>
      </c>
      <c r="G71" t="s">
        <v>633</v>
      </c>
      <c r="H71" t="s">
        <v>1097</v>
      </c>
      <c r="I71">
        <v>88</v>
      </c>
      <c r="J71">
        <v>74473725</v>
      </c>
      <c r="K71" s="2">
        <v>45958</v>
      </c>
      <c r="L71" s="1">
        <v>11000</v>
      </c>
      <c r="M71" t="s">
        <v>1098</v>
      </c>
      <c r="N71" t="s">
        <v>51</v>
      </c>
      <c r="O71" t="s">
        <v>1134</v>
      </c>
      <c r="P71" s="1">
        <v>11700</v>
      </c>
      <c r="Q71">
        <v>86</v>
      </c>
      <c r="R71" t="s">
        <v>1135</v>
      </c>
      <c r="S71" s="1">
        <f>Tabla1[[#This Row],[OS-Valor Unitario]]-Tabla1[[#This Row],[costo_antes_iva]]</f>
        <v>700</v>
      </c>
      <c r="T71" s="1">
        <f>Tabla1[[#This Row],[OS-Valor Unitario]]*Tabla1[[#This Row],[OS-Cantidad]]</f>
        <v>1006200</v>
      </c>
      <c r="U71" s="1">
        <f>Tabla1[[#This Row],[costo_antes_iva]]*Tabla1[[#This Row],[OS-Cantidad]]</f>
        <v>946000</v>
      </c>
      <c r="V71" s="1">
        <f>Tabla1[[#This Row],[Valor total OS]]-Tabla1[[#This Row],[valor total op]]</f>
        <v>60200</v>
      </c>
      <c r="W71" s="1">
        <f>ROUNDDOWN(Tabla1[[#This Row],[Diferencia]]/200000,0)*200000</f>
        <v>0</v>
      </c>
    </row>
    <row r="72" spans="1:23" hidden="1" x14ac:dyDescent="0.3">
      <c r="A72">
        <v>6492</v>
      </c>
      <c r="B72">
        <v>10</v>
      </c>
      <c r="C72" t="s">
        <v>456</v>
      </c>
      <c r="D72">
        <v>120</v>
      </c>
      <c r="E72" t="s">
        <v>418</v>
      </c>
      <c r="F72" t="s">
        <v>457</v>
      </c>
      <c r="G72" t="s">
        <v>316</v>
      </c>
      <c r="H72" t="s">
        <v>317</v>
      </c>
      <c r="I72">
        <v>30</v>
      </c>
      <c r="J72">
        <v>77864618</v>
      </c>
      <c r="K72" s="2">
        <v>46020</v>
      </c>
      <c r="L72" s="1">
        <v>15000</v>
      </c>
      <c r="M72" t="s">
        <v>420</v>
      </c>
      <c r="N72" t="s">
        <v>51</v>
      </c>
      <c r="O72" t="s">
        <v>458</v>
      </c>
      <c r="P72" s="1">
        <v>15500</v>
      </c>
      <c r="Q72">
        <v>120</v>
      </c>
      <c r="R72" t="s">
        <v>460</v>
      </c>
      <c r="S72" s="1">
        <f>Tabla1[[#This Row],[OS-Valor Unitario]]-Tabla1[[#This Row],[costo_antes_iva]]</f>
        <v>500</v>
      </c>
      <c r="T72" s="1">
        <f>Tabla1[[#This Row],[OS-Valor Unitario]]*Tabla1[[#This Row],[OS-Cantidad]]</f>
        <v>1860000</v>
      </c>
      <c r="U72" s="1">
        <f>Tabla1[[#This Row],[costo_antes_iva]]*Tabla1[[#This Row],[OS-Cantidad]]</f>
        <v>1800000</v>
      </c>
      <c r="V72" s="1">
        <f>Tabla1[[#This Row],[Valor total OS]]-Tabla1[[#This Row],[valor total op]]</f>
        <v>60000</v>
      </c>
      <c r="W72" s="1">
        <f>ROUNDDOWN(Tabla1[[#This Row],[Diferencia]]/200000,0)*200000</f>
        <v>0</v>
      </c>
    </row>
    <row r="73" spans="1:23" hidden="1" x14ac:dyDescent="0.3">
      <c r="A73">
        <v>6492</v>
      </c>
      <c r="B73">
        <v>10</v>
      </c>
      <c r="C73" t="s">
        <v>456</v>
      </c>
      <c r="D73">
        <v>120</v>
      </c>
      <c r="E73" t="s">
        <v>529</v>
      </c>
      <c r="F73" t="s">
        <v>457</v>
      </c>
      <c r="G73" t="s">
        <v>316</v>
      </c>
      <c r="H73" t="s">
        <v>317</v>
      </c>
      <c r="I73">
        <v>30</v>
      </c>
      <c r="J73">
        <v>77864618</v>
      </c>
      <c r="K73" s="2">
        <v>46020</v>
      </c>
      <c r="L73" s="1">
        <v>15000</v>
      </c>
      <c r="M73" t="s">
        <v>420</v>
      </c>
      <c r="N73" t="s">
        <v>51</v>
      </c>
      <c r="O73" t="s">
        <v>458</v>
      </c>
      <c r="P73" s="1">
        <v>15500</v>
      </c>
      <c r="Q73">
        <v>120</v>
      </c>
      <c r="R73" t="s">
        <v>460</v>
      </c>
      <c r="S73" s="1">
        <f>Tabla1[[#This Row],[OS-Valor Unitario]]-Tabla1[[#This Row],[costo_antes_iva]]</f>
        <v>500</v>
      </c>
      <c r="T73" s="1">
        <f>Tabla1[[#This Row],[OS-Valor Unitario]]*Tabla1[[#This Row],[OS-Cantidad]]</f>
        <v>1860000</v>
      </c>
      <c r="U73" s="1">
        <f>Tabla1[[#This Row],[costo_antes_iva]]*Tabla1[[#This Row],[OS-Cantidad]]</f>
        <v>1800000</v>
      </c>
      <c r="V73" s="1">
        <f>Tabla1[[#This Row],[Valor total OS]]-Tabla1[[#This Row],[valor total op]]</f>
        <v>60000</v>
      </c>
      <c r="W73" s="1">
        <f>ROUNDDOWN(Tabla1[[#This Row],[Diferencia]]/200000,0)*200000</f>
        <v>0</v>
      </c>
    </row>
    <row r="74" spans="1:23" hidden="1" x14ac:dyDescent="0.3">
      <c r="A74">
        <v>6371</v>
      </c>
      <c r="B74">
        <v>1</v>
      </c>
      <c r="C74" t="s">
        <v>1275</v>
      </c>
      <c r="D74">
        <v>48</v>
      </c>
      <c r="E74" t="s">
        <v>1276</v>
      </c>
      <c r="F74" t="s">
        <v>1277</v>
      </c>
      <c r="G74" t="s">
        <v>474</v>
      </c>
      <c r="H74" t="s">
        <v>317</v>
      </c>
      <c r="I74">
        <v>48</v>
      </c>
      <c r="J74">
        <v>74212926</v>
      </c>
      <c r="K74" s="2">
        <v>45953</v>
      </c>
      <c r="L74" s="1">
        <v>800</v>
      </c>
      <c r="M74" t="s">
        <v>1278</v>
      </c>
      <c r="N74" t="s">
        <v>65</v>
      </c>
      <c r="O74" t="s">
        <v>1279</v>
      </c>
      <c r="P74" s="1">
        <v>1900</v>
      </c>
      <c r="Q74">
        <v>48</v>
      </c>
      <c r="R74" t="s">
        <v>1280</v>
      </c>
      <c r="S74" s="1">
        <f>Tabla1[[#This Row],[OS-Valor Unitario]]-Tabla1[[#This Row],[costo_antes_iva]]</f>
        <v>1100</v>
      </c>
      <c r="T74" s="1">
        <f>Tabla1[[#This Row],[OS-Valor Unitario]]*Tabla1[[#This Row],[OS-Cantidad]]</f>
        <v>91200</v>
      </c>
      <c r="U74" s="1">
        <f>Tabla1[[#This Row],[costo_antes_iva]]*Tabla1[[#This Row],[OS-Cantidad]]</f>
        <v>38400</v>
      </c>
      <c r="V74" s="1">
        <f>Tabla1[[#This Row],[Valor total OS]]-Tabla1[[#This Row],[valor total op]]</f>
        <v>52800</v>
      </c>
      <c r="W74" s="1">
        <f>ROUNDDOWN(Tabla1[[#This Row],[Diferencia]]/200000,0)*200000</f>
        <v>0</v>
      </c>
    </row>
    <row r="75" spans="1:23" hidden="1" x14ac:dyDescent="0.3">
      <c r="A75">
        <v>6487</v>
      </c>
      <c r="B75">
        <v>4</v>
      </c>
      <c r="C75" t="s">
        <v>573</v>
      </c>
      <c r="D75">
        <v>105</v>
      </c>
      <c r="E75" t="s">
        <v>559</v>
      </c>
      <c r="F75" t="s">
        <v>574</v>
      </c>
      <c r="G75" t="s">
        <v>1376</v>
      </c>
      <c r="H75" t="s">
        <v>166</v>
      </c>
      <c r="I75">
        <v>1</v>
      </c>
      <c r="J75">
        <v>77670348</v>
      </c>
      <c r="K75" s="2">
        <v>46014</v>
      </c>
      <c r="L75" s="1">
        <v>4500</v>
      </c>
      <c r="M75" t="s">
        <v>561</v>
      </c>
      <c r="N75" t="s">
        <v>51</v>
      </c>
      <c r="O75" t="s">
        <v>575</v>
      </c>
      <c r="P75" s="1">
        <v>5000</v>
      </c>
      <c r="Q75">
        <v>105</v>
      </c>
      <c r="R75" t="s">
        <v>576</v>
      </c>
      <c r="S75" s="1">
        <f>Tabla1[[#This Row],[OS-Valor Unitario]]-Tabla1[[#This Row],[costo_antes_iva]]</f>
        <v>500</v>
      </c>
      <c r="T75" s="1">
        <f>Tabla1[[#This Row],[OS-Valor Unitario]]*Tabla1[[#This Row],[OS-Cantidad]]</f>
        <v>525000</v>
      </c>
      <c r="U75" s="1">
        <f>Tabla1[[#This Row],[costo_antes_iva]]*Tabla1[[#This Row],[OS-Cantidad]]</f>
        <v>472500</v>
      </c>
      <c r="V75" s="1">
        <f>Tabla1[[#This Row],[Valor total OS]]-Tabla1[[#This Row],[valor total op]]</f>
        <v>52500</v>
      </c>
      <c r="W75" s="1">
        <f>ROUNDDOWN(Tabla1[[#This Row],[Diferencia]]/200000,0)*200000</f>
        <v>0</v>
      </c>
    </row>
    <row r="76" spans="1:23" hidden="1" x14ac:dyDescent="0.3">
      <c r="A76">
        <v>6611</v>
      </c>
      <c r="B76">
        <v>1</v>
      </c>
      <c r="C76" t="s">
        <v>154</v>
      </c>
      <c r="D76">
        <v>104</v>
      </c>
      <c r="E76" t="s">
        <v>155</v>
      </c>
      <c r="F76" t="s">
        <v>156</v>
      </c>
      <c r="G76" t="s">
        <v>1376</v>
      </c>
      <c r="H76" t="s">
        <v>157</v>
      </c>
      <c r="I76">
        <v>104</v>
      </c>
      <c r="J76">
        <v>80555323</v>
      </c>
      <c r="K76" s="2">
        <v>46076</v>
      </c>
      <c r="L76" s="1">
        <v>5000</v>
      </c>
      <c r="M76" t="s">
        <v>158</v>
      </c>
      <c r="N76" t="s">
        <v>51</v>
      </c>
      <c r="O76" t="s">
        <v>159</v>
      </c>
      <c r="P76" s="1">
        <v>5500</v>
      </c>
      <c r="Q76">
        <v>104</v>
      </c>
      <c r="R76" t="s">
        <v>160</v>
      </c>
      <c r="S76" s="1">
        <f>Tabla1[[#This Row],[OS-Valor Unitario]]-Tabla1[[#This Row],[costo_antes_iva]]</f>
        <v>500</v>
      </c>
      <c r="T76" s="1">
        <f>Tabla1[[#This Row],[OS-Valor Unitario]]*Tabla1[[#This Row],[OS-Cantidad]]</f>
        <v>572000</v>
      </c>
      <c r="U76" s="1">
        <f>Tabla1[[#This Row],[costo_antes_iva]]*Tabla1[[#This Row],[OS-Cantidad]]</f>
        <v>520000</v>
      </c>
      <c r="V76" s="1">
        <f>Tabla1[[#This Row],[Valor total OS]]-Tabla1[[#This Row],[valor total op]]</f>
        <v>52000</v>
      </c>
      <c r="W76" s="1">
        <f>ROUNDDOWN(Tabla1[[#This Row],[Diferencia]]/200000,0)*200000</f>
        <v>0</v>
      </c>
    </row>
    <row r="77" spans="1:23" hidden="1" x14ac:dyDescent="0.3">
      <c r="A77">
        <v>6433</v>
      </c>
      <c r="B77">
        <v>10</v>
      </c>
      <c r="C77" t="s">
        <v>873</v>
      </c>
      <c r="D77">
        <v>51</v>
      </c>
      <c r="E77" t="s">
        <v>834</v>
      </c>
      <c r="F77" t="s">
        <v>874</v>
      </c>
      <c r="G77" t="s">
        <v>268</v>
      </c>
      <c r="H77" t="s">
        <v>166</v>
      </c>
      <c r="I77">
        <v>0</v>
      </c>
      <c r="J77">
        <v>76289933</v>
      </c>
      <c r="K77" s="2">
        <v>45988</v>
      </c>
      <c r="L77" s="1">
        <v>4500</v>
      </c>
      <c r="M77" t="s">
        <v>837</v>
      </c>
      <c r="N77" t="s">
        <v>51</v>
      </c>
      <c r="O77" t="s">
        <v>875</v>
      </c>
      <c r="P77" s="1">
        <v>5500</v>
      </c>
      <c r="Q77">
        <v>51</v>
      </c>
      <c r="R77" t="s">
        <v>876</v>
      </c>
      <c r="S77" s="1">
        <f>Tabla1[[#This Row],[OS-Valor Unitario]]-Tabla1[[#This Row],[costo_antes_iva]]</f>
        <v>1000</v>
      </c>
      <c r="T77" s="1">
        <f>Tabla1[[#This Row],[OS-Valor Unitario]]*Tabla1[[#This Row],[OS-Cantidad]]</f>
        <v>280500</v>
      </c>
      <c r="U77" s="1">
        <f>Tabla1[[#This Row],[costo_antes_iva]]*Tabla1[[#This Row],[OS-Cantidad]]</f>
        <v>229500</v>
      </c>
      <c r="V77" s="1">
        <f>Tabla1[[#This Row],[Valor total OS]]-Tabla1[[#This Row],[valor total op]]</f>
        <v>51000</v>
      </c>
      <c r="W77" s="1">
        <f>ROUNDDOWN(Tabla1[[#This Row],[Diferencia]]/200000,0)*200000</f>
        <v>0</v>
      </c>
    </row>
    <row r="78" spans="1:23" hidden="1" x14ac:dyDescent="0.3">
      <c r="A78">
        <v>6421</v>
      </c>
      <c r="B78">
        <v>1</v>
      </c>
      <c r="C78" t="s">
        <v>920</v>
      </c>
      <c r="D78">
        <v>101</v>
      </c>
      <c r="E78" t="s">
        <v>921</v>
      </c>
      <c r="F78" t="s">
        <v>922</v>
      </c>
      <c r="G78" t="s">
        <v>118</v>
      </c>
      <c r="H78" t="s">
        <v>923</v>
      </c>
      <c r="I78">
        <v>101</v>
      </c>
      <c r="J78">
        <v>75709053</v>
      </c>
      <c r="K78" s="2">
        <v>45982</v>
      </c>
      <c r="L78" s="1">
        <v>12500</v>
      </c>
      <c r="M78" t="s">
        <v>924</v>
      </c>
      <c r="N78" t="s">
        <v>51</v>
      </c>
      <c r="O78" t="s">
        <v>925</v>
      </c>
      <c r="P78" s="1">
        <v>13000</v>
      </c>
      <c r="Q78">
        <v>101</v>
      </c>
      <c r="R78" t="s">
        <v>926</v>
      </c>
      <c r="S78" s="1">
        <f>Tabla1[[#This Row],[OS-Valor Unitario]]-Tabla1[[#This Row],[costo_antes_iva]]</f>
        <v>500</v>
      </c>
      <c r="T78" s="1">
        <f>Tabla1[[#This Row],[OS-Valor Unitario]]*Tabla1[[#This Row],[OS-Cantidad]]</f>
        <v>1313000</v>
      </c>
      <c r="U78" s="1">
        <f>Tabla1[[#This Row],[costo_antes_iva]]*Tabla1[[#This Row],[OS-Cantidad]]</f>
        <v>1262500</v>
      </c>
      <c r="V78" s="1">
        <f>Tabla1[[#This Row],[Valor total OS]]-Tabla1[[#This Row],[valor total op]]</f>
        <v>50500</v>
      </c>
      <c r="W78" s="1">
        <f>ROUNDDOWN(Tabla1[[#This Row],[Diferencia]]/200000,0)*200000</f>
        <v>0</v>
      </c>
    </row>
    <row r="79" spans="1:23" hidden="1" x14ac:dyDescent="0.3">
      <c r="A79">
        <v>6486</v>
      </c>
      <c r="B79">
        <v>1</v>
      </c>
      <c r="C79" t="s">
        <v>601</v>
      </c>
      <c r="D79">
        <v>30</v>
      </c>
      <c r="E79" t="s">
        <v>602</v>
      </c>
      <c r="F79" t="s">
        <v>603</v>
      </c>
      <c r="G79" t="s">
        <v>1376</v>
      </c>
      <c r="H79" t="s">
        <v>166</v>
      </c>
      <c r="I79">
        <v>1</v>
      </c>
      <c r="J79">
        <v>77667975</v>
      </c>
      <c r="K79" s="2">
        <v>46014</v>
      </c>
      <c r="L79" s="1">
        <v>1600</v>
      </c>
      <c r="M79" t="s">
        <v>604</v>
      </c>
      <c r="N79" t="s">
        <v>24</v>
      </c>
      <c r="O79" t="s">
        <v>605</v>
      </c>
      <c r="P79" s="1">
        <v>3200</v>
      </c>
      <c r="Q79">
        <v>30</v>
      </c>
      <c r="R79" t="s">
        <v>607</v>
      </c>
      <c r="S79" s="1">
        <f>Tabla1[[#This Row],[OS-Valor Unitario]]-Tabla1[[#This Row],[costo_antes_iva]]</f>
        <v>1600</v>
      </c>
      <c r="T79" s="1">
        <f>Tabla1[[#This Row],[OS-Valor Unitario]]*Tabla1[[#This Row],[OS-Cantidad]]</f>
        <v>96000</v>
      </c>
      <c r="U79" s="1">
        <f>Tabla1[[#This Row],[costo_antes_iva]]*Tabla1[[#This Row],[OS-Cantidad]]</f>
        <v>48000</v>
      </c>
      <c r="V79" s="1">
        <f>Tabla1[[#This Row],[Valor total OS]]-Tabla1[[#This Row],[valor total op]]</f>
        <v>48000</v>
      </c>
      <c r="W79" s="1">
        <f>ROUNDDOWN(Tabla1[[#This Row],[Diferencia]]/200000,0)*200000</f>
        <v>0</v>
      </c>
    </row>
    <row r="80" spans="1:23" hidden="1" x14ac:dyDescent="0.3">
      <c r="A80">
        <v>6379</v>
      </c>
      <c r="B80">
        <v>3</v>
      </c>
      <c r="C80" t="s">
        <v>1107</v>
      </c>
      <c r="D80">
        <v>6</v>
      </c>
      <c r="E80" t="s">
        <v>1095</v>
      </c>
      <c r="F80" t="s">
        <v>1108</v>
      </c>
      <c r="G80" t="s">
        <v>1376</v>
      </c>
      <c r="H80" t="s">
        <v>1097</v>
      </c>
      <c r="I80">
        <v>44</v>
      </c>
      <c r="J80">
        <v>74473763</v>
      </c>
      <c r="K80" s="2">
        <v>45958</v>
      </c>
      <c r="L80" s="1">
        <v>4500</v>
      </c>
      <c r="M80" t="s">
        <v>1098</v>
      </c>
      <c r="N80" t="s">
        <v>51</v>
      </c>
      <c r="O80" t="s">
        <v>1110</v>
      </c>
      <c r="P80" s="1">
        <v>12500</v>
      </c>
      <c r="Q80">
        <v>6</v>
      </c>
      <c r="R80" t="s">
        <v>1112</v>
      </c>
      <c r="S80" s="1">
        <f>Tabla1[[#This Row],[OS-Valor Unitario]]-Tabla1[[#This Row],[costo_antes_iva]]</f>
        <v>8000</v>
      </c>
      <c r="T80" s="1">
        <f>Tabla1[[#This Row],[OS-Valor Unitario]]*Tabla1[[#This Row],[OS-Cantidad]]</f>
        <v>75000</v>
      </c>
      <c r="U80" s="1">
        <f>Tabla1[[#This Row],[costo_antes_iva]]*Tabla1[[#This Row],[OS-Cantidad]]</f>
        <v>27000</v>
      </c>
      <c r="V80" s="1">
        <f>Tabla1[[#This Row],[Valor total OS]]-Tabla1[[#This Row],[valor total op]]</f>
        <v>48000</v>
      </c>
      <c r="W80" s="1">
        <f>ROUNDDOWN(Tabla1[[#This Row],[Diferencia]]/200000,0)*200000</f>
        <v>0</v>
      </c>
    </row>
    <row r="81" spans="1:23" hidden="1" x14ac:dyDescent="0.3">
      <c r="A81">
        <v>6484</v>
      </c>
      <c r="B81">
        <v>2</v>
      </c>
      <c r="C81" t="s">
        <v>714</v>
      </c>
      <c r="D81">
        <v>45</v>
      </c>
      <c r="E81" t="s">
        <v>708</v>
      </c>
      <c r="F81" t="s">
        <v>715</v>
      </c>
      <c r="G81" t="s">
        <v>118</v>
      </c>
      <c r="H81" t="s">
        <v>166</v>
      </c>
      <c r="I81">
        <v>1</v>
      </c>
      <c r="J81">
        <v>77658380</v>
      </c>
      <c r="K81" s="2">
        <v>46014</v>
      </c>
      <c r="L81" s="1">
        <v>12000</v>
      </c>
      <c r="M81" t="s">
        <v>710</v>
      </c>
      <c r="N81" t="s">
        <v>51</v>
      </c>
      <c r="O81" t="s">
        <v>716</v>
      </c>
      <c r="P81" s="1">
        <v>13000</v>
      </c>
      <c r="Q81">
        <v>45</v>
      </c>
      <c r="R81" t="s">
        <v>717</v>
      </c>
      <c r="S81" s="1">
        <f>Tabla1[[#This Row],[OS-Valor Unitario]]-Tabla1[[#This Row],[costo_antes_iva]]</f>
        <v>1000</v>
      </c>
      <c r="T81" s="1">
        <f>Tabla1[[#This Row],[OS-Valor Unitario]]*Tabla1[[#This Row],[OS-Cantidad]]</f>
        <v>585000</v>
      </c>
      <c r="U81" s="1">
        <f>Tabla1[[#This Row],[costo_antes_iva]]*Tabla1[[#This Row],[OS-Cantidad]]</f>
        <v>540000</v>
      </c>
      <c r="V81" s="1">
        <f>Tabla1[[#This Row],[Valor total OS]]-Tabla1[[#This Row],[valor total op]]</f>
        <v>45000</v>
      </c>
      <c r="W81" s="1">
        <f>ROUNDDOWN(Tabla1[[#This Row],[Diferencia]]/200000,0)*200000</f>
        <v>0</v>
      </c>
    </row>
    <row r="82" spans="1:23" hidden="1" x14ac:dyDescent="0.3">
      <c r="A82">
        <v>6492</v>
      </c>
      <c r="B82">
        <v>19</v>
      </c>
      <c r="C82" t="s">
        <v>501</v>
      </c>
      <c r="D82">
        <v>30</v>
      </c>
      <c r="E82" t="s">
        <v>418</v>
      </c>
      <c r="F82" t="s">
        <v>502</v>
      </c>
      <c r="G82" t="s">
        <v>394</v>
      </c>
      <c r="H82" t="s">
        <v>317</v>
      </c>
      <c r="I82">
        <v>30</v>
      </c>
      <c r="J82">
        <v>77869427</v>
      </c>
      <c r="K82" s="2">
        <v>46020</v>
      </c>
      <c r="L82" s="1">
        <v>11500</v>
      </c>
      <c r="M82" t="s">
        <v>506</v>
      </c>
      <c r="N82" t="s">
        <v>51</v>
      </c>
      <c r="O82" t="s">
        <v>504</v>
      </c>
      <c r="P82" s="1">
        <v>13000</v>
      </c>
      <c r="Q82">
        <v>30</v>
      </c>
      <c r="R82" t="s">
        <v>505</v>
      </c>
      <c r="S82" s="1">
        <f>Tabla1[[#This Row],[OS-Valor Unitario]]-Tabla1[[#This Row],[costo_antes_iva]]</f>
        <v>1500</v>
      </c>
      <c r="T82" s="1">
        <f>Tabla1[[#This Row],[OS-Valor Unitario]]*Tabla1[[#This Row],[OS-Cantidad]]</f>
        <v>390000</v>
      </c>
      <c r="U82" s="1">
        <f>Tabla1[[#This Row],[costo_antes_iva]]*Tabla1[[#This Row],[OS-Cantidad]]</f>
        <v>345000</v>
      </c>
      <c r="V82" s="1">
        <f>Tabla1[[#This Row],[Valor total OS]]-Tabla1[[#This Row],[valor total op]]</f>
        <v>45000</v>
      </c>
      <c r="W82" s="1">
        <f>ROUNDDOWN(Tabla1[[#This Row],[Diferencia]]/200000,0)*200000</f>
        <v>0</v>
      </c>
    </row>
    <row r="83" spans="1:23" hidden="1" x14ac:dyDescent="0.3">
      <c r="A83">
        <v>6492</v>
      </c>
      <c r="B83">
        <v>19</v>
      </c>
      <c r="C83" t="s">
        <v>501</v>
      </c>
      <c r="D83">
        <v>30</v>
      </c>
      <c r="E83" t="s">
        <v>529</v>
      </c>
      <c r="F83" t="s">
        <v>502</v>
      </c>
      <c r="G83" t="s">
        <v>394</v>
      </c>
      <c r="H83" t="s">
        <v>317</v>
      </c>
      <c r="I83">
        <v>30</v>
      </c>
      <c r="J83">
        <v>77869427</v>
      </c>
      <c r="K83" s="2">
        <v>46020</v>
      </c>
      <c r="L83" s="1">
        <v>11500</v>
      </c>
      <c r="M83" t="s">
        <v>506</v>
      </c>
      <c r="N83" t="s">
        <v>51</v>
      </c>
      <c r="O83" t="s">
        <v>504</v>
      </c>
      <c r="P83" s="1">
        <v>13000</v>
      </c>
      <c r="Q83">
        <v>30</v>
      </c>
      <c r="R83" t="s">
        <v>505</v>
      </c>
      <c r="S83" s="1">
        <f>Tabla1[[#This Row],[OS-Valor Unitario]]-Tabla1[[#This Row],[costo_antes_iva]]</f>
        <v>1500</v>
      </c>
      <c r="T83" s="1">
        <f>Tabla1[[#This Row],[OS-Valor Unitario]]*Tabla1[[#This Row],[OS-Cantidad]]</f>
        <v>390000</v>
      </c>
      <c r="U83" s="1">
        <f>Tabla1[[#This Row],[costo_antes_iva]]*Tabla1[[#This Row],[OS-Cantidad]]</f>
        <v>345000</v>
      </c>
      <c r="V83" s="1">
        <f>Tabla1[[#This Row],[Valor total OS]]-Tabla1[[#This Row],[valor total op]]</f>
        <v>45000</v>
      </c>
      <c r="W83" s="1">
        <f>ROUNDDOWN(Tabla1[[#This Row],[Diferencia]]/200000,0)*200000</f>
        <v>0</v>
      </c>
    </row>
    <row r="84" spans="1:23" hidden="1" x14ac:dyDescent="0.3">
      <c r="A84">
        <v>6492</v>
      </c>
      <c r="B84">
        <v>14</v>
      </c>
      <c r="C84" t="s">
        <v>477</v>
      </c>
      <c r="D84">
        <v>10</v>
      </c>
      <c r="E84" t="s">
        <v>418</v>
      </c>
      <c r="F84" t="s">
        <v>478</v>
      </c>
      <c r="G84" t="s">
        <v>316</v>
      </c>
      <c r="H84" t="s">
        <v>317</v>
      </c>
      <c r="I84">
        <v>10</v>
      </c>
      <c r="J84">
        <v>77864652</v>
      </c>
      <c r="K84" s="2">
        <v>46020</v>
      </c>
      <c r="L84" s="1">
        <v>1500</v>
      </c>
      <c r="M84" t="s">
        <v>420</v>
      </c>
      <c r="N84" t="s">
        <v>65</v>
      </c>
      <c r="O84" t="s">
        <v>479</v>
      </c>
      <c r="P84" s="1">
        <v>6000</v>
      </c>
      <c r="Q84">
        <v>10</v>
      </c>
      <c r="R84" t="s">
        <v>480</v>
      </c>
      <c r="S84" s="1">
        <f>Tabla1[[#This Row],[OS-Valor Unitario]]-Tabla1[[#This Row],[costo_antes_iva]]</f>
        <v>4500</v>
      </c>
      <c r="T84" s="1">
        <f>Tabla1[[#This Row],[OS-Valor Unitario]]*Tabla1[[#This Row],[OS-Cantidad]]</f>
        <v>60000</v>
      </c>
      <c r="U84" s="1">
        <f>Tabla1[[#This Row],[costo_antes_iva]]*Tabla1[[#This Row],[OS-Cantidad]]</f>
        <v>15000</v>
      </c>
      <c r="V84" s="1">
        <f>Tabla1[[#This Row],[Valor total OS]]-Tabla1[[#This Row],[valor total op]]</f>
        <v>45000</v>
      </c>
      <c r="W84" s="1">
        <f>ROUNDDOWN(Tabla1[[#This Row],[Diferencia]]/200000,0)*200000</f>
        <v>0</v>
      </c>
    </row>
    <row r="85" spans="1:23" hidden="1" x14ac:dyDescent="0.3">
      <c r="A85">
        <v>6492</v>
      </c>
      <c r="B85">
        <v>14</v>
      </c>
      <c r="C85" t="s">
        <v>477</v>
      </c>
      <c r="D85">
        <v>10</v>
      </c>
      <c r="E85" t="s">
        <v>529</v>
      </c>
      <c r="F85" t="s">
        <v>478</v>
      </c>
      <c r="G85" t="s">
        <v>316</v>
      </c>
      <c r="H85" t="s">
        <v>317</v>
      </c>
      <c r="I85">
        <v>10</v>
      </c>
      <c r="J85">
        <v>77864652</v>
      </c>
      <c r="K85" s="2">
        <v>46020</v>
      </c>
      <c r="L85" s="1">
        <v>1500</v>
      </c>
      <c r="M85" t="s">
        <v>420</v>
      </c>
      <c r="N85" t="s">
        <v>65</v>
      </c>
      <c r="O85" t="s">
        <v>479</v>
      </c>
      <c r="P85" s="1">
        <v>6000</v>
      </c>
      <c r="Q85">
        <v>10</v>
      </c>
      <c r="R85" t="s">
        <v>480</v>
      </c>
      <c r="S85" s="1">
        <f>Tabla1[[#This Row],[OS-Valor Unitario]]-Tabla1[[#This Row],[costo_antes_iva]]</f>
        <v>4500</v>
      </c>
      <c r="T85" s="1">
        <f>Tabla1[[#This Row],[OS-Valor Unitario]]*Tabla1[[#This Row],[OS-Cantidad]]</f>
        <v>60000</v>
      </c>
      <c r="U85" s="1">
        <f>Tabla1[[#This Row],[costo_antes_iva]]*Tabla1[[#This Row],[OS-Cantidad]]</f>
        <v>15000</v>
      </c>
      <c r="V85" s="1">
        <f>Tabla1[[#This Row],[Valor total OS]]-Tabla1[[#This Row],[valor total op]]</f>
        <v>45000</v>
      </c>
      <c r="W85" s="1">
        <f>ROUNDDOWN(Tabla1[[#This Row],[Diferencia]]/200000,0)*200000</f>
        <v>0</v>
      </c>
    </row>
    <row r="86" spans="1:23" hidden="1" x14ac:dyDescent="0.3">
      <c r="A86">
        <v>6297</v>
      </c>
      <c r="B86">
        <v>20</v>
      </c>
      <c r="C86" t="s">
        <v>1353</v>
      </c>
      <c r="D86">
        <v>17</v>
      </c>
      <c r="E86" t="s">
        <v>1347</v>
      </c>
      <c r="F86" t="s">
        <v>1277</v>
      </c>
      <c r="G86" t="s">
        <v>474</v>
      </c>
      <c r="H86" t="s">
        <v>317</v>
      </c>
      <c r="I86">
        <v>48</v>
      </c>
      <c r="J86">
        <v>74212926</v>
      </c>
      <c r="K86" s="2">
        <v>45953</v>
      </c>
      <c r="L86" s="1">
        <v>12500</v>
      </c>
      <c r="M86" t="s">
        <v>1278</v>
      </c>
      <c r="N86" t="s">
        <v>51</v>
      </c>
      <c r="O86" t="s">
        <v>1354</v>
      </c>
      <c r="P86" s="1">
        <v>15000</v>
      </c>
      <c r="Q86">
        <v>17</v>
      </c>
      <c r="R86" t="s">
        <v>1356</v>
      </c>
      <c r="S86" s="1">
        <f>Tabla1[[#This Row],[OS-Valor Unitario]]-Tabla1[[#This Row],[costo_antes_iva]]</f>
        <v>2500</v>
      </c>
      <c r="T86" s="1">
        <f>Tabla1[[#This Row],[OS-Valor Unitario]]*Tabla1[[#This Row],[OS-Cantidad]]</f>
        <v>255000</v>
      </c>
      <c r="U86" s="1">
        <f>Tabla1[[#This Row],[costo_antes_iva]]*Tabla1[[#This Row],[OS-Cantidad]]</f>
        <v>212500</v>
      </c>
      <c r="V86" s="1">
        <f>Tabla1[[#This Row],[Valor total OS]]-Tabla1[[#This Row],[valor total op]]</f>
        <v>42500</v>
      </c>
      <c r="W86" s="1">
        <f>ROUNDDOWN(Tabla1[[#This Row],[Diferencia]]/200000,0)*200000</f>
        <v>0</v>
      </c>
    </row>
    <row r="87" spans="1:23" hidden="1" x14ac:dyDescent="0.3">
      <c r="A87">
        <v>6415</v>
      </c>
      <c r="B87">
        <v>1</v>
      </c>
      <c r="C87" t="s">
        <v>948</v>
      </c>
      <c r="D87">
        <v>80</v>
      </c>
      <c r="E87" t="s">
        <v>949</v>
      </c>
      <c r="F87" t="s">
        <v>950</v>
      </c>
      <c r="G87" t="s">
        <v>398</v>
      </c>
      <c r="H87" t="s">
        <v>317</v>
      </c>
      <c r="I87">
        <v>76</v>
      </c>
      <c r="J87">
        <v>75885113</v>
      </c>
      <c r="K87" s="2">
        <v>45986</v>
      </c>
      <c r="L87" s="1">
        <v>4500</v>
      </c>
      <c r="M87" t="s">
        <v>955</v>
      </c>
      <c r="N87" t="s">
        <v>51</v>
      </c>
      <c r="O87" t="s">
        <v>952</v>
      </c>
      <c r="P87" s="1">
        <v>5000</v>
      </c>
      <c r="Q87">
        <v>80</v>
      </c>
      <c r="R87" t="s">
        <v>953</v>
      </c>
      <c r="S87" s="1">
        <f>Tabla1[[#This Row],[OS-Valor Unitario]]-Tabla1[[#This Row],[costo_antes_iva]]</f>
        <v>500</v>
      </c>
      <c r="T87" s="1">
        <f>Tabla1[[#This Row],[OS-Valor Unitario]]*Tabla1[[#This Row],[OS-Cantidad]]</f>
        <v>400000</v>
      </c>
      <c r="U87" s="1">
        <f>Tabla1[[#This Row],[costo_antes_iva]]*Tabla1[[#This Row],[OS-Cantidad]]</f>
        <v>360000</v>
      </c>
      <c r="V87" s="1">
        <f>Tabla1[[#This Row],[Valor total OS]]-Tabla1[[#This Row],[valor total op]]</f>
        <v>40000</v>
      </c>
      <c r="W87" s="1">
        <f>ROUNDDOWN(Tabla1[[#This Row],[Diferencia]]/200000,0)*200000</f>
        <v>0</v>
      </c>
    </row>
    <row r="88" spans="1:23" hidden="1" x14ac:dyDescent="0.3">
      <c r="A88">
        <v>6492</v>
      </c>
      <c r="B88">
        <v>3</v>
      </c>
      <c r="C88" t="s">
        <v>424</v>
      </c>
      <c r="D88">
        <v>70</v>
      </c>
      <c r="E88" t="s">
        <v>418</v>
      </c>
      <c r="F88" t="s">
        <v>425</v>
      </c>
      <c r="G88" t="s">
        <v>398</v>
      </c>
      <c r="H88" t="s">
        <v>317</v>
      </c>
      <c r="I88">
        <v>70</v>
      </c>
      <c r="J88">
        <v>77864545</v>
      </c>
      <c r="K88" s="2">
        <v>46020</v>
      </c>
      <c r="L88" s="1">
        <v>4500</v>
      </c>
      <c r="M88" t="s">
        <v>420</v>
      </c>
      <c r="N88" t="s">
        <v>51</v>
      </c>
      <c r="O88" t="s">
        <v>426</v>
      </c>
      <c r="P88" s="1">
        <v>5000</v>
      </c>
      <c r="Q88">
        <v>70</v>
      </c>
      <c r="R88" t="s">
        <v>428</v>
      </c>
      <c r="S88" s="1">
        <f>Tabla1[[#This Row],[OS-Valor Unitario]]-Tabla1[[#This Row],[costo_antes_iva]]</f>
        <v>500</v>
      </c>
      <c r="T88" s="1">
        <f>Tabla1[[#This Row],[OS-Valor Unitario]]*Tabla1[[#This Row],[OS-Cantidad]]</f>
        <v>350000</v>
      </c>
      <c r="U88" s="1">
        <f>Tabla1[[#This Row],[costo_antes_iva]]*Tabla1[[#This Row],[OS-Cantidad]]</f>
        <v>315000</v>
      </c>
      <c r="V88" s="1">
        <f>Tabla1[[#This Row],[Valor total OS]]-Tabla1[[#This Row],[valor total op]]</f>
        <v>35000</v>
      </c>
      <c r="W88" s="1">
        <f>ROUNDDOWN(Tabla1[[#This Row],[Diferencia]]/200000,0)*200000</f>
        <v>0</v>
      </c>
    </row>
    <row r="89" spans="1:23" hidden="1" x14ac:dyDescent="0.3">
      <c r="A89">
        <v>6492</v>
      </c>
      <c r="B89">
        <v>3</v>
      </c>
      <c r="C89" t="s">
        <v>424</v>
      </c>
      <c r="D89">
        <v>70</v>
      </c>
      <c r="E89" t="s">
        <v>529</v>
      </c>
      <c r="F89" t="s">
        <v>425</v>
      </c>
      <c r="G89" t="s">
        <v>398</v>
      </c>
      <c r="H89" t="s">
        <v>317</v>
      </c>
      <c r="I89">
        <v>70</v>
      </c>
      <c r="J89">
        <v>77864545</v>
      </c>
      <c r="K89" s="2">
        <v>46020</v>
      </c>
      <c r="L89" s="1">
        <v>4500</v>
      </c>
      <c r="M89" t="s">
        <v>420</v>
      </c>
      <c r="N89" t="s">
        <v>51</v>
      </c>
      <c r="O89" t="s">
        <v>426</v>
      </c>
      <c r="P89" s="1">
        <v>5000</v>
      </c>
      <c r="Q89">
        <v>70</v>
      </c>
      <c r="R89" t="s">
        <v>428</v>
      </c>
      <c r="S89" s="1">
        <f>Tabla1[[#This Row],[OS-Valor Unitario]]-Tabla1[[#This Row],[costo_antes_iva]]</f>
        <v>500</v>
      </c>
      <c r="T89" s="1">
        <f>Tabla1[[#This Row],[OS-Valor Unitario]]*Tabla1[[#This Row],[OS-Cantidad]]</f>
        <v>350000</v>
      </c>
      <c r="U89" s="1">
        <f>Tabla1[[#This Row],[costo_antes_iva]]*Tabla1[[#This Row],[OS-Cantidad]]</f>
        <v>315000</v>
      </c>
      <c r="V89" s="1">
        <f>Tabla1[[#This Row],[Valor total OS]]-Tabla1[[#This Row],[valor total op]]</f>
        <v>35000</v>
      </c>
      <c r="W89" s="1">
        <f>ROUNDDOWN(Tabla1[[#This Row],[Diferencia]]/200000,0)*200000</f>
        <v>0</v>
      </c>
    </row>
    <row r="90" spans="1:23" hidden="1" x14ac:dyDescent="0.3">
      <c r="A90">
        <v>6486</v>
      </c>
      <c r="B90">
        <v>8</v>
      </c>
      <c r="C90" t="s">
        <v>636</v>
      </c>
      <c r="D90">
        <v>70</v>
      </c>
      <c r="E90" t="s">
        <v>602</v>
      </c>
      <c r="F90" t="s">
        <v>637</v>
      </c>
      <c r="G90" t="s">
        <v>638</v>
      </c>
      <c r="H90" t="s">
        <v>166</v>
      </c>
      <c r="I90">
        <v>1</v>
      </c>
      <c r="J90">
        <v>77668043</v>
      </c>
      <c r="K90" s="2">
        <v>46014</v>
      </c>
      <c r="L90" s="1">
        <v>4500</v>
      </c>
      <c r="M90" t="s">
        <v>604</v>
      </c>
      <c r="N90" t="s">
        <v>51</v>
      </c>
      <c r="O90" t="s">
        <v>639</v>
      </c>
      <c r="P90" s="1">
        <v>5000</v>
      </c>
      <c r="Q90">
        <v>70</v>
      </c>
      <c r="R90" t="s">
        <v>640</v>
      </c>
      <c r="S90" s="1">
        <f>Tabla1[[#This Row],[OS-Valor Unitario]]-Tabla1[[#This Row],[costo_antes_iva]]</f>
        <v>500</v>
      </c>
      <c r="T90" s="1">
        <f>Tabla1[[#This Row],[OS-Valor Unitario]]*Tabla1[[#This Row],[OS-Cantidad]]</f>
        <v>350000</v>
      </c>
      <c r="U90" s="1">
        <f>Tabla1[[#This Row],[costo_antes_iva]]*Tabla1[[#This Row],[OS-Cantidad]]</f>
        <v>315000</v>
      </c>
      <c r="V90" s="1">
        <f>Tabla1[[#This Row],[Valor total OS]]-Tabla1[[#This Row],[valor total op]]</f>
        <v>35000</v>
      </c>
      <c r="W90" s="1">
        <f>ROUNDDOWN(Tabla1[[#This Row],[Diferencia]]/200000,0)*200000</f>
        <v>0</v>
      </c>
    </row>
    <row r="91" spans="1:23" hidden="1" x14ac:dyDescent="0.3">
      <c r="A91">
        <v>6364</v>
      </c>
      <c r="B91">
        <v>6</v>
      </c>
      <c r="C91" t="s">
        <v>1304</v>
      </c>
      <c r="D91">
        <v>70</v>
      </c>
      <c r="E91" t="s">
        <v>1305</v>
      </c>
      <c r="F91" t="s">
        <v>1306</v>
      </c>
      <c r="G91" t="s">
        <v>1307</v>
      </c>
      <c r="H91" t="s">
        <v>309</v>
      </c>
      <c r="I91">
        <v>70</v>
      </c>
      <c r="J91">
        <v>74126431</v>
      </c>
      <c r="K91" s="2">
        <v>45952</v>
      </c>
      <c r="L91" s="1">
        <v>12500</v>
      </c>
      <c r="M91" t="s">
        <v>1308</v>
      </c>
      <c r="N91" t="s">
        <v>51</v>
      </c>
      <c r="O91" t="s">
        <v>1309</v>
      </c>
      <c r="P91" s="1">
        <v>13000</v>
      </c>
      <c r="Q91">
        <v>70</v>
      </c>
      <c r="R91" t="s">
        <v>1310</v>
      </c>
      <c r="S91" s="1">
        <f>Tabla1[[#This Row],[OS-Valor Unitario]]-Tabla1[[#This Row],[costo_antes_iva]]</f>
        <v>500</v>
      </c>
      <c r="T91" s="1">
        <f>Tabla1[[#This Row],[OS-Valor Unitario]]*Tabla1[[#This Row],[OS-Cantidad]]</f>
        <v>910000</v>
      </c>
      <c r="U91" s="1">
        <f>Tabla1[[#This Row],[costo_antes_iva]]*Tabla1[[#This Row],[OS-Cantidad]]</f>
        <v>875000</v>
      </c>
      <c r="V91" s="1">
        <f>Tabla1[[#This Row],[Valor total OS]]-Tabla1[[#This Row],[valor total op]]</f>
        <v>35000</v>
      </c>
      <c r="W91" s="1">
        <f>ROUNDDOWN(Tabla1[[#This Row],[Diferencia]]/200000,0)*200000</f>
        <v>0</v>
      </c>
    </row>
    <row r="92" spans="1:23" hidden="1" x14ac:dyDescent="0.3">
      <c r="A92">
        <v>6439</v>
      </c>
      <c r="B92">
        <v>9</v>
      </c>
      <c r="C92" t="s">
        <v>784</v>
      </c>
      <c r="D92">
        <v>35</v>
      </c>
      <c r="E92" t="s">
        <v>745</v>
      </c>
      <c r="F92" t="s">
        <v>785</v>
      </c>
      <c r="G92" t="s">
        <v>268</v>
      </c>
      <c r="H92" t="s">
        <v>166</v>
      </c>
      <c r="I92">
        <v>0</v>
      </c>
      <c r="J92">
        <v>76369581</v>
      </c>
      <c r="K92" s="2">
        <v>45989</v>
      </c>
      <c r="L92" s="1">
        <v>4500</v>
      </c>
      <c r="M92" t="s">
        <v>748</v>
      </c>
      <c r="N92" t="s">
        <v>51</v>
      </c>
      <c r="O92" t="s">
        <v>786</v>
      </c>
      <c r="P92" s="1">
        <v>5500</v>
      </c>
      <c r="Q92">
        <v>35</v>
      </c>
      <c r="R92" t="s">
        <v>787</v>
      </c>
      <c r="S92" s="1">
        <f>Tabla1[[#This Row],[OS-Valor Unitario]]-Tabla1[[#This Row],[costo_antes_iva]]</f>
        <v>1000</v>
      </c>
      <c r="T92" s="1">
        <f>Tabla1[[#This Row],[OS-Valor Unitario]]*Tabla1[[#This Row],[OS-Cantidad]]</f>
        <v>192500</v>
      </c>
      <c r="U92" s="1">
        <f>Tabla1[[#This Row],[costo_antes_iva]]*Tabla1[[#This Row],[OS-Cantidad]]</f>
        <v>157500</v>
      </c>
      <c r="V92" s="1">
        <f>Tabla1[[#This Row],[Valor total OS]]-Tabla1[[#This Row],[valor total op]]</f>
        <v>35000</v>
      </c>
      <c r="W92" s="1">
        <f>ROUNDDOWN(Tabla1[[#This Row],[Diferencia]]/200000,0)*200000</f>
        <v>0</v>
      </c>
    </row>
    <row r="93" spans="1:23" hidden="1" x14ac:dyDescent="0.3">
      <c r="A93">
        <v>6492</v>
      </c>
      <c r="B93">
        <v>9</v>
      </c>
      <c r="C93" t="s">
        <v>451</v>
      </c>
      <c r="D93">
        <v>22</v>
      </c>
      <c r="E93" t="s">
        <v>418</v>
      </c>
      <c r="F93" t="s">
        <v>452</v>
      </c>
      <c r="G93" t="s">
        <v>118</v>
      </c>
      <c r="H93" t="s">
        <v>317</v>
      </c>
      <c r="I93">
        <v>22</v>
      </c>
      <c r="J93">
        <v>77864602</v>
      </c>
      <c r="K93" s="2">
        <v>46020</v>
      </c>
      <c r="L93" s="1">
        <v>7000</v>
      </c>
      <c r="M93" t="s">
        <v>420</v>
      </c>
      <c r="N93" t="s">
        <v>51</v>
      </c>
      <c r="O93" t="s">
        <v>453</v>
      </c>
      <c r="P93" s="1">
        <v>8500</v>
      </c>
      <c r="Q93">
        <v>22</v>
      </c>
      <c r="R93" t="s">
        <v>454</v>
      </c>
      <c r="S93" s="1">
        <f>Tabla1[[#This Row],[OS-Valor Unitario]]-Tabla1[[#This Row],[costo_antes_iva]]</f>
        <v>1500</v>
      </c>
      <c r="T93" s="1">
        <f>Tabla1[[#This Row],[OS-Valor Unitario]]*Tabla1[[#This Row],[OS-Cantidad]]</f>
        <v>187000</v>
      </c>
      <c r="U93" s="1">
        <f>Tabla1[[#This Row],[costo_antes_iva]]*Tabla1[[#This Row],[OS-Cantidad]]</f>
        <v>154000</v>
      </c>
      <c r="V93" s="1">
        <f>Tabla1[[#This Row],[Valor total OS]]-Tabla1[[#This Row],[valor total op]]</f>
        <v>33000</v>
      </c>
      <c r="W93" s="1">
        <f>ROUNDDOWN(Tabla1[[#This Row],[Diferencia]]/200000,0)*200000</f>
        <v>0</v>
      </c>
    </row>
    <row r="94" spans="1:23" hidden="1" x14ac:dyDescent="0.3">
      <c r="A94">
        <v>6492</v>
      </c>
      <c r="B94">
        <v>9</v>
      </c>
      <c r="C94" t="s">
        <v>451</v>
      </c>
      <c r="D94">
        <v>22</v>
      </c>
      <c r="E94" t="s">
        <v>529</v>
      </c>
      <c r="F94" t="s">
        <v>452</v>
      </c>
      <c r="G94" t="s">
        <v>118</v>
      </c>
      <c r="H94" t="s">
        <v>317</v>
      </c>
      <c r="I94">
        <v>22</v>
      </c>
      <c r="J94">
        <v>77864602</v>
      </c>
      <c r="K94" s="2">
        <v>46020</v>
      </c>
      <c r="L94" s="1">
        <v>7000</v>
      </c>
      <c r="M94" t="s">
        <v>420</v>
      </c>
      <c r="N94" t="s">
        <v>51</v>
      </c>
      <c r="O94" t="s">
        <v>453</v>
      </c>
      <c r="P94" s="1">
        <v>8500</v>
      </c>
      <c r="Q94">
        <v>22</v>
      </c>
      <c r="R94" t="s">
        <v>454</v>
      </c>
      <c r="S94" s="1">
        <f>Tabla1[[#This Row],[OS-Valor Unitario]]-Tabla1[[#This Row],[costo_antes_iva]]</f>
        <v>1500</v>
      </c>
      <c r="T94" s="1">
        <f>Tabla1[[#This Row],[OS-Valor Unitario]]*Tabla1[[#This Row],[OS-Cantidad]]</f>
        <v>187000</v>
      </c>
      <c r="U94" s="1">
        <f>Tabla1[[#This Row],[costo_antes_iva]]*Tabla1[[#This Row],[OS-Cantidad]]</f>
        <v>154000</v>
      </c>
      <c r="V94" s="1">
        <f>Tabla1[[#This Row],[Valor total OS]]-Tabla1[[#This Row],[valor total op]]</f>
        <v>33000</v>
      </c>
      <c r="W94" s="1">
        <f>ROUNDDOWN(Tabla1[[#This Row],[Diferencia]]/200000,0)*200000</f>
        <v>0</v>
      </c>
    </row>
    <row r="95" spans="1:23" x14ac:dyDescent="0.3">
      <c r="A95">
        <v>6433</v>
      </c>
      <c r="B95">
        <v>9</v>
      </c>
      <c r="C95" t="s">
        <v>869</v>
      </c>
      <c r="D95">
        <v>9</v>
      </c>
      <c r="E95" t="s">
        <v>834</v>
      </c>
      <c r="F95" t="s">
        <v>870</v>
      </c>
      <c r="G95" t="s">
        <v>776</v>
      </c>
      <c r="H95" t="s">
        <v>166</v>
      </c>
      <c r="I95">
        <v>0</v>
      </c>
      <c r="J95">
        <v>76289809</v>
      </c>
      <c r="K95" s="2">
        <v>45988</v>
      </c>
      <c r="L95" s="1">
        <v>2000</v>
      </c>
      <c r="M95" t="s">
        <v>837</v>
      </c>
      <c r="N95" t="s">
        <v>51</v>
      </c>
      <c r="O95" t="s">
        <v>871</v>
      </c>
      <c r="P95" s="1">
        <v>5500</v>
      </c>
      <c r="Q95">
        <v>9</v>
      </c>
      <c r="R95" t="s">
        <v>872</v>
      </c>
      <c r="S95" s="1">
        <f>Tabla1[[#This Row],[OS-Valor Unitario]]-Tabla1[[#This Row],[costo_antes_iva]]</f>
        <v>3500</v>
      </c>
      <c r="T95" s="1">
        <f>Tabla1[[#This Row],[OS-Valor Unitario]]*Tabla1[[#This Row],[OS-Cantidad]]</f>
        <v>49500</v>
      </c>
      <c r="U95" s="1">
        <f>Tabla1[[#This Row],[costo_antes_iva]]*Tabla1[[#This Row],[OS-Cantidad]]</f>
        <v>18000</v>
      </c>
      <c r="V95" s="1">
        <f>Tabla1[[#This Row],[Valor total OS]]-Tabla1[[#This Row],[valor total op]]</f>
        <v>31500</v>
      </c>
      <c r="W95" s="1">
        <f>ROUNDDOWN(Tabla1[[#This Row],[Diferencia]]/200000,0)*200000</f>
        <v>0</v>
      </c>
    </row>
    <row r="96" spans="1:23" hidden="1" x14ac:dyDescent="0.3">
      <c r="A96">
        <v>6486</v>
      </c>
      <c r="B96">
        <v>10</v>
      </c>
      <c r="C96" t="s">
        <v>645</v>
      </c>
      <c r="D96">
        <v>60</v>
      </c>
      <c r="E96" t="s">
        <v>602</v>
      </c>
      <c r="F96" t="s">
        <v>646</v>
      </c>
      <c r="G96" t="s">
        <v>125</v>
      </c>
      <c r="H96" t="s">
        <v>166</v>
      </c>
      <c r="I96">
        <v>1</v>
      </c>
      <c r="J96">
        <v>77668073</v>
      </c>
      <c r="K96" s="2">
        <v>46014</v>
      </c>
      <c r="L96" s="1">
        <v>4500</v>
      </c>
      <c r="M96" t="s">
        <v>604</v>
      </c>
      <c r="N96" t="s">
        <v>51</v>
      </c>
      <c r="O96" t="s">
        <v>647</v>
      </c>
      <c r="P96" s="1">
        <v>5000</v>
      </c>
      <c r="Q96">
        <v>60</v>
      </c>
      <c r="R96" t="s">
        <v>648</v>
      </c>
      <c r="S96" s="1">
        <f>Tabla1[[#This Row],[OS-Valor Unitario]]-Tabla1[[#This Row],[costo_antes_iva]]</f>
        <v>500</v>
      </c>
      <c r="T96" s="1">
        <f>Tabla1[[#This Row],[OS-Valor Unitario]]*Tabla1[[#This Row],[OS-Cantidad]]</f>
        <v>300000</v>
      </c>
      <c r="U96" s="1">
        <f>Tabla1[[#This Row],[costo_antes_iva]]*Tabla1[[#This Row],[OS-Cantidad]]</f>
        <v>270000</v>
      </c>
      <c r="V96" s="1">
        <f>Tabla1[[#This Row],[Valor total OS]]-Tabla1[[#This Row],[valor total op]]</f>
        <v>30000</v>
      </c>
      <c r="W96" s="1">
        <f>ROUNDDOWN(Tabla1[[#This Row],[Diferencia]]/200000,0)*200000</f>
        <v>0</v>
      </c>
    </row>
    <row r="97" spans="1:23" hidden="1" x14ac:dyDescent="0.3">
      <c r="A97">
        <v>6486</v>
      </c>
      <c r="B97">
        <v>6</v>
      </c>
      <c r="C97" t="s">
        <v>626</v>
      </c>
      <c r="D97">
        <v>50</v>
      </c>
      <c r="E97" t="s">
        <v>602</v>
      </c>
      <c r="F97" t="s">
        <v>627</v>
      </c>
      <c r="G97" t="s">
        <v>336</v>
      </c>
      <c r="H97" t="s">
        <v>166</v>
      </c>
      <c r="I97">
        <v>1</v>
      </c>
      <c r="J97">
        <v>77668029</v>
      </c>
      <c r="K97" s="2">
        <v>46014</v>
      </c>
      <c r="L97" s="1">
        <v>1800</v>
      </c>
      <c r="M97" t="s">
        <v>604</v>
      </c>
      <c r="N97" t="s">
        <v>24</v>
      </c>
      <c r="O97" t="s">
        <v>628</v>
      </c>
      <c r="P97" s="1">
        <v>2400</v>
      </c>
      <c r="Q97">
        <v>50</v>
      </c>
      <c r="R97" t="s">
        <v>630</v>
      </c>
      <c r="S97" s="1">
        <f>Tabla1[[#This Row],[OS-Valor Unitario]]-Tabla1[[#This Row],[costo_antes_iva]]</f>
        <v>600</v>
      </c>
      <c r="T97" s="1">
        <f>Tabla1[[#This Row],[OS-Valor Unitario]]*Tabla1[[#This Row],[OS-Cantidad]]</f>
        <v>120000</v>
      </c>
      <c r="U97" s="1">
        <f>Tabla1[[#This Row],[costo_antes_iva]]*Tabla1[[#This Row],[OS-Cantidad]]</f>
        <v>90000</v>
      </c>
      <c r="V97" s="1">
        <f>Tabla1[[#This Row],[Valor total OS]]-Tabla1[[#This Row],[valor total op]]</f>
        <v>30000</v>
      </c>
      <c r="W97" s="1">
        <f>ROUNDDOWN(Tabla1[[#This Row],[Diferencia]]/200000,0)*200000</f>
        <v>0</v>
      </c>
    </row>
    <row r="98" spans="1:23" hidden="1" x14ac:dyDescent="0.3">
      <c r="A98">
        <v>6524</v>
      </c>
      <c r="B98">
        <v>2</v>
      </c>
      <c r="C98" t="s">
        <v>329</v>
      </c>
      <c r="D98">
        <v>30</v>
      </c>
      <c r="E98" t="s">
        <v>323</v>
      </c>
      <c r="F98" t="s">
        <v>330</v>
      </c>
      <c r="G98" t="s">
        <v>268</v>
      </c>
      <c r="H98" t="s">
        <v>166</v>
      </c>
      <c r="I98">
        <v>30</v>
      </c>
      <c r="J98">
        <v>78935758</v>
      </c>
      <c r="K98" s="2">
        <v>46045</v>
      </c>
      <c r="L98" s="1">
        <v>4500</v>
      </c>
      <c r="M98" t="s">
        <v>326</v>
      </c>
      <c r="N98" t="s">
        <v>51</v>
      </c>
      <c r="O98" t="s">
        <v>331</v>
      </c>
      <c r="P98" s="1">
        <v>5500</v>
      </c>
      <c r="Q98">
        <v>30</v>
      </c>
      <c r="R98" t="s">
        <v>332</v>
      </c>
      <c r="S98" s="1">
        <f>Tabla1[[#This Row],[OS-Valor Unitario]]-Tabla1[[#This Row],[costo_antes_iva]]</f>
        <v>1000</v>
      </c>
      <c r="T98" s="1">
        <f>Tabla1[[#This Row],[OS-Valor Unitario]]*Tabla1[[#This Row],[OS-Cantidad]]</f>
        <v>165000</v>
      </c>
      <c r="U98" s="1">
        <f>Tabla1[[#This Row],[costo_antes_iva]]*Tabla1[[#This Row],[OS-Cantidad]]</f>
        <v>135000</v>
      </c>
      <c r="V98" s="1">
        <f>Tabla1[[#This Row],[Valor total OS]]-Tabla1[[#This Row],[valor total op]]</f>
        <v>30000</v>
      </c>
      <c r="W98" s="1">
        <f>ROUNDDOWN(Tabla1[[#This Row],[Diferencia]]/200000,0)*200000</f>
        <v>0</v>
      </c>
    </row>
    <row r="99" spans="1:23" hidden="1" x14ac:dyDescent="0.3">
      <c r="A99">
        <v>6433</v>
      </c>
      <c r="B99">
        <v>3</v>
      </c>
      <c r="C99" t="s">
        <v>844</v>
      </c>
      <c r="D99">
        <v>18</v>
      </c>
      <c r="E99" t="s">
        <v>834</v>
      </c>
      <c r="F99" t="s">
        <v>845</v>
      </c>
      <c r="G99" t="s">
        <v>747</v>
      </c>
      <c r="H99" t="s">
        <v>166</v>
      </c>
      <c r="I99">
        <v>0</v>
      </c>
      <c r="J99">
        <v>76289370</v>
      </c>
      <c r="K99" s="2">
        <v>45988</v>
      </c>
      <c r="L99" s="1">
        <v>7000</v>
      </c>
      <c r="M99" t="s">
        <v>837</v>
      </c>
      <c r="N99" t="s">
        <v>51</v>
      </c>
      <c r="O99" t="s">
        <v>846</v>
      </c>
      <c r="P99" s="1">
        <v>8500</v>
      </c>
      <c r="Q99">
        <v>18</v>
      </c>
      <c r="R99" t="s">
        <v>847</v>
      </c>
      <c r="S99" s="1">
        <f>Tabla1[[#This Row],[OS-Valor Unitario]]-Tabla1[[#This Row],[costo_antes_iva]]</f>
        <v>1500</v>
      </c>
      <c r="T99" s="1">
        <f>Tabla1[[#This Row],[OS-Valor Unitario]]*Tabla1[[#This Row],[OS-Cantidad]]</f>
        <v>153000</v>
      </c>
      <c r="U99" s="1">
        <f>Tabla1[[#This Row],[costo_antes_iva]]*Tabla1[[#This Row],[OS-Cantidad]]</f>
        <v>126000</v>
      </c>
      <c r="V99" s="1">
        <f>Tabla1[[#This Row],[Valor total OS]]-Tabla1[[#This Row],[valor total op]]</f>
        <v>27000</v>
      </c>
      <c r="W99" s="1">
        <f>ROUNDDOWN(Tabla1[[#This Row],[Diferencia]]/200000,0)*200000</f>
        <v>0</v>
      </c>
    </row>
    <row r="100" spans="1:23" hidden="1" x14ac:dyDescent="0.3">
      <c r="A100">
        <v>6492</v>
      </c>
      <c r="B100">
        <v>17</v>
      </c>
      <c r="C100" t="s">
        <v>491</v>
      </c>
      <c r="D100">
        <v>12</v>
      </c>
      <c r="E100" t="s">
        <v>418</v>
      </c>
      <c r="F100" t="s">
        <v>492</v>
      </c>
      <c r="G100" t="s">
        <v>474</v>
      </c>
      <c r="H100" t="s">
        <v>317</v>
      </c>
      <c r="I100">
        <v>12</v>
      </c>
      <c r="J100">
        <v>77863990</v>
      </c>
      <c r="K100" s="2">
        <v>46020</v>
      </c>
      <c r="L100" s="1">
        <v>800</v>
      </c>
      <c r="M100" t="s">
        <v>493</v>
      </c>
      <c r="N100" t="s">
        <v>65</v>
      </c>
      <c r="O100" t="s">
        <v>494</v>
      </c>
      <c r="P100" s="1">
        <v>1900</v>
      </c>
      <c r="Q100">
        <v>24</v>
      </c>
      <c r="R100" t="s">
        <v>495</v>
      </c>
      <c r="S100" s="1">
        <f>Tabla1[[#This Row],[OS-Valor Unitario]]-Tabla1[[#This Row],[costo_antes_iva]]</f>
        <v>1100</v>
      </c>
      <c r="T100" s="1">
        <f>Tabla1[[#This Row],[OS-Valor Unitario]]*Tabla1[[#This Row],[OS-Cantidad]]</f>
        <v>45600</v>
      </c>
      <c r="U100" s="1">
        <f>Tabla1[[#This Row],[costo_antes_iva]]*Tabla1[[#This Row],[OS-Cantidad]]</f>
        <v>19200</v>
      </c>
      <c r="V100" s="1">
        <f>Tabla1[[#This Row],[Valor total OS]]-Tabla1[[#This Row],[valor total op]]</f>
        <v>26400</v>
      </c>
      <c r="W100" s="1">
        <f>ROUNDDOWN(Tabla1[[#This Row],[Diferencia]]/200000,0)*200000</f>
        <v>0</v>
      </c>
    </row>
    <row r="101" spans="1:23" hidden="1" x14ac:dyDescent="0.3">
      <c r="A101">
        <v>6492</v>
      </c>
      <c r="B101">
        <v>17</v>
      </c>
      <c r="C101" t="s">
        <v>491</v>
      </c>
      <c r="D101">
        <v>12</v>
      </c>
      <c r="E101" t="s">
        <v>529</v>
      </c>
      <c r="F101" t="s">
        <v>492</v>
      </c>
      <c r="G101" t="s">
        <v>474</v>
      </c>
      <c r="H101" t="s">
        <v>317</v>
      </c>
      <c r="I101">
        <v>12</v>
      </c>
      <c r="J101">
        <v>77863990</v>
      </c>
      <c r="K101" s="2">
        <v>46020</v>
      </c>
      <c r="L101" s="1">
        <v>800</v>
      </c>
      <c r="M101" t="s">
        <v>493</v>
      </c>
      <c r="N101" t="s">
        <v>65</v>
      </c>
      <c r="O101" t="s">
        <v>494</v>
      </c>
      <c r="P101" s="1">
        <v>1900</v>
      </c>
      <c r="Q101">
        <v>24</v>
      </c>
      <c r="R101" t="s">
        <v>495</v>
      </c>
      <c r="S101" s="1">
        <f>Tabla1[[#This Row],[OS-Valor Unitario]]-Tabla1[[#This Row],[costo_antes_iva]]</f>
        <v>1100</v>
      </c>
      <c r="T101" s="1">
        <f>Tabla1[[#This Row],[OS-Valor Unitario]]*Tabla1[[#This Row],[OS-Cantidad]]</f>
        <v>45600</v>
      </c>
      <c r="U101" s="1">
        <f>Tabla1[[#This Row],[costo_antes_iva]]*Tabla1[[#This Row],[OS-Cantidad]]</f>
        <v>19200</v>
      </c>
      <c r="V101" s="1">
        <f>Tabla1[[#This Row],[Valor total OS]]-Tabla1[[#This Row],[valor total op]]</f>
        <v>26400</v>
      </c>
      <c r="W101" s="1">
        <f>ROUNDDOWN(Tabla1[[#This Row],[Diferencia]]/200000,0)*200000</f>
        <v>0</v>
      </c>
    </row>
    <row r="102" spans="1:23" hidden="1" x14ac:dyDescent="0.3">
      <c r="A102">
        <v>6492</v>
      </c>
      <c r="B102">
        <v>8</v>
      </c>
      <c r="C102" t="s">
        <v>445</v>
      </c>
      <c r="D102">
        <v>50</v>
      </c>
      <c r="E102" t="s">
        <v>418</v>
      </c>
      <c r="F102" t="s">
        <v>446</v>
      </c>
      <c r="G102" t="s">
        <v>447</v>
      </c>
      <c r="H102" t="s">
        <v>317</v>
      </c>
      <c r="I102">
        <v>50</v>
      </c>
      <c r="J102">
        <v>77864591</v>
      </c>
      <c r="K102" s="2">
        <v>46020</v>
      </c>
      <c r="L102" s="1">
        <v>11500</v>
      </c>
      <c r="M102" t="s">
        <v>420</v>
      </c>
      <c r="N102" t="s">
        <v>51</v>
      </c>
      <c r="O102" t="s">
        <v>448</v>
      </c>
      <c r="P102" s="1">
        <v>12000</v>
      </c>
      <c r="Q102">
        <v>51</v>
      </c>
      <c r="R102" t="s">
        <v>450</v>
      </c>
      <c r="S102" s="1">
        <f>Tabla1[[#This Row],[OS-Valor Unitario]]-Tabla1[[#This Row],[costo_antes_iva]]</f>
        <v>500</v>
      </c>
      <c r="T102" s="1">
        <f>Tabla1[[#This Row],[OS-Valor Unitario]]*Tabla1[[#This Row],[OS-Cantidad]]</f>
        <v>612000</v>
      </c>
      <c r="U102" s="1">
        <f>Tabla1[[#This Row],[costo_antes_iva]]*Tabla1[[#This Row],[OS-Cantidad]]</f>
        <v>586500</v>
      </c>
      <c r="V102" s="1">
        <f>Tabla1[[#This Row],[Valor total OS]]-Tabla1[[#This Row],[valor total op]]</f>
        <v>25500</v>
      </c>
      <c r="W102" s="1">
        <f>ROUNDDOWN(Tabla1[[#This Row],[Diferencia]]/200000,0)*200000</f>
        <v>0</v>
      </c>
    </row>
    <row r="103" spans="1:23" hidden="1" x14ac:dyDescent="0.3">
      <c r="A103">
        <v>6492</v>
      </c>
      <c r="B103">
        <v>8</v>
      </c>
      <c r="C103" t="s">
        <v>445</v>
      </c>
      <c r="D103">
        <v>50</v>
      </c>
      <c r="E103" t="s">
        <v>529</v>
      </c>
      <c r="F103" t="s">
        <v>446</v>
      </c>
      <c r="G103" t="s">
        <v>447</v>
      </c>
      <c r="H103" t="s">
        <v>317</v>
      </c>
      <c r="I103">
        <v>50</v>
      </c>
      <c r="J103">
        <v>77864591</v>
      </c>
      <c r="K103" s="2">
        <v>46020</v>
      </c>
      <c r="L103" s="1">
        <v>11500</v>
      </c>
      <c r="M103" t="s">
        <v>420</v>
      </c>
      <c r="N103" t="s">
        <v>51</v>
      </c>
      <c r="O103" t="s">
        <v>448</v>
      </c>
      <c r="P103" s="1">
        <v>12000</v>
      </c>
      <c r="Q103">
        <v>51</v>
      </c>
      <c r="R103" t="s">
        <v>450</v>
      </c>
      <c r="S103" s="1">
        <f>Tabla1[[#This Row],[OS-Valor Unitario]]-Tabla1[[#This Row],[costo_antes_iva]]</f>
        <v>500</v>
      </c>
      <c r="T103" s="1">
        <f>Tabla1[[#This Row],[OS-Valor Unitario]]*Tabla1[[#This Row],[OS-Cantidad]]</f>
        <v>612000</v>
      </c>
      <c r="U103" s="1">
        <f>Tabla1[[#This Row],[costo_antes_iva]]*Tabla1[[#This Row],[OS-Cantidad]]</f>
        <v>586500</v>
      </c>
      <c r="V103" s="1">
        <f>Tabla1[[#This Row],[Valor total OS]]-Tabla1[[#This Row],[valor total op]]</f>
        <v>25500</v>
      </c>
      <c r="W103" s="1">
        <f>ROUNDDOWN(Tabla1[[#This Row],[Diferencia]]/200000,0)*200000</f>
        <v>0</v>
      </c>
    </row>
    <row r="104" spans="1:23" hidden="1" x14ac:dyDescent="0.3">
      <c r="A104">
        <v>6487</v>
      </c>
      <c r="B104">
        <v>1</v>
      </c>
      <c r="C104" t="s">
        <v>558</v>
      </c>
      <c r="D104">
        <v>50</v>
      </c>
      <c r="E104" t="s">
        <v>559</v>
      </c>
      <c r="F104" t="s">
        <v>560</v>
      </c>
      <c r="G104" t="s">
        <v>1376</v>
      </c>
      <c r="H104" t="s">
        <v>166</v>
      </c>
      <c r="I104">
        <v>1</v>
      </c>
      <c r="J104">
        <v>77670324</v>
      </c>
      <c r="K104" s="2">
        <v>46014</v>
      </c>
      <c r="L104" s="1">
        <v>4500</v>
      </c>
      <c r="M104" t="s">
        <v>561</v>
      </c>
      <c r="N104" t="s">
        <v>51</v>
      </c>
      <c r="O104" t="s">
        <v>562</v>
      </c>
      <c r="P104" s="1">
        <v>5000</v>
      </c>
      <c r="Q104">
        <v>50</v>
      </c>
      <c r="R104" t="s">
        <v>563</v>
      </c>
      <c r="S104" s="1">
        <f>Tabla1[[#This Row],[OS-Valor Unitario]]-Tabla1[[#This Row],[costo_antes_iva]]</f>
        <v>500</v>
      </c>
      <c r="T104" s="1">
        <f>Tabla1[[#This Row],[OS-Valor Unitario]]*Tabla1[[#This Row],[OS-Cantidad]]</f>
        <v>250000</v>
      </c>
      <c r="U104" s="1">
        <f>Tabla1[[#This Row],[costo_antes_iva]]*Tabla1[[#This Row],[OS-Cantidad]]</f>
        <v>225000</v>
      </c>
      <c r="V104" s="1">
        <f>Tabla1[[#This Row],[Valor total OS]]-Tabla1[[#This Row],[valor total op]]</f>
        <v>25000</v>
      </c>
      <c r="W104" s="1">
        <f>ROUNDDOWN(Tabla1[[#This Row],[Diferencia]]/200000,0)*200000</f>
        <v>0</v>
      </c>
    </row>
    <row r="105" spans="1:23" hidden="1" x14ac:dyDescent="0.3">
      <c r="A105">
        <v>6486</v>
      </c>
      <c r="B105">
        <v>6</v>
      </c>
      <c r="C105" t="s">
        <v>626</v>
      </c>
      <c r="D105">
        <v>50</v>
      </c>
      <c r="E105" t="s">
        <v>602</v>
      </c>
      <c r="F105" t="s">
        <v>627</v>
      </c>
      <c r="G105" t="s">
        <v>336</v>
      </c>
      <c r="H105" t="s">
        <v>166</v>
      </c>
      <c r="I105">
        <v>1</v>
      </c>
      <c r="J105">
        <v>77668029</v>
      </c>
      <c r="K105" s="2">
        <v>46014</v>
      </c>
      <c r="L105" s="1">
        <v>2500</v>
      </c>
      <c r="M105" t="s">
        <v>604</v>
      </c>
      <c r="N105" t="s">
        <v>51</v>
      </c>
      <c r="O105" t="s">
        <v>628</v>
      </c>
      <c r="P105" s="1">
        <v>3000</v>
      </c>
      <c r="Q105">
        <v>50</v>
      </c>
      <c r="R105" t="s">
        <v>629</v>
      </c>
      <c r="S105" s="1">
        <f>Tabla1[[#This Row],[OS-Valor Unitario]]-Tabla1[[#This Row],[costo_antes_iva]]</f>
        <v>500</v>
      </c>
      <c r="T105" s="1">
        <f>Tabla1[[#This Row],[OS-Valor Unitario]]*Tabla1[[#This Row],[OS-Cantidad]]</f>
        <v>150000</v>
      </c>
      <c r="U105" s="1">
        <f>Tabla1[[#This Row],[costo_antes_iva]]*Tabla1[[#This Row],[OS-Cantidad]]</f>
        <v>125000</v>
      </c>
      <c r="V105" s="1">
        <f>Tabla1[[#This Row],[Valor total OS]]-Tabla1[[#This Row],[valor total op]]</f>
        <v>25000</v>
      </c>
      <c r="W105" s="1">
        <f>ROUNDDOWN(Tabla1[[#This Row],[Diferencia]]/200000,0)*200000</f>
        <v>0</v>
      </c>
    </row>
    <row r="106" spans="1:23" hidden="1" x14ac:dyDescent="0.3">
      <c r="A106">
        <v>6485</v>
      </c>
      <c r="B106">
        <v>2</v>
      </c>
      <c r="C106" t="s">
        <v>656</v>
      </c>
      <c r="D106">
        <v>30</v>
      </c>
      <c r="E106" t="s">
        <v>650</v>
      </c>
      <c r="F106" t="s">
        <v>657</v>
      </c>
      <c r="G106" t="s">
        <v>118</v>
      </c>
      <c r="H106" t="s">
        <v>166</v>
      </c>
      <c r="I106">
        <v>1</v>
      </c>
      <c r="J106">
        <v>77662382</v>
      </c>
      <c r="K106" s="2">
        <v>46014</v>
      </c>
      <c r="L106" s="1">
        <v>1600</v>
      </c>
      <c r="M106" t="s">
        <v>652</v>
      </c>
      <c r="N106" t="s">
        <v>24</v>
      </c>
      <c r="O106" t="s">
        <v>658</v>
      </c>
      <c r="P106" s="1">
        <v>2400</v>
      </c>
      <c r="Q106">
        <v>30</v>
      </c>
      <c r="R106" t="s">
        <v>659</v>
      </c>
      <c r="S106" s="1">
        <f>Tabla1[[#This Row],[OS-Valor Unitario]]-Tabla1[[#This Row],[costo_antes_iva]]</f>
        <v>800</v>
      </c>
      <c r="T106" s="1">
        <f>Tabla1[[#This Row],[OS-Valor Unitario]]*Tabla1[[#This Row],[OS-Cantidad]]</f>
        <v>72000</v>
      </c>
      <c r="U106" s="1">
        <f>Tabla1[[#This Row],[costo_antes_iva]]*Tabla1[[#This Row],[OS-Cantidad]]</f>
        <v>48000</v>
      </c>
      <c r="V106" s="1">
        <f>Tabla1[[#This Row],[Valor total OS]]-Tabla1[[#This Row],[valor total op]]</f>
        <v>24000</v>
      </c>
      <c r="W106" s="1">
        <f>ROUNDDOWN(Tabla1[[#This Row],[Diferencia]]/200000,0)*200000</f>
        <v>0</v>
      </c>
    </row>
    <row r="107" spans="1:23" hidden="1" x14ac:dyDescent="0.3">
      <c r="A107">
        <v>6485</v>
      </c>
      <c r="B107">
        <v>2</v>
      </c>
      <c r="C107" t="s">
        <v>656</v>
      </c>
      <c r="D107">
        <v>30</v>
      </c>
      <c r="E107" t="s">
        <v>650</v>
      </c>
      <c r="F107" t="s">
        <v>657</v>
      </c>
      <c r="G107" t="s">
        <v>118</v>
      </c>
      <c r="H107" t="s">
        <v>166</v>
      </c>
      <c r="I107">
        <v>1</v>
      </c>
      <c r="J107">
        <v>77662637</v>
      </c>
      <c r="K107" s="2">
        <v>46014</v>
      </c>
      <c r="L107" s="1">
        <v>1600</v>
      </c>
      <c r="M107" t="s">
        <v>655</v>
      </c>
      <c r="N107" t="s">
        <v>24</v>
      </c>
      <c r="O107" t="s">
        <v>658</v>
      </c>
      <c r="P107" s="1">
        <v>2400</v>
      </c>
      <c r="Q107">
        <v>30</v>
      </c>
      <c r="R107" t="s">
        <v>659</v>
      </c>
      <c r="S107" s="1">
        <f>Tabla1[[#This Row],[OS-Valor Unitario]]-Tabla1[[#This Row],[costo_antes_iva]]</f>
        <v>800</v>
      </c>
      <c r="T107" s="1">
        <f>Tabla1[[#This Row],[OS-Valor Unitario]]*Tabla1[[#This Row],[OS-Cantidad]]</f>
        <v>72000</v>
      </c>
      <c r="U107" s="1">
        <f>Tabla1[[#This Row],[costo_antes_iva]]*Tabla1[[#This Row],[OS-Cantidad]]</f>
        <v>48000</v>
      </c>
      <c r="V107" s="1">
        <f>Tabla1[[#This Row],[Valor total OS]]-Tabla1[[#This Row],[valor total op]]</f>
        <v>24000</v>
      </c>
      <c r="W107" s="1">
        <f>ROUNDDOWN(Tabla1[[#This Row],[Diferencia]]/200000,0)*200000</f>
        <v>0</v>
      </c>
    </row>
    <row r="108" spans="1:23" hidden="1" x14ac:dyDescent="0.3">
      <c r="A108">
        <v>6486</v>
      </c>
      <c r="B108">
        <v>2</v>
      </c>
      <c r="C108" t="s">
        <v>608</v>
      </c>
      <c r="D108">
        <v>15</v>
      </c>
      <c r="E108" t="s">
        <v>602</v>
      </c>
      <c r="F108" t="s">
        <v>609</v>
      </c>
      <c r="G108" t="s">
        <v>1376</v>
      </c>
      <c r="H108" t="s">
        <v>166</v>
      </c>
      <c r="I108">
        <v>1</v>
      </c>
      <c r="J108">
        <v>77667982</v>
      </c>
      <c r="K108" s="2">
        <v>46014</v>
      </c>
      <c r="L108" s="1">
        <v>1600</v>
      </c>
      <c r="M108" t="s">
        <v>604</v>
      </c>
      <c r="N108" t="s">
        <v>24</v>
      </c>
      <c r="O108" t="s">
        <v>610</v>
      </c>
      <c r="P108" s="1">
        <v>3200</v>
      </c>
      <c r="Q108">
        <v>15</v>
      </c>
      <c r="R108" t="s">
        <v>612</v>
      </c>
      <c r="S108" s="1">
        <f>Tabla1[[#This Row],[OS-Valor Unitario]]-Tabla1[[#This Row],[costo_antes_iva]]</f>
        <v>1600</v>
      </c>
      <c r="T108" s="1">
        <f>Tabla1[[#This Row],[OS-Valor Unitario]]*Tabla1[[#This Row],[OS-Cantidad]]</f>
        <v>48000</v>
      </c>
      <c r="U108" s="1">
        <f>Tabla1[[#This Row],[costo_antes_iva]]*Tabla1[[#This Row],[OS-Cantidad]]</f>
        <v>24000</v>
      </c>
      <c r="V108" s="1">
        <f>Tabla1[[#This Row],[Valor total OS]]-Tabla1[[#This Row],[valor total op]]</f>
        <v>24000</v>
      </c>
      <c r="W108" s="1">
        <f>ROUNDDOWN(Tabla1[[#This Row],[Diferencia]]/200000,0)*200000</f>
        <v>0</v>
      </c>
    </row>
    <row r="109" spans="1:23" hidden="1" x14ac:dyDescent="0.3">
      <c r="A109">
        <v>6379</v>
      </c>
      <c r="B109">
        <v>5</v>
      </c>
      <c r="C109" t="s">
        <v>1119</v>
      </c>
      <c r="D109">
        <v>44</v>
      </c>
      <c r="E109" t="s">
        <v>1095</v>
      </c>
      <c r="F109" t="s">
        <v>1108</v>
      </c>
      <c r="G109" t="s">
        <v>1376</v>
      </c>
      <c r="H109" t="s">
        <v>1097</v>
      </c>
      <c r="I109">
        <v>44</v>
      </c>
      <c r="J109">
        <v>74473763</v>
      </c>
      <c r="K109" s="2">
        <v>45958</v>
      </c>
      <c r="L109" s="1">
        <v>4500</v>
      </c>
      <c r="M109" t="s">
        <v>1098</v>
      </c>
      <c r="N109" t="s">
        <v>51</v>
      </c>
      <c r="O109" t="s">
        <v>1120</v>
      </c>
      <c r="P109" s="1">
        <v>5000</v>
      </c>
      <c r="Q109">
        <v>44</v>
      </c>
      <c r="R109" t="s">
        <v>1122</v>
      </c>
      <c r="S109" s="1">
        <f>Tabla1[[#This Row],[OS-Valor Unitario]]-Tabla1[[#This Row],[costo_antes_iva]]</f>
        <v>500</v>
      </c>
      <c r="T109" s="1">
        <f>Tabla1[[#This Row],[OS-Valor Unitario]]*Tabla1[[#This Row],[OS-Cantidad]]</f>
        <v>220000</v>
      </c>
      <c r="U109" s="1">
        <f>Tabla1[[#This Row],[costo_antes_iva]]*Tabla1[[#This Row],[OS-Cantidad]]</f>
        <v>198000</v>
      </c>
      <c r="V109" s="1">
        <f>Tabla1[[#This Row],[Valor total OS]]-Tabla1[[#This Row],[valor total op]]</f>
        <v>22000</v>
      </c>
      <c r="W109" s="1">
        <f>ROUNDDOWN(Tabla1[[#This Row],[Diferencia]]/200000,0)*200000</f>
        <v>0</v>
      </c>
    </row>
    <row r="110" spans="1:23" hidden="1" x14ac:dyDescent="0.3">
      <c r="A110">
        <v>6371</v>
      </c>
      <c r="B110">
        <v>3</v>
      </c>
      <c r="C110" t="s">
        <v>1286</v>
      </c>
      <c r="D110">
        <v>12</v>
      </c>
      <c r="E110" t="s">
        <v>1276</v>
      </c>
      <c r="F110" t="s">
        <v>1287</v>
      </c>
      <c r="G110" t="s">
        <v>474</v>
      </c>
      <c r="H110" t="s">
        <v>317</v>
      </c>
      <c r="I110">
        <v>12</v>
      </c>
      <c r="J110">
        <v>74212941</v>
      </c>
      <c r="K110" s="2">
        <v>45953</v>
      </c>
      <c r="L110" s="1">
        <v>11200</v>
      </c>
      <c r="M110" t="s">
        <v>1288</v>
      </c>
      <c r="N110" t="s">
        <v>51</v>
      </c>
      <c r="O110" t="s">
        <v>1289</v>
      </c>
      <c r="P110" s="1">
        <v>13000</v>
      </c>
      <c r="Q110">
        <v>12</v>
      </c>
      <c r="R110" t="s">
        <v>1290</v>
      </c>
      <c r="S110" s="1">
        <f>Tabla1[[#This Row],[OS-Valor Unitario]]-Tabla1[[#This Row],[costo_antes_iva]]</f>
        <v>1800</v>
      </c>
      <c r="T110" s="1">
        <f>Tabla1[[#This Row],[OS-Valor Unitario]]*Tabla1[[#This Row],[OS-Cantidad]]</f>
        <v>156000</v>
      </c>
      <c r="U110" s="1">
        <f>Tabla1[[#This Row],[costo_antes_iva]]*Tabla1[[#This Row],[OS-Cantidad]]</f>
        <v>134400</v>
      </c>
      <c r="V110" s="1">
        <f>Tabla1[[#This Row],[Valor total OS]]-Tabla1[[#This Row],[valor total op]]</f>
        <v>21600</v>
      </c>
      <c r="W110" s="1">
        <f>ROUNDDOWN(Tabla1[[#This Row],[Diferencia]]/200000,0)*200000</f>
        <v>0</v>
      </c>
    </row>
    <row r="111" spans="1:23" hidden="1" x14ac:dyDescent="0.3">
      <c r="A111">
        <v>6484</v>
      </c>
      <c r="B111">
        <v>5</v>
      </c>
      <c r="C111" t="s">
        <v>729</v>
      </c>
      <c r="D111">
        <v>12</v>
      </c>
      <c r="E111" t="s">
        <v>708</v>
      </c>
      <c r="F111" t="s">
        <v>730</v>
      </c>
      <c r="G111" t="s">
        <v>731</v>
      </c>
      <c r="H111" t="s">
        <v>166</v>
      </c>
      <c r="I111">
        <v>1</v>
      </c>
      <c r="J111">
        <v>77658407</v>
      </c>
      <c r="K111" s="2">
        <v>46014</v>
      </c>
      <c r="L111" s="1">
        <v>12000</v>
      </c>
      <c r="M111" t="s">
        <v>710</v>
      </c>
      <c r="N111" t="s">
        <v>51</v>
      </c>
      <c r="O111" t="s">
        <v>732</v>
      </c>
      <c r="P111" s="1">
        <v>13500</v>
      </c>
      <c r="Q111">
        <v>14</v>
      </c>
      <c r="R111" t="s">
        <v>733</v>
      </c>
      <c r="S111" s="1">
        <f>Tabla1[[#This Row],[OS-Valor Unitario]]-Tabla1[[#This Row],[costo_antes_iva]]</f>
        <v>1500</v>
      </c>
      <c r="T111" s="1">
        <f>Tabla1[[#This Row],[OS-Valor Unitario]]*Tabla1[[#This Row],[OS-Cantidad]]</f>
        <v>189000</v>
      </c>
      <c r="U111" s="1">
        <f>Tabla1[[#This Row],[costo_antes_iva]]*Tabla1[[#This Row],[OS-Cantidad]]</f>
        <v>168000</v>
      </c>
      <c r="V111" s="1">
        <f>Tabla1[[#This Row],[Valor total OS]]-Tabla1[[#This Row],[valor total op]]</f>
        <v>21000</v>
      </c>
      <c r="W111" s="1">
        <f>ROUNDDOWN(Tabla1[[#This Row],[Diferencia]]/200000,0)*200000</f>
        <v>0</v>
      </c>
    </row>
    <row r="112" spans="1:23" hidden="1" x14ac:dyDescent="0.3">
      <c r="A112">
        <v>6611</v>
      </c>
      <c r="B112">
        <v>1</v>
      </c>
      <c r="C112" t="s">
        <v>154</v>
      </c>
      <c r="D112">
        <v>104</v>
      </c>
      <c r="E112" t="s">
        <v>155</v>
      </c>
      <c r="F112" t="s">
        <v>156</v>
      </c>
      <c r="G112" t="s">
        <v>1376</v>
      </c>
      <c r="H112" t="s">
        <v>157</v>
      </c>
      <c r="I112">
        <v>104</v>
      </c>
      <c r="J112">
        <v>80555323</v>
      </c>
      <c r="K112" s="2">
        <v>46076</v>
      </c>
      <c r="L112" s="1">
        <v>1200</v>
      </c>
      <c r="M112" t="s">
        <v>158</v>
      </c>
      <c r="N112" t="s">
        <v>24</v>
      </c>
      <c r="O112" t="s">
        <v>159</v>
      </c>
      <c r="P112" s="1">
        <v>1400</v>
      </c>
      <c r="Q112">
        <v>104</v>
      </c>
      <c r="R112" t="s">
        <v>161</v>
      </c>
      <c r="S112" s="1">
        <f>Tabla1[[#This Row],[OS-Valor Unitario]]-Tabla1[[#This Row],[costo_antes_iva]]</f>
        <v>200</v>
      </c>
      <c r="T112" s="1">
        <f>Tabla1[[#This Row],[OS-Valor Unitario]]*Tabla1[[#This Row],[OS-Cantidad]]</f>
        <v>145600</v>
      </c>
      <c r="U112" s="1">
        <f>Tabla1[[#This Row],[costo_antes_iva]]*Tabla1[[#This Row],[OS-Cantidad]]</f>
        <v>124800</v>
      </c>
      <c r="V112" s="1">
        <f>Tabla1[[#This Row],[Valor total OS]]-Tabla1[[#This Row],[valor total op]]</f>
        <v>20800</v>
      </c>
      <c r="W112" s="1">
        <f>ROUNDDOWN(Tabla1[[#This Row],[Diferencia]]/200000,0)*200000</f>
        <v>0</v>
      </c>
    </row>
    <row r="113" spans="1:23" hidden="1" x14ac:dyDescent="0.3">
      <c r="A113">
        <v>6487</v>
      </c>
      <c r="B113">
        <v>2</v>
      </c>
      <c r="C113" t="s">
        <v>564</v>
      </c>
      <c r="D113">
        <v>40</v>
      </c>
      <c r="E113" t="s">
        <v>559</v>
      </c>
      <c r="F113" t="s">
        <v>565</v>
      </c>
      <c r="G113" t="s">
        <v>1376</v>
      </c>
      <c r="H113" t="s">
        <v>166</v>
      </c>
      <c r="I113">
        <v>1</v>
      </c>
      <c r="J113">
        <v>77670332</v>
      </c>
      <c r="K113" s="2">
        <v>46014</v>
      </c>
      <c r="L113" s="1">
        <v>4500</v>
      </c>
      <c r="M113" t="s">
        <v>561</v>
      </c>
      <c r="N113" t="s">
        <v>51</v>
      </c>
      <c r="O113" t="s">
        <v>566</v>
      </c>
      <c r="P113" s="1">
        <v>5000</v>
      </c>
      <c r="Q113">
        <v>40</v>
      </c>
      <c r="R113" t="s">
        <v>567</v>
      </c>
      <c r="S113" s="1">
        <f>Tabla1[[#This Row],[OS-Valor Unitario]]-Tabla1[[#This Row],[costo_antes_iva]]</f>
        <v>500</v>
      </c>
      <c r="T113" s="1">
        <f>Tabla1[[#This Row],[OS-Valor Unitario]]*Tabla1[[#This Row],[OS-Cantidad]]</f>
        <v>200000</v>
      </c>
      <c r="U113" s="1">
        <f>Tabla1[[#This Row],[costo_antes_iva]]*Tabla1[[#This Row],[OS-Cantidad]]</f>
        <v>180000</v>
      </c>
      <c r="V113" s="1">
        <f>Tabla1[[#This Row],[Valor total OS]]-Tabla1[[#This Row],[valor total op]]</f>
        <v>20000</v>
      </c>
      <c r="W113" s="1">
        <f>ROUNDDOWN(Tabla1[[#This Row],[Diferencia]]/200000,0)*200000</f>
        <v>0</v>
      </c>
    </row>
    <row r="114" spans="1:23" hidden="1" x14ac:dyDescent="0.3">
      <c r="A114">
        <v>6492</v>
      </c>
      <c r="B114">
        <v>20</v>
      </c>
      <c r="C114" t="s">
        <v>508</v>
      </c>
      <c r="D114">
        <v>6</v>
      </c>
      <c r="E114" t="s">
        <v>418</v>
      </c>
      <c r="F114" t="s">
        <v>502</v>
      </c>
      <c r="G114" t="s">
        <v>474</v>
      </c>
      <c r="H114" t="s">
        <v>317</v>
      </c>
      <c r="I114">
        <v>6</v>
      </c>
      <c r="J114">
        <v>77869273</v>
      </c>
      <c r="K114" s="2">
        <v>46020</v>
      </c>
      <c r="L114" s="1">
        <v>800</v>
      </c>
      <c r="M114" t="s">
        <v>503</v>
      </c>
      <c r="N114" t="s">
        <v>65</v>
      </c>
      <c r="O114" t="s">
        <v>509</v>
      </c>
      <c r="P114" s="1">
        <v>2450</v>
      </c>
      <c r="Q114">
        <v>12</v>
      </c>
      <c r="R114" t="s">
        <v>510</v>
      </c>
      <c r="S114" s="1">
        <f>Tabla1[[#This Row],[OS-Valor Unitario]]-Tabla1[[#This Row],[costo_antes_iva]]</f>
        <v>1650</v>
      </c>
      <c r="T114" s="1">
        <f>Tabla1[[#This Row],[OS-Valor Unitario]]*Tabla1[[#This Row],[OS-Cantidad]]</f>
        <v>29400</v>
      </c>
      <c r="U114" s="1">
        <f>Tabla1[[#This Row],[costo_antes_iva]]*Tabla1[[#This Row],[OS-Cantidad]]</f>
        <v>9600</v>
      </c>
      <c r="V114" s="1">
        <f>Tabla1[[#This Row],[Valor total OS]]-Tabla1[[#This Row],[valor total op]]</f>
        <v>19800</v>
      </c>
      <c r="W114" s="1">
        <f>ROUNDDOWN(Tabla1[[#This Row],[Diferencia]]/200000,0)*200000</f>
        <v>0</v>
      </c>
    </row>
    <row r="115" spans="1:23" hidden="1" x14ac:dyDescent="0.3">
      <c r="A115">
        <v>6492</v>
      </c>
      <c r="B115">
        <v>20</v>
      </c>
      <c r="C115" t="s">
        <v>508</v>
      </c>
      <c r="D115">
        <v>6</v>
      </c>
      <c r="E115" t="s">
        <v>529</v>
      </c>
      <c r="F115" t="s">
        <v>502</v>
      </c>
      <c r="G115" t="s">
        <v>474</v>
      </c>
      <c r="H115" t="s">
        <v>317</v>
      </c>
      <c r="I115">
        <v>6</v>
      </c>
      <c r="J115">
        <v>77869273</v>
      </c>
      <c r="K115" s="2">
        <v>46020</v>
      </c>
      <c r="L115" s="1">
        <v>800</v>
      </c>
      <c r="M115" t="s">
        <v>503</v>
      </c>
      <c r="N115" t="s">
        <v>65</v>
      </c>
      <c r="O115" t="s">
        <v>509</v>
      </c>
      <c r="P115" s="1">
        <v>2450</v>
      </c>
      <c r="Q115">
        <v>12</v>
      </c>
      <c r="R115" t="s">
        <v>510</v>
      </c>
      <c r="S115" s="1">
        <f>Tabla1[[#This Row],[OS-Valor Unitario]]-Tabla1[[#This Row],[costo_antes_iva]]</f>
        <v>1650</v>
      </c>
      <c r="T115" s="1">
        <f>Tabla1[[#This Row],[OS-Valor Unitario]]*Tabla1[[#This Row],[OS-Cantidad]]</f>
        <v>29400</v>
      </c>
      <c r="U115" s="1">
        <f>Tabla1[[#This Row],[costo_antes_iva]]*Tabla1[[#This Row],[OS-Cantidad]]</f>
        <v>9600</v>
      </c>
      <c r="V115" s="1">
        <f>Tabla1[[#This Row],[Valor total OS]]-Tabla1[[#This Row],[valor total op]]</f>
        <v>19800</v>
      </c>
      <c r="W115" s="1">
        <f>ROUNDDOWN(Tabla1[[#This Row],[Diferencia]]/200000,0)*200000</f>
        <v>0</v>
      </c>
    </row>
    <row r="116" spans="1:23" hidden="1" x14ac:dyDescent="0.3">
      <c r="A116">
        <v>6526</v>
      </c>
      <c r="B116">
        <v>1</v>
      </c>
      <c r="C116" t="s">
        <v>313</v>
      </c>
      <c r="D116">
        <v>36</v>
      </c>
      <c r="E116" t="s">
        <v>314</v>
      </c>
      <c r="F116" t="s">
        <v>315</v>
      </c>
      <c r="G116" t="s">
        <v>316</v>
      </c>
      <c r="H116" t="s">
        <v>317</v>
      </c>
      <c r="I116">
        <v>36</v>
      </c>
      <c r="J116">
        <v>79054350</v>
      </c>
      <c r="K116" s="2">
        <v>46048</v>
      </c>
      <c r="L116" s="1">
        <v>13000</v>
      </c>
      <c r="M116" t="s">
        <v>318</v>
      </c>
      <c r="N116" t="s">
        <v>51</v>
      </c>
      <c r="O116" t="s">
        <v>319</v>
      </c>
      <c r="P116" s="1">
        <v>13500</v>
      </c>
      <c r="Q116">
        <v>36</v>
      </c>
      <c r="R116" t="s">
        <v>321</v>
      </c>
      <c r="S116" s="1">
        <f>Tabla1[[#This Row],[OS-Valor Unitario]]-Tabla1[[#This Row],[costo_antes_iva]]</f>
        <v>500</v>
      </c>
      <c r="T116" s="1">
        <f>Tabla1[[#This Row],[OS-Valor Unitario]]*Tabla1[[#This Row],[OS-Cantidad]]</f>
        <v>486000</v>
      </c>
      <c r="U116" s="1">
        <f>Tabla1[[#This Row],[costo_antes_iva]]*Tabla1[[#This Row],[OS-Cantidad]]</f>
        <v>468000</v>
      </c>
      <c r="V116" s="1">
        <f>Tabla1[[#This Row],[Valor total OS]]-Tabla1[[#This Row],[valor total op]]</f>
        <v>18000</v>
      </c>
      <c r="W116" s="1">
        <f>ROUNDDOWN(Tabla1[[#This Row],[Diferencia]]/200000,0)*200000</f>
        <v>0</v>
      </c>
    </row>
    <row r="117" spans="1:23" hidden="1" x14ac:dyDescent="0.3">
      <c r="A117">
        <v>6487</v>
      </c>
      <c r="B117">
        <v>5</v>
      </c>
      <c r="C117" t="s">
        <v>578</v>
      </c>
      <c r="D117">
        <v>12</v>
      </c>
      <c r="E117" t="s">
        <v>559</v>
      </c>
      <c r="F117" t="s">
        <v>579</v>
      </c>
      <c r="G117" t="s">
        <v>1376</v>
      </c>
      <c r="H117" t="s">
        <v>166</v>
      </c>
      <c r="I117">
        <v>1</v>
      </c>
      <c r="J117">
        <v>77670356</v>
      </c>
      <c r="K117" s="2">
        <v>46014</v>
      </c>
      <c r="L117" s="1">
        <v>4500</v>
      </c>
      <c r="M117" t="s">
        <v>561</v>
      </c>
      <c r="N117" t="s">
        <v>51</v>
      </c>
      <c r="O117" t="s">
        <v>580</v>
      </c>
      <c r="P117" s="1">
        <v>6000</v>
      </c>
      <c r="Q117">
        <v>12</v>
      </c>
      <c r="R117" t="s">
        <v>581</v>
      </c>
      <c r="S117" s="1">
        <f>Tabla1[[#This Row],[OS-Valor Unitario]]-Tabla1[[#This Row],[costo_antes_iva]]</f>
        <v>1500</v>
      </c>
      <c r="T117" s="1">
        <f>Tabla1[[#This Row],[OS-Valor Unitario]]*Tabla1[[#This Row],[OS-Cantidad]]</f>
        <v>72000</v>
      </c>
      <c r="U117" s="1">
        <f>Tabla1[[#This Row],[costo_antes_iva]]*Tabla1[[#This Row],[OS-Cantidad]]</f>
        <v>54000</v>
      </c>
      <c r="V117" s="1">
        <f>Tabla1[[#This Row],[Valor total OS]]-Tabla1[[#This Row],[valor total op]]</f>
        <v>18000</v>
      </c>
      <c r="W117" s="1">
        <f>ROUNDDOWN(Tabla1[[#This Row],[Diferencia]]/200000,0)*200000</f>
        <v>0</v>
      </c>
    </row>
    <row r="118" spans="1:23" hidden="1" x14ac:dyDescent="0.3">
      <c r="A118">
        <v>6486</v>
      </c>
      <c r="B118">
        <v>4</v>
      </c>
      <c r="C118" t="s">
        <v>618</v>
      </c>
      <c r="D118">
        <v>10</v>
      </c>
      <c r="E118" t="s">
        <v>602</v>
      </c>
      <c r="F118" t="s">
        <v>619</v>
      </c>
      <c r="G118" t="s">
        <v>615</v>
      </c>
      <c r="H118" t="s">
        <v>166</v>
      </c>
      <c r="I118">
        <v>1</v>
      </c>
      <c r="J118">
        <v>77668018</v>
      </c>
      <c r="K118" s="2">
        <v>46014</v>
      </c>
      <c r="L118" s="1">
        <v>1800</v>
      </c>
      <c r="M118" t="s">
        <v>604</v>
      </c>
      <c r="N118" t="s">
        <v>24</v>
      </c>
      <c r="O118" t="s">
        <v>620</v>
      </c>
      <c r="P118" s="1">
        <v>3400</v>
      </c>
      <c r="Q118">
        <v>11</v>
      </c>
      <c r="R118" t="s">
        <v>621</v>
      </c>
      <c r="S118" s="1">
        <f>Tabla1[[#This Row],[OS-Valor Unitario]]-Tabla1[[#This Row],[costo_antes_iva]]</f>
        <v>1600</v>
      </c>
      <c r="T118" s="1">
        <f>Tabla1[[#This Row],[OS-Valor Unitario]]*Tabla1[[#This Row],[OS-Cantidad]]</f>
        <v>37400</v>
      </c>
      <c r="U118" s="1">
        <f>Tabla1[[#This Row],[costo_antes_iva]]*Tabla1[[#This Row],[OS-Cantidad]]</f>
        <v>19800</v>
      </c>
      <c r="V118" s="1">
        <f>Tabla1[[#This Row],[Valor total OS]]-Tabla1[[#This Row],[valor total op]]</f>
        <v>17600</v>
      </c>
      <c r="W118" s="1">
        <f>ROUNDDOWN(Tabla1[[#This Row],[Diferencia]]/200000,0)*200000</f>
        <v>0</v>
      </c>
    </row>
    <row r="119" spans="1:23" hidden="1" x14ac:dyDescent="0.3">
      <c r="A119">
        <v>6487</v>
      </c>
      <c r="B119">
        <v>7</v>
      </c>
      <c r="C119" t="s">
        <v>590</v>
      </c>
      <c r="D119">
        <v>35</v>
      </c>
      <c r="E119" t="s">
        <v>559</v>
      </c>
      <c r="F119" t="s">
        <v>591</v>
      </c>
      <c r="G119" t="s">
        <v>592</v>
      </c>
      <c r="H119" t="s">
        <v>166</v>
      </c>
      <c r="I119">
        <v>1</v>
      </c>
      <c r="J119">
        <v>77670425</v>
      </c>
      <c r="K119" s="2">
        <v>46014</v>
      </c>
      <c r="L119" s="1">
        <v>19500</v>
      </c>
      <c r="M119" t="s">
        <v>561</v>
      </c>
      <c r="N119" t="s">
        <v>51</v>
      </c>
      <c r="O119" t="s">
        <v>593</v>
      </c>
      <c r="P119" s="1">
        <v>20000</v>
      </c>
      <c r="Q119">
        <v>35</v>
      </c>
      <c r="R119" t="s">
        <v>594</v>
      </c>
      <c r="S119" s="1">
        <f>Tabla1[[#This Row],[OS-Valor Unitario]]-Tabla1[[#This Row],[costo_antes_iva]]</f>
        <v>500</v>
      </c>
      <c r="T119" s="1">
        <f>Tabla1[[#This Row],[OS-Valor Unitario]]*Tabla1[[#This Row],[OS-Cantidad]]</f>
        <v>700000</v>
      </c>
      <c r="U119" s="1">
        <f>Tabla1[[#This Row],[costo_antes_iva]]*Tabla1[[#This Row],[OS-Cantidad]]</f>
        <v>682500</v>
      </c>
      <c r="V119" s="1">
        <f>Tabla1[[#This Row],[Valor total OS]]-Tabla1[[#This Row],[valor total op]]</f>
        <v>17500</v>
      </c>
      <c r="W119" s="1">
        <f>ROUNDDOWN(Tabla1[[#This Row],[Diferencia]]/200000,0)*200000</f>
        <v>0</v>
      </c>
    </row>
    <row r="120" spans="1:23" hidden="1" x14ac:dyDescent="0.3">
      <c r="A120">
        <v>6421</v>
      </c>
      <c r="B120">
        <v>4</v>
      </c>
      <c r="C120" t="s">
        <v>938</v>
      </c>
      <c r="D120">
        <v>26</v>
      </c>
      <c r="E120" t="s">
        <v>921</v>
      </c>
      <c r="F120" t="s">
        <v>939</v>
      </c>
      <c r="G120" t="s">
        <v>118</v>
      </c>
      <c r="H120" t="s">
        <v>923</v>
      </c>
      <c r="I120">
        <v>4</v>
      </c>
      <c r="J120">
        <v>75711349</v>
      </c>
      <c r="K120" s="2">
        <v>45982</v>
      </c>
      <c r="L120" s="1">
        <v>5000</v>
      </c>
      <c r="M120" t="s">
        <v>943</v>
      </c>
      <c r="N120" t="s">
        <v>24</v>
      </c>
      <c r="O120" t="s">
        <v>940</v>
      </c>
      <c r="P120" s="1">
        <v>5600</v>
      </c>
      <c r="Q120">
        <v>26</v>
      </c>
      <c r="R120" t="s">
        <v>942</v>
      </c>
      <c r="S120" s="1">
        <f>Tabla1[[#This Row],[OS-Valor Unitario]]-Tabla1[[#This Row],[costo_antes_iva]]</f>
        <v>600</v>
      </c>
      <c r="T120" s="1">
        <f>Tabla1[[#This Row],[OS-Valor Unitario]]*Tabla1[[#This Row],[OS-Cantidad]]</f>
        <v>145600</v>
      </c>
      <c r="U120" s="1">
        <f>Tabla1[[#This Row],[costo_antes_iva]]*Tabla1[[#This Row],[OS-Cantidad]]</f>
        <v>130000</v>
      </c>
      <c r="V120" s="1">
        <f>Tabla1[[#This Row],[Valor total OS]]-Tabla1[[#This Row],[valor total op]]</f>
        <v>15600</v>
      </c>
      <c r="W120" s="1">
        <f>ROUNDDOWN(Tabla1[[#This Row],[Diferencia]]/200000,0)*200000</f>
        <v>0</v>
      </c>
    </row>
    <row r="121" spans="1:23" hidden="1" x14ac:dyDescent="0.3">
      <c r="A121">
        <v>6378</v>
      </c>
      <c r="B121">
        <v>2</v>
      </c>
      <c r="C121" t="s">
        <v>1149</v>
      </c>
      <c r="D121">
        <v>1</v>
      </c>
      <c r="E121" t="s">
        <v>1141</v>
      </c>
      <c r="F121" t="s">
        <v>1142</v>
      </c>
      <c r="G121" t="s">
        <v>1143</v>
      </c>
      <c r="H121" t="s">
        <v>166</v>
      </c>
      <c r="I121">
        <v>1</v>
      </c>
      <c r="J121">
        <v>74463474</v>
      </c>
      <c r="K121" s="2">
        <v>45958</v>
      </c>
      <c r="L121" s="1">
        <v>9500</v>
      </c>
      <c r="M121" t="s">
        <v>1144</v>
      </c>
      <c r="N121" t="s">
        <v>51</v>
      </c>
      <c r="O121" t="s">
        <v>1150</v>
      </c>
      <c r="P121" s="1">
        <v>25000</v>
      </c>
      <c r="Q121">
        <v>1</v>
      </c>
      <c r="R121" t="s">
        <v>1151</v>
      </c>
      <c r="S121" s="1">
        <f>Tabla1[[#This Row],[OS-Valor Unitario]]-Tabla1[[#This Row],[costo_antes_iva]]</f>
        <v>15500</v>
      </c>
      <c r="T121" s="1">
        <f>Tabla1[[#This Row],[OS-Valor Unitario]]*Tabla1[[#This Row],[OS-Cantidad]]</f>
        <v>25000</v>
      </c>
      <c r="U121" s="1">
        <f>Tabla1[[#This Row],[costo_antes_iva]]*Tabla1[[#This Row],[OS-Cantidad]]</f>
        <v>9500</v>
      </c>
      <c r="V121" s="1">
        <f>Tabla1[[#This Row],[Valor total OS]]-Tabla1[[#This Row],[valor total op]]</f>
        <v>15500</v>
      </c>
      <c r="W121" s="1">
        <f>ROUNDDOWN(Tabla1[[#This Row],[Diferencia]]/200000,0)*200000</f>
        <v>0</v>
      </c>
    </row>
    <row r="122" spans="1:23" hidden="1" x14ac:dyDescent="0.3">
      <c r="A122">
        <v>6378</v>
      </c>
      <c r="B122">
        <v>2</v>
      </c>
      <c r="C122" t="s">
        <v>1149</v>
      </c>
      <c r="D122">
        <v>1</v>
      </c>
      <c r="E122" t="s">
        <v>1141</v>
      </c>
      <c r="F122" t="s">
        <v>1142</v>
      </c>
      <c r="G122" t="s">
        <v>1143</v>
      </c>
      <c r="H122" t="s">
        <v>166</v>
      </c>
      <c r="I122">
        <v>1</v>
      </c>
      <c r="J122">
        <v>74463501</v>
      </c>
      <c r="K122" s="2">
        <v>45958</v>
      </c>
      <c r="L122" s="1">
        <v>9500</v>
      </c>
      <c r="M122" t="s">
        <v>1148</v>
      </c>
      <c r="N122" t="s">
        <v>51</v>
      </c>
      <c r="O122" t="s">
        <v>1150</v>
      </c>
      <c r="P122" s="1">
        <v>25000</v>
      </c>
      <c r="Q122">
        <v>1</v>
      </c>
      <c r="R122" t="s">
        <v>1151</v>
      </c>
      <c r="S122" s="1">
        <f>Tabla1[[#This Row],[OS-Valor Unitario]]-Tabla1[[#This Row],[costo_antes_iva]]</f>
        <v>15500</v>
      </c>
      <c r="T122" s="1">
        <f>Tabla1[[#This Row],[OS-Valor Unitario]]*Tabla1[[#This Row],[OS-Cantidad]]</f>
        <v>25000</v>
      </c>
      <c r="U122" s="1">
        <f>Tabla1[[#This Row],[costo_antes_iva]]*Tabla1[[#This Row],[OS-Cantidad]]</f>
        <v>9500</v>
      </c>
      <c r="V122" s="1">
        <f>Tabla1[[#This Row],[Valor total OS]]-Tabla1[[#This Row],[valor total op]]</f>
        <v>15500</v>
      </c>
      <c r="W122" s="1">
        <f>ROUNDDOWN(Tabla1[[#This Row],[Diferencia]]/200000,0)*200000</f>
        <v>0</v>
      </c>
    </row>
    <row r="123" spans="1:23" hidden="1" x14ac:dyDescent="0.3">
      <c r="A123">
        <v>6492</v>
      </c>
      <c r="B123">
        <v>19</v>
      </c>
      <c r="C123" t="s">
        <v>501</v>
      </c>
      <c r="D123">
        <v>30</v>
      </c>
      <c r="E123" t="s">
        <v>418</v>
      </c>
      <c r="F123" t="s">
        <v>502</v>
      </c>
      <c r="G123" t="s">
        <v>474</v>
      </c>
      <c r="H123" t="s">
        <v>317</v>
      </c>
      <c r="I123">
        <v>6</v>
      </c>
      <c r="J123">
        <v>77869273</v>
      </c>
      <c r="K123" s="2">
        <v>46020</v>
      </c>
      <c r="L123" s="1">
        <v>12500</v>
      </c>
      <c r="M123" t="s">
        <v>503</v>
      </c>
      <c r="N123" t="s">
        <v>51</v>
      </c>
      <c r="O123" t="s">
        <v>504</v>
      </c>
      <c r="P123" s="1">
        <v>13000</v>
      </c>
      <c r="Q123">
        <v>30</v>
      </c>
      <c r="R123" t="s">
        <v>505</v>
      </c>
      <c r="S123" s="1">
        <f>Tabla1[[#This Row],[OS-Valor Unitario]]-Tabla1[[#This Row],[costo_antes_iva]]</f>
        <v>500</v>
      </c>
      <c r="T123" s="1">
        <f>Tabla1[[#This Row],[OS-Valor Unitario]]*Tabla1[[#This Row],[OS-Cantidad]]</f>
        <v>390000</v>
      </c>
      <c r="U123" s="1">
        <f>Tabla1[[#This Row],[costo_antes_iva]]*Tabla1[[#This Row],[OS-Cantidad]]</f>
        <v>375000</v>
      </c>
      <c r="V123" s="1">
        <f>Tabla1[[#This Row],[Valor total OS]]-Tabla1[[#This Row],[valor total op]]</f>
        <v>15000</v>
      </c>
      <c r="W123" s="1">
        <f>ROUNDDOWN(Tabla1[[#This Row],[Diferencia]]/200000,0)*200000</f>
        <v>0</v>
      </c>
    </row>
    <row r="124" spans="1:23" hidden="1" x14ac:dyDescent="0.3">
      <c r="A124">
        <v>6492</v>
      </c>
      <c r="B124">
        <v>19</v>
      </c>
      <c r="C124" t="s">
        <v>501</v>
      </c>
      <c r="D124">
        <v>30</v>
      </c>
      <c r="E124" t="s">
        <v>529</v>
      </c>
      <c r="F124" t="s">
        <v>502</v>
      </c>
      <c r="G124" t="s">
        <v>474</v>
      </c>
      <c r="H124" t="s">
        <v>317</v>
      </c>
      <c r="I124">
        <v>6</v>
      </c>
      <c r="J124">
        <v>77869273</v>
      </c>
      <c r="K124" s="2">
        <v>46020</v>
      </c>
      <c r="L124" s="1">
        <v>12500</v>
      </c>
      <c r="M124" t="s">
        <v>503</v>
      </c>
      <c r="N124" t="s">
        <v>51</v>
      </c>
      <c r="O124" t="s">
        <v>504</v>
      </c>
      <c r="P124" s="1">
        <v>13000</v>
      </c>
      <c r="Q124">
        <v>30</v>
      </c>
      <c r="R124" t="s">
        <v>505</v>
      </c>
      <c r="S124" s="1">
        <f>Tabla1[[#This Row],[OS-Valor Unitario]]-Tabla1[[#This Row],[costo_antes_iva]]</f>
        <v>500</v>
      </c>
      <c r="T124" s="1">
        <f>Tabla1[[#This Row],[OS-Valor Unitario]]*Tabla1[[#This Row],[OS-Cantidad]]</f>
        <v>390000</v>
      </c>
      <c r="U124" s="1">
        <f>Tabla1[[#This Row],[costo_antes_iva]]*Tabla1[[#This Row],[OS-Cantidad]]</f>
        <v>375000</v>
      </c>
      <c r="V124" s="1">
        <f>Tabla1[[#This Row],[Valor total OS]]-Tabla1[[#This Row],[valor total op]]</f>
        <v>15000</v>
      </c>
      <c r="W124" s="1">
        <f>ROUNDDOWN(Tabla1[[#This Row],[Diferencia]]/200000,0)*200000</f>
        <v>0</v>
      </c>
    </row>
    <row r="125" spans="1:23" hidden="1" x14ac:dyDescent="0.3">
      <c r="A125">
        <v>6486</v>
      </c>
      <c r="B125">
        <v>1</v>
      </c>
      <c r="C125" t="s">
        <v>601</v>
      </c>
      <c r="D125">
        <v>30</v>
      </c>
      <c r="E125" t="s">
        <v>602</v>
      </c>
      <c r="F125" t="s">
        <v>603</v>
      </c>
      <c r="G125" t="s">
        <v>1376</v>
      </c>
      <c r="H125" t="s">
        <v>166</v>
      </c>
      <c r="I125">
        <v>1</v>
      </c>
      <c r="J125">
        <v>77667975</v>
      </c>
      <c r="K125" s="2">
        <v>46014</v>
      </c>
      <c r="L125" s="1">
        <v>4500</v>
      </c>
      <c r="M125" t="s">
        <v>604</v>
      </c>
      <c r="N125" t="s">
        <v>51</v>
      </c>
      <c r="O125" t="s">
        <v>605</v>
      </c>
      <c r="P125" s="1">
        <v>5000</v>
      </c>
      <c r="Q125">
        <v>30</v>
      </c>
      <c r="R125" t="s">
        <v>606</v>
      </c>
      <c r="S125" s="1">
        <f>Tabla1[[#This Row],[OS-Valor Unitario]]-Tabla1[[#This Row],[costo_antes_iva]]</f>
        <v>500</v>
      </c>
      <c r="T125" s="1">
        <f>Tabla1[[#This Row],[OS-Valor Unitario]]*Tabla1[[#This Row],[OS-Cantidad]]</f>
        <v>150000</v>
      </c>
      <c r="U125" s="1">
        <f>Tabla1[[#This Row],[costo_antes_iva]]*Tabla1[[#This Row],[OS-Cantidad]]</f>
        <v>135000</v>
      </c>
      <c r="V125" s="1">
        <f>Tabla1[[#This Row],[Valor total OS]]-Tabla1[[#This Row],[valor total op]]</f>
        <v>15000</v>
      </c>
      <c r="W125" s="1">
        <f>ROUNDDOWN(Tabla1[[#This Row],[Diferencia]]/200000,0)*200000</f>
        <v>0</v>
      </c>
    </row>
    <row r="126" spans="1:23" hidden="1" x14ac:dyDescent="0.3">
      <c r="A126">
        <v>6379</v>
      </c>
      <c r="B126">
        <v>1</v>
      </c>
      <c r="C126" t="s">
        <v>1094</v>
      </c>
      <c r="D126">
        <v>28</v>
      </c>
      <c r="E126" t="s">
        <v>1095</v>
      </c>
      <c r="F126" t="s">
        <v>1096</v>
      </c>
      <c r="G126" t="s">
        <v>118</v>
      </c>
      <c r="H126" t="s">
        <v>1097</v>
      </c>
      <c r="I126">
        <v>34</v>
      </c>
      <c r="J126">
        <v>74473746</v>
      </c>
      <c r="K126" s="2">
        <v>45958</v>
      </c>
      <c r="L126" s="1">
        <v>12000</v>
      </c>
      <c r="M126" t="s">
        <v>1098</v>
      </c>
      <c r="N126" t="s">
        <v>51</v>
      </c>
      <c r="O126" t="s">
        <v>1099</v>
      </c>
      <c r="P126" s="1">
        <v>12500</v>
      </c>
      <c r="Q126">
        <v>28</v>
      </c>
      <c r="R126" t="s">
        <v>1101</v>
      </c>
      <c r="S126" s="1">
        <f>Tabla1[[#This Row],[OS-Valor Unitario]]-Tabla1[[#This Row],[costo_antes_iva]]</f>
        <v>500</v>
      </c>
      <c r="T126" s="1">
        <f>Tabla1[[#This Row],[OS-Valor Unitario]]*Tabla1[[#This Row],[OS-Cantidad]]</f>
        <v>350000</v>
      </c>
      <c r="U126" s="1">
        <f>Tabla1[[#This Row],[costo_antes_iva]]*Tabla1[[#This Row],[OS-Cantidad]]</f>
        <v>336000</v>
      </c>
      <c r="V126" s="1">
        <f>Tabla1[[#This Row],[Valor total OS]]-Tabla1[[#This Row],[valor total op]]</f>
        <v>14000</v>
      </c>
      <c r="W126" s="1">
        <f>ROUNDDOWN(Tabla1[[#This Row],[Diferencia]]/200000,0)*200000</f>
        <v>0</v>
      </c>
    </row>
    <row r="127" spans="1:23" hidden="1" x14ac:dyDescent="0.3">
      <c r="A127">
        <v>6528</v>
      </c>
      <c r="B127">
        <v>1</v>
      </c>
      <c r="C127" t="s">
        <v>298</v>
      </c>
      <c r="D127">
        <v>136</v>
      </c>
      <c r="E127" t="s">
        <v>299</v>
      </c>
      <c r="F127" t="s">
        <v>300</v>
      </c>
      <c r="G127" t="s">
        <v>268</v>
      </c>
      <c r="H127" t="s">
        <v>294</v>
      </c>
      <c r="I127">
        <v>136</v>
      </c>
      <c r="J127">
        <v>79110026</v>
      </c>
      <c r="K127" s="2">
        <v>46049</v>
      </c>
      <c r="L127" s="1">
        <v>1500</v>
      </c>
      <c r="M127" t="s">
        <v>301</v>
      </c>
      <c r="N127" t="s">
        <v>302</v>
      </c>
      <c r="O127" t="s">
        <v>303</v>
      </c>
      <c r="P127" s="1">
        <v>1600</v>
      </c>
      <c r="Q127">
        <v>136</v>
      </c>
      <c r="R127" t="s">
        <v>304</v>
      </c>
      <c r="S127" s="1">
        <f>Tabla1[[#This Row],[OS-Valor Unitario]]-Tabla1[[#This Row],[costo_antes_iva]]</f>
        <v>100</v>
      </c>
      <c r="T127" s="1">
        <f>Tabla1[[#This Row],[OS-Valor Unitario]]*Tabla1[[#This Row],[OS-Cantidad]]</f>
        <v>217600</v>
      </c>
      <c r="U127" s="1">
        <f>Tabla1[[#This Row],[costo_antes_iva]]*Tabla1[[#This Row],[OS-Cantidad]]</f>
        <v>204000</v>
      </c>
      <c r="V127" s="1">
        <f>Tabla1[[#This Row],[Valor total OS]]-Tabla1[[#This Row],[valor total op]]</f>
        <v>13600</v>
      </c>
      <c r="W127" s="1">
        <f>ROUNDDOWN(Tabla1[[#This Row],[Diferencia]]/200000,0)*200000</f>
        <v>0</v>
      </c>
    </row>
    <row r="128" spans="1:23" hidden="1" x14ac:dyDescent="0.3">
      <c r="A128">
        <v>6297</v>
      </c>
      <c r="B128">
        <v>20</v>
      </c>
      <c r="C128" t="s">
        <v>1353</v>
      </c>
      <c r="D128">
        <v>17</v>
      </c>
      <c r="E128" t="s">
        <v>1347</v>
      </c>
      <c r="F128" t="s">
        <v>1277</v>
      </c>
      <c r="G128" t="s">
        <v>474</v>
      </c>
      <c r="H128" t="s">
        <v>317</v>
      </c>
      <c r="I128">
        <v>48</v>
      </c>
      <c r="J128">
        <v>74212926</v>
      </c>
      <c r="K128" s="2">
        <v>45953</v>
      </c>
      <c r="L128" s="1">
        <v>800</v>
      </c>
      <c r="M128" t="s">
        <v>1278</v>
      </c>
      <c r="N128" t="s">
        <v>65</v>
      </c>
      <c r="O128" t="s">
        <v>1354</v>
      </c>
      <c r="P128" s="1">
        <v>1600</v>
      </c>
      <c r="Q128">
        <v>17</v>
      </c>
      <c r="R128" t="s">
        <v>1355</v>
      </c>
      <c r="S128" s="1">
        <f>Tabla1[[#This Row],[OS-Valor Unitario]]-Tabla1[[#This Row],[costo_antes_iva]]</f>
        <v>800</v>
      </c>
      <c r="T128" s="1">
        <f>Tabla1[[#This Row],[OS-Valor Unitario]]*Tabla1[[#This Row],[OS-Cantidad]]</f>
        <v>27200</v>
      </c>
      <c r="U128" s="1">
        <f>Tabla1[[#This Row],[costo_antes_iva]]*Tabla1[[#This Row],[OS-Cantidad]]</f>
        <v>13600</v>
      </c>
      <c r="V128" s="1">
        <f>Tabla1[[#This Row],[Valor total OS]]-Tabla1[[#This Row],[valor total op]]</f>
        <v>13600</v>
      </c>
      <c r="W128" s="1">
        <f>ROUNDDOWN(Tabla1[[#This Row],[Diferencia]]/200000,0)*200000</f>
        <v>0</v>
      </c>
    </row>
    <row r="129" spans="1:23" hidden="1" x14ac:dyDescent="0.3">
      <c r="A129">
        <v>6421</v>
      </c>
      <c r="B129">
        <v>4</v>
      </c>
      <c r="C129" t="s">
        <v>938</v>
      </c>
      <c r="D129">
        <v>26</v>
      </c>
      <c r="E129" t="s">
        <v>921</v>
      </c>
      <c r="F129" t="s">
        <v>939</v>
      </c>
      <c r="G129" t="s">
        <v>118</v>
      </c>
      <c r="H129" t="s">
        <v>923</v>
      </c>
      <c r="I129">
        <v>26</v>
      </c>
      <c r="J129">
        <v>75709159</v>
      </c>
      <c r="K129" s="2">
        <v>45982</v>
      </c>
      <c r="L129" s="1">
        <v>12500</v>
      </c>
      <c r="M129" t="s">
        <v>924</v>
      </c>
      <c r="N129" t="s">
        <v>51</v>
      </c>
      <c r="O129" t="s">
        <v>940</v>
      </c>
      <c r="P129" s="1">
        <v>13000</v>
      </c>
      <c r="Q129">
        <v>26</v>
      </c>
      <c r="R129" t="s">
        <v>941</v>
      </c>
      <c r="S129" s="1">
        <f>Tabla1[[#This Row],[OS-Valor Unitario]]-Tabla1[[#This Row],[costo_antes_iva]]</f>
        <v>500</v>
      </c>
      <c r="T129" s="1">
        <f>Tabla1[[#This Row],[OS-Valor Unitario]]*Tabla1[[#This Row],[OS-Cantidad]]</f>
        <v>338000</v>
      </c>
      <c r="U129" s="1">
        <f>Tabla1[[#This Row],[costo_antes_iva]]*Tabla1[[#This Row],[OS-Cantidad]]</f>
        <v>325000</v>
      </c>
      <c r="V129" s="1">
        <f>Tabla1[[#This Row],[Valor total OS]]-Tabla1[[#This Row],[valor total op]]</f>
        <v>13000</v>
      </c>
      <c r="W129" s="1">
        <f>ROUNDDOWN(Tabla1[[#This Row],[Diferencia]]/200000,0)*200000</f>
        <v>0</v>
      </c>
    </row>
    <row r="130" spans="1:23" hidden="1" x14ac:dyDescent="0.3">
      <c r="A130">
        <v>6421</v>
      </c>
      <c r="B130">
        <v>4</v>
      </c>
      <c r="C130" t="s">
        <v>938</v>
      </c>
      <c r="D130">
        <v>26</v>
      </c>
      <c r="E130" t="s">
        <v>921</v>
      </c>
      <c r="F130" t="s">
        <v>939</v>
      </c>
      <c r="G130" t="s">
        <v>118</v>
      </c>
      <c r="H130" t="s">
        <v>923</v>
      </c>
      <c r="I130">
        <v>4</v>
      </c>
      <c r="J130">
        <v>75711349</v>
      </c>
      <c r="K130" s="2">
        <v>45982</v>
      </c>
      <c r="L130" s="1">
        <v>12500</v>
      </c>
      <c r="M130" t="s">
        <v>943</v>
      </c>
      <c r="N130" t="s">
        <v>51</v>
      </c>
      <c r="O130" t="s">
        <v>940</v>
      </c>
      <c r="P130" s="1">
        <v>13000</v>
      </c>
      <c r="Q130">
        <v>26</v>
      </c>
      <c r="R130" t="s">
        <v>941</v>
      </c>
      <c r="S130" s="1">
        <f>Tabla1[[#This Row],[OS-Valor Unitario]]-Tabla1[[#This Row],[costo_antes_iva]]</f>
        <v>500</v>
      </c>
      <c r="T130" s="1">
        <f>Tabla1[[#This Row],[OS-Valor Unitario]]*Tabla1[[#This Row],[OS-Cantidad]]</f>
        <v>338000</v>
      </c>
      <c r="U130" s="1">
        <f>Tabla1[[#This Row],[costo_antes_iva]]*Tabla1[[#This Row],[OS-Cantidad]]</f>
        <v>325000</v>
      </c>
      <c r="V130" s="1">
        <f>Tabla1[[#This Row],[Valor total OS]]-Tabla1[[#This Row],[valor total op]]</f>
        <v>13000</v>
      </c>
      <c r="W130" s="1">
        <f>ROUNDDOWN(Tabla1[[#This Row],[Diferencia]]/200000,0)*200000</f>
        <v>0</v>
      </c>
    </row>
    <row r="131" spans="1:23" hidden="1" x14ac:dyDescent="0.3">
      <c r="A131">
        <v>6439</v>
      </c>
      <c r="B131">
        <v>13</v>
      </c>
      <c r="C131" t="s">
        <v>797</v>
      </c>
      <c r="D131">
        <v>25</v>
      </c>
      <c r="E131" t="s">
        <v>745</v>
      </c>
      <c r="F131" t="s">
        <v>798</v>
      </c>
      <c r="G131" t="s">
        <v>336</v>
      </c>
      <c r="H131" t="s">
        <v>166</v>
      </c>
      <c r="I131">
        <v>0</v>
      </c>
      <c r="J131">
        <v>76369928</v>
      </c>
      <c r="K131" s="2">
        <v>45989</v>
      </c>
      <c r="L131" s="1">
        <v>2500</v>
      </c>
      <c r="M131" t="s">
        <v>748</v>
      </c>
      <c r="N131" t="s">
        <v>51</v>
      </c>
      <c r="O131" t="s">
        <v>799</v>
      </c>
      <c r="P131" s="1">
        <v>3000</v>
      </c>
      <c r="Q131">
        <v>25</v>
      </c>
      <c r="R131" t="s">
        <v>800</v>
      </c>
      <c r="S131" s="1">
        <f>Tabla1[[#This Row],[OS-Valor Unitario]]-Tabla1[[#This Row],[costo_antes_iva]]</f>
        <v>500</v>
      </c>
      <c r="T131" s="1">
        <f>Tabla1[[#This Row],[OS-Valor Unitario]]*Tabla1[[#This Row],[OS-Cantidad]]</f>
        <v>75000</v>
      </c>
      <c r="U131" s="1">
        <f>Tabla1[[#This Row],[costo_antes_iva]]*Tabla1[[#This Row],[OS-Cantidad]]</f>
        <v>62500</v>
      </c>
      <c r="V131" s="1">
        <f>Tabla1[[#This Row],[Valor total OS]]-Tabla1[[#This Row],[valor total op]]</f>
        <v>12500</v>
      </c>
      <c r="W131" s="1">
        <f>ROUNDDOWN(Tabla1[[#This Row],[Diferencia]]/200000,0)*200000</f>
        <v>0</v>
      </c>
    </row>
    <row r="132" spans="1:23" hidden="1" x14ac:dyDescent="0.3">
      <c r="A132">
        <v>6439</v>
      </c>
      <c r="B132">
        <v>14</v>
      </c>
      <c r="C132" t="s">
        <v>801</v>
      </c>
      <c r="D132">
        <v>25</v>
      </c>
      <c r="E132" t="s">
        <v>745</v>
      </c>
      <c r="F132" t="s">
        <v>802</v>
      </c>
      <c r="G132" t="s">
        <v>336</v>
      </c>
      <c r="H132" t="s">
        <v>166</v>
      </c>
      <c r="I132">
        <v>0</v>
      </c>
      <c r="J132">
        <v>76369955</v>
      </c>
      <c r="K132" s="2">
        <v>45989</v>
      </c>
      <c r="L132" s="1">
        <v>2500</v>
      </c>
      <c r="M132" t="s">
        <v>748</v>
      </c>
      <c r="N132" t="s">
        <v>51</v>
      </c>
      <c r="O132" t="s">
        <v>803</v>
      </c>
      <c r="P132" s="1">
        <v>3000</v>
      </c>
      <c r="Q132">
        <v>25</v>
      </c>
      <c r="R132" t="s">
        <v>804</v>
      </c>
      <c r="S132" s="1">
        <f>Tabla1[[#This Row],[OS-Valor Unitario]]-Tabla1[[#This Row],[costo_antes_iva]]</f>
        <v>500</v>
      </c>
      <c r="T132" s="1">
        <f>Tabla1[[#This Row],[OS-Valor Unitario]]*Tabla1[[#This Row],[OS-Cantidad]]</f>
        <v>75000</v>
      </c>
      <c r="U132" s="1">
        <f>Tabla1[[#This Row],[costo_antes_iva]]*Tabla1[[#This Row],[OS-Cantidad]]</f>
        <v>62500</v>
      </c>
      <c r="V132" s="1">
        <f>Tabla1[[#This Row],[Valor total OS]]-Tabla1[[#This Row],[valor total op]]</f>
        <v>12500</v>
      </c>
      <c r="W132" s="1">
        <f>ROUNDDOWN(Tabla1[[#This Row],[Diferencia]]/200000,0)*200000</f>
        <v>0</v>
      </c>
    </row>
    <row r="133" spans="1:23" hidden="1" x14ac:dyDescent="0.3">
      <c r="A133">
        <v>6439</v>
      </c>
      <c r="B133">
        <v>15</v>
      </c>
      <c r="C133" t="s">
        <v>805</v>
      </c>
      <c r="D133">
        <v>25</v>
      </c>
      <c r="E133" t="s">
        <v>745</v>
      </c>
      <c r="F133" t="s">
        <v>806</v>
      </c>
      <c r="G133" t="s">
        <v>336</v>
      </c>
      <c r="H133" t="s">
        <v>166</v>
      </c>
      <c r="I133">
        <v>0</v>
      </c>
      <c r="J133">
        <v>76369978</v>
      </c>
      <c r="K133" s="2">
        <v>45989</v>
      </c>
      <c r="L133" s="1">
        <v>2500</v>
      </c>
      <c r="M133" t="s">
        <v>748</v>
      </c>
      <c r="N133" t="s">
        <v>51</v>
      </c>
      <c r="O133" t="s">
        <v>807</v>
      </c>
      <c r="P133" s="1">
        <v>3000</v>
      </c>
      <c r="Q133">
        <v>25</v>
      </c>
      <c r="R133" t="s">
        <v>808</v>
      </c>
      <c r="S133" s="1">
        <f>Tabla1[[#This Row],[OS-Valor Unitario]]-Tabla1[[#This Row],[costo_antes_iva]]</f>
        <v>500</v>
      </c>
      <c r="T133" s="1">
        <f>Tabla1[[#This Row],[OS-Valor Unitario]]*Tabla1[[#This Row],[OS-Cantidad]]</f>
        <v>75000</v>
      </c>
      <c r="U133" s="1">
        <f>Tabla1[[#This Row],[costo_antes_iva]]*Tabla1[[#This Row],[OS-Cantidad]]</f>
        <v>62500</v>
      </c>
      <c r="V133" s="1">
        <f>Tabla1[[#This Row],[Valor total OS]]-Tabla1[[#This Row],[valor total op]]</f>
        <v>12500</v>
      </c>
      <c r="W133" s="1">
        <f>ROUNDDOWN(Tabla1[[#This Row],[Diferencia]]/200000,0)*200000</f>
        <v>0</v>
      </c>
    </row>
    <row r="134" spans="1:23" hidden="1" x14ac:dyDescent="0.3">
      <c r="A134">
        <v>6618</v>
      </c>
      <c r="B134">
        <v>13</v>
      </c>
      <c r="C134" t="s">
        <v>96</v>
      </c>
      <c r="D134">
        <v>10</v>
      </c>
      <c r="E134" t="s">
        <v>61</v>
      </c>
      <c r="F134" t="s">
        <v>97</v>
      </c>
      <c r="G134" t="s">
        <v>98</v>
      </c>
      <c r="H134" t="s">
        <v>63</v>
      </c>
      <c r="I134">
        <v>1</v>
      </c>
      <c r="J134">
        <v>80759227</v>
      </c>
      <c r="K134" s="2">
        <v>46079</v>
      </c>
      <c r="L134" s="1">
        <v>1200</v>
      </c>
      <c r="M134" t="s">
        <v>64</v>
      </c>
      <c r="N134" t="s">
        <v>65</v>
      </c>
      <c r="O134" t="s">
        <v>99</v>
      </c>
      <c r="P134" s="1">
        <v>2400</v>
      </c>
      <c r="Q134">
        <v>10</v>
      </c>
      <c r="R134" t="s">
        <v>100</v>
      </c>
      <c r="S134" s="1">
        <f>Tabla1[[#This Row],[OS-Valor Unitario]]-Tabla1[[#This Row],[costo_antes_iva]]</f>
        <v>1200</v>
      </c>
      <c r="T134" s="1">
        <f>Tabla1[[#This Row],[OS-Valor Unitario]]*Tabla1[[#This Row],[OS-Cantidad]]</f>
        <v>24000</v>
      </c>
      <c r="U134" s="1">
        <f>Tabla1[[#This Row],[costo_antes_iva]]*Tabla1[[#This Row],[OS-Cantidad]]</f>
        <v>12000</v>
      </c>
      <c r="V134" s="1">
        <f>Tabla1[[#This Row],[Valor total OS]]-Tabla1[[#This Row],[valor total op]]</f>
        <v>12000</v>
      </c>
      <c r="W134" s="1">
        <f>ROUNDDOWN(Tabla1[[#This Row],[Diferencia]]/200000,0)*200000</f>
        <v>0</v>
      </c>
    </row>
    <row r="135" spans="1:23" hidden="1" x14ac:dyDescent="0.3">
      <c r="A135">
        <v>6618</v>
      </c>
      <c r="B135">
        <v>14</v>
      </c>
      <c r="C135" t="s">
        <v>101</v>
      </c>
      <c r="D135">
        <v>10</v>
      </c>
      <c r="E135" t="s">
        <v>61</v>
      </c>
      <c r="F135" t="s">
        <v>102</v>
      </c>
      <c r="G135" t="s">
        <v>98</v>
      </c>
      <c r="H135" t="s">
        <v>63</v>
      </c>
      <c r="I135">
        <v>1</v>
      </c>
      <c r="J135">
        <v>80759238</v>
      </c>
      <c r="K135" s="2">
        <v>46079</v>
      </c>
      <c r="L135" s="1">
        <v>1200</v>
      </c>
      <c r="M135" t="s">
        <v>64</v>
      </c>
      <c r="N135" t="s">
        <v>65</v>
      </c>
      <c r="O135" t="s">
        <v>103</v>
      </c>
      <c r="P135" s="1">
        <v>2400</v>
      </c>
      <c r="Q135">
        <v>10</v>
      </c>
      <c r="R135" t="s">
        <v>104</v>
      </c>
      <c r="S135" s="1">
        <f>Tabla1[[#This Row],[OS-Valor Unitario]]-Tabla1[[#This Row],[costo_antes_iva]]</f>
        <v>1200</v>
      </c>
      <c r="T135" s="1">
        <f>Tabla1[[#This Row],[OS-Valor Unitario]]*Tabla1[[#This Row],[OS-Cantidad]]</f>
        <v>24000</v>
      </c>
      <c r="U135" s="1">
        <f>Tabla1[[#This Row],[costo_antes_iva]]*Tabla1[[#This Row],[OS-Cantidad]]</f>
        <v>12000</v>
      </c>
      <c r="V135" s="1">
        <f>Tabla1[[#This Row],[Valor total OS]]-Tabla1[[#This Row],[valor total op]]</f>
        <v>12000</v>
      </c>
      <c r="W135" s="1">
        <f>ROUNDDOWN(Tabla1[[#This Row],[Diferencia]]/200000,0)*200000</f>
        <v>0</v>
      </c>
    </row>
    <row r="136" spans="1:23" hidden="1" x14ac:dyDescent="0.3">
      <c r="A136">
        <v>6381</v>
      </c>
      <c r="B136">
        <v>3</v>
      </c>
      <c r="C136" t="s">
        <v>1079</v>
      </c>
      <c r="D136">
        <v>6</v>
      </c>
      <c r="E136" t="s">
        <v>1068</v>
      </c>
      <c r="F136" t="s">
        <v>1075</v>
      </c>
      <c r="G136" t="s">
        <v>268</v>
      </c>
      <c r="H136" t="s">
        <v>294</v>
      </c>
      <c r="I136">
        <v>52</v>
      </c>
      <c r="J136">
        <v>74547210</v>
      </c>
      <c r="K136" s="2">
        <v>45959</v>
      </c>
      <c r="L136" s="1">
        <v>12000</v>
      </c>
      <c r="M136" t="s">
        <v>1070</v>
      </c>
      <c r="N136" t="s">
        <v>51</v>
      </c>
      <c r="O136" t="s">
        <v>1080</v>
      </c>
      <c r="P136" s="1">
        <v>14000</v>
      </c>
      <c r="Q136">
        <v>6</v>
      </c>
      <c r="R136" t="s">
        <v>1081</v>
      </c>
      <c r="S136" s="1">
        <f>Tabla1[[#This Row],[OS-Valor Unitario]]-Tabla1[[#This Row],[costo_antes_iva]]</f>
        <v>2000</v>
      </c>
      <c r="T136" s="1">
        <f>Tabla1[[#This Row],[OS-Valor Unitario]]*Tabla1[[#This Row],[OS-Cantidad]]</f>
        <v>84000</v>
      </c>
      <c r="U136" s="1">
        <f>Tabla1[[#This Row],[costo_antes_iva]]*Tabla1[[#This Row],[OS-Cantidad]]</f>
        <v>72000</v>
      </c>
      <c r="V136" s="1">
        <f>Tabla1[[#This Row],[Valor total OS]]-Tabla1[[#This Row],[valor total op]]</f>
        <v>12000</v>
      </c>
      <c r="W136" s="1">
        <f>ROUNDDOWN(Tabla1[[#This Row],[Diferencia]]/200000,0)*200000</f>
        <v>0</v>
      </c>
    </row>
    <row r="137" spans="1:23" hidden="1" x14ac:dyDescent="0.3">
      <c r="A137">
        <v>6524</v>
      </c>
      <c r="B137">
        <v>3</v>
      </c>
      <c r="C137" t="s">
        <v>334</v>
      </c>
      <c r="D137">
        <v>20</v>
      </c>
      <c r="E137" t="s">
        <v>323</v>
      </c>
      <c r="F137" t="s">
        <v>335</v>
      </c>
      <c r="G137" t="s">
        <v>336</v>
      </c>
      <c r="H137" t="s">
        <v>166</v>
      </c>
      <c r="I137">
        <v>20</v>
      </c>
      <c r="J137">
        <v>78936091</v>
      </c>
      <c r="K137" s="2">
        <v>46045</v>
      </c>
      <c r="L137" s="1">
        <v>2500</v>
      </c>
      <c r="M137" t="s">
        <v>326</v>
      </c>
      <c r="N137" t="s">
        <v>51</v>
      </c>
      <c r="O137" t="s">
        <v>337</v>
      </c>
      <c r="P137" s="1">
        <v>3000</v>
      </c>
      <c r="Q137">
        <v>20</v>
      </c>
      <c r="R137" t="s">
        <v>338</v>
      </c>
      <c r="S137" s="1">
        <f>Tabla1[[#This Row],[OS-Valor Unitario]]-Tabla1[[#This Row],[costo_antes_iva]]</f>
        <v>500</v>
      </c>
      <c r="T137" s="1">
        <f>Tabla1[[#This Row],[OS-Valor Unitario]]*Tabla1[[#This Row],[OS-Cantidad]]</f>
        <v>60000</v>
      </c>
      <c r="U137" s="1">
        <f>Tabla1[[#This Row],[costo_antes_iva]]*Tabla1[[#This Row],[OS-Cantidad]]</f>
        <v>50000</v>
      </c>
      <c r="V137" s="1">
        <f>Tabla1[[#This Row],[Valor total OS]]-Tabla1[[#This Row],[valor total op]]</f>
        <v>10000</v>
      </c>
      <c r="W137" s="1">
        <f>ROUNDDOWN(Tabla1[[#This Row],[Diferencia]]/200000,0)*200000</f>
        <v>0</v>
      </c>
    </row>
    <row r="138" spans="1:23" hidden="1" x14ac:dyDescent="0.3">
      <c r="A138">
        <v>6524</v>
      </c>
      <c r="B138">
        <v>4</v>
      </c>
      <c r="C138" t="s">
        <v>339</v>
      </c>
      <c r="D138">
        <v>20</v>
      </c>
      <c r="E138" t="s">
        <v>323</v>
      </c>
      <c r="F138" t="s">
        <v>340</v>
      </c>
      <c r="G138" t="s">
        <v>336</v>
      </c>
      <c r="H138" t="s">
        <v>166</v>
      </c>
      <c r="I138">
        <v>20</v>
      </c>
      <c r="J138">
        <v>78936114</v>
      </c>
      <c r="K138" s="2">
        <v>46045</v>
      </c>
      <c r="L138" s="1">
        <v>2500</v>
      </c>
      <c r="M138" t="s">
        <v>326</v>
      </c>
      <c r="N138" t="s">
        <v>51</v>
      </c>
      <c r="O138" t="s">
        <v>341</v>
      </c>
      <c r="P138" s="1">
        <v>3000</v>
      </c>
      <c r="Q138">
        <v>20</v>
      </c>
      <c r="R138" t="s">
        <v>342</v>
      </c>
      <c r="S138" s="1">
        <f>Tabla1[[#This Row],[OS-Valor Unitario]]-Tabla1[[#This Row],[costo_antes_iva]]</f>
        <v>500</v>
      </c>
      <c r="T138" s="1">
        <f>Tabla1[[#This Row],[OS-Valor Unitario]]*Tabla1[[#This Row],[OS-Cantidad]]</f>
        <v>60000</v>
      </c>
      <c r="U138" s="1">
        <f>Tabla1[[#This Row],[costo_antes_iva]]*Tabla1[[#This Row],[OS-Cantidad]]</f>
        <v>50000</v>
      </c>
      <c r="V138" s="1">
        <f>Tabla1[[#This Row],[Valor total OS]]-Tabla1[[#This Row],[valor total op]]</f>
        <v>10000</v>
      </c>
      <c r="W138" s="1">
        <f>ROUNDDOWN(Tabla1[[#This Row],[Diferencia]]/200000,0)*200000</f>
        <v>0</v>
      </c>
    </row>
    <row r="139" spans="1:23" hidden="1" x14ac:dyDescent="0.3">
      <c r="A139">
        <v>6492</v>
      </c>
      <c r="B139">
        <v>14</v>
      </c>
      <c r="C139" t="s">
        <v>477</v>
      </c>
      <c r="D139">
        <v>10</v>
      </c>
      <c r="E139" t="s">
        <v>418</v>
      </c>
      <c r="F139" t="s">
        <v>478</v>
      </c>
      <c r="G139" t="s">
        <v>316</v>
      </c>
      <c r="H139" t="s">
        <v>317</v>
      </c>
      <c r="I139">
        <v>10</v>
      </c>
      <c r="J139">
        <v>77864652</v>
      </c>
      <c r="K139" s="2">
        <v>46020</v>
      </c>
      <c r="L139" s="1">
        <v>13000</v>
      </c>
      <c r="M139" t="s">
        <v>420</v>
      </c>
      <c r="N139" t="s">
        <v>51</v>
      </c>
      <c r="O139" t="s">
        <v>479</v>
      </c>
      <c r="P139" s="1">
        <v>14000</v>
      </c>
      <c r="Q139">
        <v>10</v>
      </c>
      <c r="R139" t="s">
        <v>481</v>
      </c>
      <c r="S139" s="1">
        <f>Tabla1[[#This Row],[OS-Valor Unitario]]-Tabla1[[#This Row],[costo_antes_iva]]</f>
        <v>1000</v>
      </c>
      <c r="T139" s="1">
        <f>Tabla1[[#This Row],[OS-Valor Unitario]]*Tabla1[[#This Row],[OS-Cantidad]]</f>
        <v>140000</v>
      </c>
      <c r="U139" s="1">
        <f>Tabla1[[#This Row],[costo_antes_iva]]*Tabla1[[#This Row],[OS-Cantidad]]</f>
        <v>130000</v>
      </c>
      <c r="V139" s="1">
        <f>Tabla1[[#This Row],[Valor total OS]]-Tabla1[[#This Row],[valor total op]]</f>
        <v>10000</v>
      </c>
      <c r="W139" s="1">
        <f>ROUNDDOWN(Tabla1[[#This Row],[Diferencia]]/200000,0)*200000</f>
        <v>0</v>
      </c>
    </row>
    <row r="140" spans="1:23" hidden="1" x14ac:dyDescent="0.3">
      <c r="A140">
        <v>6492</v>
      </c>
      <c r="B140">
        <v>14</v>
      </c>
      <c r="C140" t="s">
        <v>477</v>
      </c>
      <c r="D140">
        <v>10</v>
      </c>
      <c r="E140" t="s">
        <v>529</v>
      </c>
      <c r="F140" t="s">
        <v>478</v>
      </c>
      <c r="G140" t="s">
        <v>316</v>
      </c>
      <c r="H140" t="s">
        <v>317</v>
      </c>
      <c r="I140">
        <v>10</v>
      </c>
      <c r="J140">
        <v>77864652</v>
      </c>
      <c r="K140" s="2">
        <v>46020</v>
      </c>
      <c r="L140" s="1">
        <v>13000</v>
      </c>
      <c r="M140" t="s">
        <v>420</v>
      </c>
      <c r="N140" t="s">
        <v>51</v>
      </c>
      <c r="O140" t="s">
        <v>479</v>
      </c>
      <c r="P140" s="1">
        <v>14000</v>
      </c>
      <c r="Q140">
        <v>10</v>
      </c>
      <c r="R140" t="s">
        <v>481</v>
      </c>
      <c r="S140" s="1">
        <f>Tabla1[[#This Row],[OS-Valor Unitario]]-Tabla1[[#This Row],[costo_antes_iva]]</f>
        <v>1000</v>
      </c>
      <c r="T140" s="1">
        <f>Tabla1[[#This Row],[OS-Valor Unitario]]*Tabla1[[#This Row],[OS-Cantidad]]</f>
        <v>140000</v>
      </c>
      <c r="U140" s="1">
        <f>Tabla1[[#This Row],[costo_antes_iva]]*Tabla1[[#This Row],[OS-Cantidad]]</f>
        <v>130000</v>
      </c>
      <c r="V140" s="1">
        <f>Tabla1[[#This Row],[Valor total OS]]-Tabla1[[#This Row],[valor total op]]</f>
        <v>10000</v>
      </c>
      <c r="W140" s="1">
        <f>ROUNDDOWN(Tabla1[[#This Row],[Diferencia]]/200000,0)*200000</f>
        <v>0</v>
      </c>
    </row>
    <row r="141" spans="1:23" hidden="1" x14ac:dyDescent="0.3">
      <c r="A141">
        <v>6439</v>
      </c>
      <c r="B141">
        <v>8</v>
      </c>
      <c r="C141" t="s">
        <v>779</v>
      </c>
      <c r="D141">
        <v>18</v>
      </c>
      <c r="E141" t="s">
        <v>745</v>
      </c>
      <c r="F141" t="s">
        <v>780</v>
      </c>
      <c r="G141" t="s">
        <v>165</v>
      </c>
      <c r="H141" t="s">
        <v>166</v>
      </c>
      <c r="I141">
        <v>0</v>
      </c>
      <c r="J141">
        <v>76369558</v>
      </c>
      <c r="K141" s="2">
        <v>45989</v>
      </c>
      <c r="L141" s="1">
        <v>4500</v>
      </c>
      <c r="M141" t="s">
        <v>748</v>
      </c>
      <c r="N141" t="s">
        <v>51</v>
      </c>
      <c r="O141" t="s">
        <v>781</v>
      </c>
      <c r="P141" s="1">
        <v>5000</v>
      </c>
      <c r="Q141">
        <v>18</v>
      </c>
      <c r="R141" t="s">
        <v>783</v>
      </c>
      <c r="S141" s="1">
        <f>Tabla1[[#This Row],[OS-Valor Unitario]]-Tabla1[[#This Row],[costo_antes_iva]]</f>
        <v>500</v>
      </c>
      <c r="T141" s="1">
        <f>Tabla1[[#This Row],[OS-Valor Unitario]]*Tabla1[[#This Row],[OS-Cantidad]]</f>
        <v>90000</v>
      </c>
      <c r="U141" s="1">
        <f>Tabla1[[#This Row],[costo_antes_iva]]*Tabla1[[#This Row],[OS-Cantidad]]</f>
        <v>81000</v>
      </c>
      <c r="V141" s="1">
        <f>Tabla1[[#This Row],[Valor total OS]]-Tabla1[[#This Row],[valor total op]]</f>
        <v>9000</v>
      </c>
      <c r="W141" s="1">
        <f>ROUNDDOWN(Tabla1[[#This Row],[Diferencia]]/200000,0)*200000</f>
        <v>0</v>
      </c>
    </row>
    <row r="142" spans="1:23" hidden="1" x14ac:dyDescent="0.3">
      <c r="A142">
        <v>6439</v>
      </c>
      <c r="B142">
        <v>1</v>
      </c>
      <c r="C142" t="s">
        <v>744</v>
      </c>
      <c r="D142">
        <v>6</v>
      </c>
      <c r="E142" t="s">
        <v>745</v>
      </c>
      <c r="F142" t="s">
        <v>746</v>
      </c>
      <c r="G142" t="s">
        <v>747</v>
      </c>
      <c r="H142" t="s">
        <v>166</v>
      </c>
      <c r="I142">
        <v>0</v>
      </c>
      <c r="J142">
        <v>76369058</v>
      </c>
      <c r="K142" s="2">
        <v>45989</v>
      </c>
      <c r="L142" s="1">
        <v>7000</v>
      </c>
      <c r="M142" t="s">
        <v>748</v>
      </c>
      <c r="N142" t="s">
        <v>51</v>
      </c>
      <c r="O142" t="s">
        <v>749</v>
      </c>
      <c r="P142" s="1">
        <v>8500</v>
      </c>
      <c r="Q142">
        <v>6</v>
      </c>
      <c r="R142" t="s">
        <v>750</v>
      </c>
      <c r="S142" s="1">
        <f>Tabla1[[#This Row],[OS-Valor Unitario]]-Tabla1[[#This Row],[costo_antes_iva]]</f>
        <v>1500</v>
      </c>
      <c r="T142" s="1">
        <f>Tabla1[[#This Row],[OS-Valor Unitario]]*Tabla1[[#This Row],[OS-Cantidad]]</f>
        <v>51000</v>
      </c>
      <c r="U142" s="1">
        <f>Tabla1[[#This Row],[costo_antes_iva]]*Tabla1[[#This Row],[OS-Cantidad]]</f>
        <v>42000</v>
      </c>
      <c r="V142" s="1">
        <f>Tabla1[[#This Row],[Valor total OS]]-Tabla1[[#This Row],[valor total op]]</f>
        <v>9000</v>
      </c>
      <c r="W142" s="1">
        <f>ROUNDDOWN(Tabla1[[#This Row],[Diferencia]]/200000,0)*200000</f>
        <v>0</v>
      </c>
    </row>
    <row r="143" spans="1:23" hidden="1" x14ac:dyDescent="0.3">
      <c r="A143">
        <v>6492</v>
      </c>
      <c r="B143">
        <v>12</v>
      </c>
      <c r="C143" t="s">
        <v>465</v>
      </c>
      <c r="D143">
        <v>40</v>
      </c>
      <c r="E143" t="s">
        <v>418</v>
      </c>
      <c r="F143" t="s">
        <v>466</v>
      </c>
      <c r="G143" t="s">
        <v>268</v>
      </c>
      <c r="H143" t="s">
        <v>317</v>
      </c>
      <c r="I143">
        <v>40</v>
      </c>
      <c r="J143">
        <v>77864643</v>
      </c>
      <c r="K143" s="2">
        <v>46020</v>
      </c>
      <c r="L143" s="1">
        <v>1000</v>
      </c>
      <c r="M143" t="s">
        <v>420</v>
      </c>
      <c r="N143" t="s">
        <v>24</v>
      </c>
      <c r="O143" t="s">
        <v>467</v>
      </c>
      <c r="P143" s="1">
        <v>1200</v>
      </c>
      <c r="Q143">
        <v>40</v>
      </c>
      <c r="R143" t="s">
        <v>468</v>
      </c>
      <c r="S143" s="1">
        <f>Tabla1[[#This Row],[OS-Valor Unitario]]-Tabla1[[#This Row],[costo_antes_iva]]</f>
        <v>200</v>
      </c>
      <c r="T143" s="1">
        <f>Tabla1[[#This Row],[OS-Valor Unitario]]*Tabla1[[#This Row],[OS-Cantidad]]</f>
        <v>48000</v>
      </c>
      <c r="U143" s="1">
        <f>Tabla1[[#This Row],[costo_antes_iva]]*Tabla1[[#This Row],[OS-Cantidad]]</f>
        <v>40000</v>
      </c>
      <c r="V143" s="1">
        <f>Tabla1[[#This Row],[Valor total OS]]-Tabla1[[#This Row],[valor total op]]</f>
        <v>8000</v>
      </c>
      <c r="W143" s="1">
        <f>ROUNDDOWN(Tabla1[[#This Row],[Diferencia]]/200000,0)*200000</f>
        <v>0</v>
      </c>
    </row>
    <row r="144" spans="1:23" hidden="1" x14ac:dyDescent="0.3">
      <c r="A144">
        <v>6492</v>
      </c>
      <c r="B144">
        <v>12</v>
      </c>
      <c r="C144" t="s">
        <v>465</v>
      </c>
      <c r="D144">
        <v>40</v>
      </c>
      <c r="E144" t="s">
        <v>529</v>
      </c>
      <c r="F144" t="s">
        <v>466</v>
      </c>
      <c r="G144" t="s">
        <v>268</v>
      </c>
      <c r="H144" t="s">
        <v>317</v>
      </c>
      <c r="I144">
        <v>40</v>
      </c>
      <c r="J144">
        <v>77864643</v>
      </c>
      <c r="K144" s="2">
        <v>46020</v>
      </c>
      <c r="L144" s="1">
        <v>1000</v>
      </c>
      <c r="M144" t="s">
        <v>420</v>
      </c>
      <c r="N144" t="s">
        <v>24</v>
      </c>
      <c r="O144" t="s">
        <v>467</v>
      </c>
      <c r="P144" s="1">
        <v>1200</v>
      </c>
      <c r="Q144">
        <v>40</v>
      </c>
      <c r="R144" t="s">
        <v>468</v>
      </c>
      <c r="S144" s="1">
        <f>Tabla1[[#This Row],[OS-Valor Unitario]]-Tabla1[[#This Row],[costo_antes_iva]]</f>
        <v>200</v>
      </c>
      <c r="T144" s="1">
        <f>Tabla1[[#This Row],[OS-Valor Unitario]]*Tabla1[[#This Row],[OS-Cantidad]]</f>
        <v>48000</v>
      </c>
      <c r="U144" s="1">
        <f>Tabla1[[#This Row],[costo_antes_iva]]*Tabla1[[#This Row],[OS-Cantidad]]</f>
        <v>40000</v>
      </c>
      <c r="V144" s="1">
        <f>Tabla1[[#This Row],[Valor total OS]]-Tabla1[[#This Row],[valor total op]]</f>
        <v>8000</v>
      </c>
      <c r="W144" s="1">
        <f>ROUNDDOWN(Tabla1[[#This Row],[Diferencia]]/200000,0)*200000</f>
        <v>0</v>
      </c>
    </row>
    <row r="145" spans="1:23" hidden="1" x14ac:dyDescent="0.3">
      <c r="A145">
        <v>6383</v>
      </c>
      <c r="B145">
        <v>8</v>
      </c>
      <c r="C145" t="s">
        <v>1011</v>
      </c>
      <c r="D145">
        <v>16</v>
      </c>
      <c r="E145" t="s">
        <v>978</v>
      </c>
      <c r="F145" t="s">
        <v>1012</v>
      </c>
      <c r="G145" t="s">
        <v>268</v>
      </c>
      <c r="H145" t="s">
        <v>961</v>
      </c>
      <c r="I145">
        <v>1</v>
      </c>
      <c r="J145">
        <v>74549361</v>
      </c>
      <c r="K145" s="2">
        <v>45959</v>
      </c>
      <c r="L145" s="1">
        <v>11000</v>
      </c>
      <c r="M145" t="s">
        <v>980</v>
      </c>
      <c r="N145" t="s">
        <v>51</v>
      </c>
      <c r="O145" t="s">
        <v>1013</v>
      </c>
      <c r="P145" s="1">
        <v>11500</v>
      </c>
      <c r="Q145">
        <v>16</v>
      </c>
      <c r="R145" t="s">
        <v>1014</v>
      </c>
      <c r="S145" s="1">
        <f>Tabla1[[#This Row],[OS-Valor Unitario]]-Tabla1[[#This Row],[costo_antes_iva]]</f>
        <v>500</v>
      </c>
      <c r="T145" s="1">
        <f>Tabla1[[#This Row],[OS-Valor Unitario]]*Tabla1[[#This Row],[OS-Cantidad]]</f>
        <v>184000</v>
      </c>
      <c r="U145" s="1">
        <f>Tabla1[[#This Row],[costo_antes_iva]]*Tabla1[[#This Row],[OS-Cantidad]]</f>
        <v>176000</v>
      </c>
      <c r="V145" s="1">
        <f>Tabla1[[#This Row],[Valor total OS]]-Tabla1[[#This Row],[valor total op]]</f>
        <v>8000</v>
      </c>
      <c r="W145" s="1">
        <f>ROUNDDOWN(Tabla1[[#This Row],[Diferencia]]/200000,0)*200000</f>
        <v>0</v>
      </c>
    </row>
    <row r="146" spans="1:23" hidden="1" x14ac:dyDescent="0.3">
      <c r="A146">
        <v>6382</v>
      </c>
      <c r="B146">
        <v>1</v>
      </c>
      <c r="C146" t="s">
        <v>1033</v>
      </c>
      <c r="D146">
        <v>8</v>
      </c>
      <c r="E146" t="s">
        <v>1034</v>
      </c>
      <c r="F146" t="s">
        <v>1035</v>
      </c>
      <c r="G146" t="s">
        <v>209</v>
      </c>
      <c r="H146" t="s">
        <v>166</v>
      </c>
      <c r="I146">
        <v>1</v>
      </c>
      <c r="J146">
        <v>74603513</v>
      </c>
      <c r="K146" s="2">
        <v>45960</v>
      </c>
      <c r="L146" s="1">
        <v>4500</v>
      </c>
      <c r="M146" t="s">
        <v>1036</v>
      </c>
      <c r="N146" t="s">
        <v>51</v>
      </c>
      <c r="O146" t="s">
        <v>1037</v>
      </c>
      <c r="P146" s="1">
        <v>5500</v>
      </c>
      <c r="Q146">
        <v>8</v>
      </c>
      <c r="R146" t="s">
        <v>1038</v>
      </c>
      <c r="S146" s="1">
        <f>Tabla1[[#This Row],[OS-Valor Unitario]]-Tabla1[[#This Row],[costo_antes_iva]]</f>
        <v>1000</v>
      </c>
      <c r="T146" s="1">
        <f>Tabla1[[#This Row],[OS-Valor Unitario]]*Tabla1[[#This Row],[OS-Cantidad]]</f>
        <v>44000</v>
      </c>
      <c r="U146" s="1">
        <f>Tabla1[[#This Row],[costo_antes_iva]]*Tabla1[[#This Row],[OS-Cantidad]]</f>
        <v>36000</v>
      </c>
      <c r="V146" s="1">
        <f>Tabla1[[#This Row],[Valor total OS]]-Tabla1[[#This Row],[valor total op]]</f>
        <v>8000</v>
      </c>
      <c r="W146" s="1">
        <f>ROUNDDOWN(Tabla1[[#This Row],[Diferencia]]/200000,0)*200000</f>
        <v>0</v>
      </c>
    </row>
    <row r="147" spans="1:23" hidden="1" x14ac:dyDescent="0.3">
      <c r="A147">
        <v>6382</v>
      </c>
      <c r="B147">
        <v>1</v>
      </c>
      <c r="C147" t="s">
        <v>1033</v>
      </c>
      <c r="D147">
        <v>8</v>
      </c>
      <c r="E147" t="s">
        <v>1034</v>
      </c>
      <c r="F147" t="s">
        <v>1035</v>
      </c>
      <c r="G147" t="s">
        <v>209</v>
      </c>
      <c r="H147" t="s">
        <v>166</v>
      </c>
      <c r="I147">
        <v>1</v>
      </c>
      <c r="J147">
        <v>74604467</v>
      </c>
      <c r="K147" s="2">
        <v>45960</v>
      </c>
      <c r="L147" s="1">
        <v>4500</v>
      </c>
      <c r="M147" t="s">
        <v>1040</v>
      </c>
      <c r="N147" t="s">
        <v>51</v>
      </c>
      <c r="O147" t="s">
        <v>1037</v>
      </c>
      <c r="P147" s="1">
        <v>5500</v>
      </c>
      <c r="Q147">
        <v>8</v>
      </c>
      <c r="R147" t="s">
        <v>1038</v>
      </c>
      <c r="S147" s="1">
        <f>Tabla1[[#This Row],[OS-Valor Unitario]]-Tabla1[[#This Row],[costo_antes_iva]]</f>
        <v>1000</v>
      </c>
      <c r="T147" s="1">
        <f>Tabla1[[#This Row],[OS-Valor Unitario]]*Tabla1[[#This Row],[OS-Cantidad]]</f>
        <v>44000</v>
      </c>
      <c r="U147" s="1">
        <f>Tabla1[[#This Row],[costo_antes_iva]]*Tabla1[[#This Row],[OS-Cantidad]]</f>
        <v>36000</v>
      </c>
      <c r="V147" s="1">
        <f>Tabla1[[#This Row],[Valor total OS]]-Tabla1[[#This Row],[valor total op]]</f>
        <v>8000</v>
      </c>
      <c r="W147" s="1">
        <f>ROUNDDOWN(Tabla1[[#This Row],[Diferencia]]/200000,0)*200000</f>
        <v>0</v>
      </c>
    </row>
    <row r="148" spans="1:23" hidden="1" x14ac:dyDescent="0.3">
      <c r="A148">
        <v>6382</v>
      </c>
      <c r="B148">
        <v>2</v>
      </c>
      <c r="C148" t="s">
        <v>1041</v>
      </c>
      <c r="D148">
        <v>8</v>
      </c>
      <c r="E148" t="s">
        <v>1034</v>
      </c>
      <c r="F148" t="s">
        <v>1042</v>
      </c>
      <c r="G148" t="s">
        <v>209</v>
      </c>
      <c r="H148" t="s">
        <v>166</v>
      </c>
      <c r="I148">
        <v>1</v>
      </c>
      <c r="J148">
        <v>74603520</v>
      </c>
      <c r="K148" s="2">
        <v>45960</v>
      </c>
      <c r="L148" s="1">
        <v>4500</v>
      </c>
      <c r="M148" t="s">
        <v>1036</v>
      </c>
      <c r="N148" t="s">
        <v>51</v>
      </c>
      <c r="O148" t="s">
        <v>1043</v>
      </c>
      <c r="P148" s="1">
        <v>5500</v>
      </c>
      <c r="Q148">
        <v>8</v>
      </c>
      <c r="R148" t="s">
        <v>1044</v>
      </c>
      <c r="S148" s="1">
        <f>Tabla1[[#This Row],[OS-Valor Unitario]]-Tabla1[[#This Row],[costo_antes_iva]]</f>
        <v>1000</v>
      </c>
      <c r="T148" s="1">
        <f>Tabla1[[#This Row],[OS-Valor Unitario]]*Tabla1[[#This Row],[OS-Cantidad]]</f>
        <v>44000</v>
      </c>
      <c r="U148" s="1">
        <f>Tabla1[[#This Row],[costo_antes_iva]]*Tabla1[[#This Row],[OS-Cantidad]]</f>
        <v>36000</v>
      </c>
      <c r="V148" s="1">
        <f>Tabla1[[#This Row],[Valor total OS]]-Tabla1[[#This Row],[valor total op]]</f>
        <v>8000</v>
      </c>
      <c r="W148" s="1">
        <f>ROUNDDOWN(Tabla1[[#This Row],[Diferencia]]/200000,0)*200000</f>
        <v>0</v>
      </c>
    </row>
    <row r="149" spans="1:23" hidden="1" x14ac:dyDescent="0.3">
      <c r="A149">
        <v>6486</v>
      </c>
      <c r="B149">
        <v>2</v>
      </c>
      <c r="C149" t="s">
        <v>608</v>
      </c>
      <c r="D149">
        <v>15</v>
      </c>
      <c r="E149" t="s">
        <v>602</v>
      </c>
      <c r="F149" t="s">
        <v>609</v>
      </c>
      <c r="G149" t="s">
        <v>1376</v>
      </c>
      <c r="H149" t="s">
        <v>166</v>
      </c>
      <c r="I149">
        <v>1</v>
      </c>
      <c r="J149">
        <v>77667982</v>
      </c>
      <c r="K149" s="2">
        <v>46014</v>
      </c>
      <c r="L149" s="1">
        <v>4500</v>
      </c>
      <c r="M149" t="s">
        <v>604</v>
      </c>
      <c r="N149" t="s">
        <v>51</v>
      </c>
      <c r="O149" t="s">
        <v>610</v>
      </c>
      <c r="P149" s="1">
        <v>5000</v>
      </c>
      <c r="Q149">
        <v>15</v>
      </c>
      <c r="R149" t="s">
        <v>611</v>
      </c>
      <c r="S149" s="1">
        <f>Tabla1[[#This Row],[OS-Valor Unitario]]-Tabla1[[#This Row],[costo_antes_iva]]</f>
        <v>500</v>
      </c>
      <c r="T149" s="1">
        <f>Tabla1[[#This Row],[OS-Valor Unitario]]*Tabla1[[#This Row],[OS-Cantidad]]</f>
        <v>75000</v>
      </c>
      <c r="U149" s="1">
        <f>Tabla1[[#This Row],[costo_antes_iva]]*Tabla1[[#This Row],[OS-Cantidad]]</f>
        <v>67500</v>
      </c>
      <c r="V149" s="1">
        <f>Tabla1[[#This Row],[Valor total OS]]-Tabla1[[#This Row],[valor total op]]</f>
        <v>7500</v>
      </c>
      <c r="W149" s="1">
        <f>ROUNDDOWN(Tabla1[[#This Row],[Diferencia]]/200000,0)*200000</f>
        <v>0</v>
      </c>
    </row>
    <row r="150" spans="1:23" hidden="1" x14ac:dyDescent="0.3">
      <c r="A150">
        <v>6433</v>
      </c>
      <c r="B150">
        <v>12</v>
      </c>
      <c r="C150" t="s">
        <v>878</v>
      </c>
      <c r="D150">
        <v>14</v>
      </c>
      <c r="E150" t="s">
        <v>834</v>
      </c>
      <c r="F150" t="s">
        <v>879</v>
      </c>
      <c r="G150" t="s">
        <v>336</v>
      </c>
      <c r="H150" t="s">
        <v>166</v>
      </c>
      <c r="I150">
        <v>0</v>
      </c>
      <c r="J150">
        <v>76290295</v>
      </c>
      <c r="K150" s="2">
        <v>45988</v>
      </c>
      <c r="L150" s="1">
        <v>2500</v>
      </c>
      <c r="M150" t="s">
        <v>837</v>
      </c>
      <c r="N150" t="s">
        <v>51</v>
      </c>
      <c r="O150" t="s">
        <v>880</v>
      </c>
      <c r="P150" s="1">
        <v>3000</v>
      </c>
      <c r="Q150">
        <v>15</v>
      </c>
      <c r="R150" t="s">
        <v>881</v>
      </c>
      <c r="S150" s="1">
        <f>Tabla1[[#This Row],[OS-Valor Unitario]]-Tabla1[[#This Row],[costo_antes_iva]]</f>
        <v>500</v>
      </c>
      <c r="T150" s="1">
        <f>Tabla1[[#This Row],[OS-Valor Unitario]]*Tabla1[[#This Row],[OS-Cantidad]]</f>
        <v>45000</v>
      </c>
      <c r="U150" s="1">
        <f>Tabla1[[#This Row],[costo_antes_iva]]*Tabla1[[#This Row],[OS-Cantidad]]</f>
        <v>37500</v>
      </c>
      <c r="V150" s="1">
        <f>Tabla1[[#This Row],[Valor total OS]]-Tabla1[[#This Row],[valor total op]]</f>
        <v>7500</v>
      </c>
      <c r="W150" s="1">
        <f>ROUNDDOWN(Tabla1[[#This Row],[Diferencia]]/200000,0)*200000</f>
        <v>0</v>
      </c>
    </row>
    <row r="151" spans="1:23" hidden="1" x14ac:dyDescent="0.3">
      <c r="A151">
        <v>6433</v>
      </c>
      <c r="B151">
        <v>13</v>
      </c>
      <c r="C151" t="s">
        <v>882</v>
      </c>
      <c r="D151">
        <v>14</v>
      </c>
      <c r="E151" t="s">
        <v>834</v>
      </c>
      <c r="F151" t="s">
        <v>883</v>
      </c>
      <c r="G151" t="s">
        <v>336</v>
      </c>
      <c r="H151" t="s">
        <v>166</v>
      </c>
      <c r="I151">
        <v>0</v>
      </c>
      <c r="J151">
        <v>76290326</v>
      </c>
      <c r="K151" s="2">
        <v>45988</v>
      </c>
      <c r="L151" s="1">
        <v>2500</v>
      </c>
      <c r="M151" t="s">
        <v>837</v>
      </c>
      <c r="N151" t="s">
        <v>51</v>
      </c>
      <c r="O151" t="s">
        <v>884</v>
      </c>
      <c r="P151" s="1">
        <v>3000</v>
      </c>
      <c r="Q151">
        <v>15</v>
      </c>
      <c r="R151" t="s">
        <v>885</v>
      </c>
      <c r="S151" s="1">
        <f>Tabla1[[#This Row],[OS-Valor Unitario]]-Tabla1[[#This Row],[costo_antes_iva]]</f>
        <v>500</v>
      </c>
      <c r="T151" s="1">
        <f>Tabla1[[#This Row],[OS-Valor Unitario]]*Tabla1[[#This Row],[OS-Cantidad]]</f>
        <v>45000</v>
      </c>
      <c r="U151" s="1">
        <f>Tabla1[[#This Row],[costo_antes_iva]]*Tabla1[[#This Row],[OS-Cantidad]]</f>
        <v>37500</v>
      </c>
      <c r="V151" s="1">
        <f>Tabla1[[#This Row],[Valor total OS]]-Tabla1[[#This Row],[valor total op]]</f>
        <v>7500</v>
      </c>
      <c r="W151" s="1">
        <f>ROUNDDOWN(Tabla1[[#This Row],[Diferencia]]/200000,0)*200000</f>
        <v>0</v>
      </c>
    </row>
    <row r="152" spans="1:23" hidden="1" x14ac:dyDescent="0.3">
      <c r="A152">
        <v>6433</v>
      </c>
      <c r="B152">
        <v>14</v>
      </c>
      <c r="C152" t="s">
        <v>886</v>
      </c>
      <c r="D152">
        <v>14</v>
      </c>
      <c r="E152" t="s">
        <v>834</v>
      </c>
      <c r="F152" t="s">
        <v>887</v>
      </c>
      <c r="G152" t="s">
        <v>336</v>
      </c>
      <c r="H152" t="s">
        <v>166</v>
      </c>
      <c r="I152">
        <v>0</v>
      </c>
      <c r="J152">
        <v>76290364</v>
      </c>
      <c r="K152" s="2">
        <v>45988</v>
      </c>
      <c r="L152" s="1">
        <v>2500</v>
      </c>
      <c r="M152" t="s">
        <v>837</v>
      </c>
      <c r="N152" t="s">
        <v>51</v>
      </c>
      <c r="O152" t="s">
        <v>888</v>
      </c>
      <c r="P152" s="1">
        <v>3000</v>
      </c>
      <c r="Q152">
        <v>15</v>
      </c>
      <c r="R152" t="s">
        <v>889</v>
      </c>
      <c r="S152" s="1">
        <f>Tabla1[[#This Row],[OS-Valor Unitario]]-Tabla1[[#This Row],[costo_antes_iva]]</f>
        <v>500</v>
      </c>
      <c r="T152" s="1">
        <f>Tabla1[[#This Row],[OS-Valor Unitario]]*Tabla1[[#This Row],[OS-Cantidad]]</f>
        <v>45000</v>
      </c>
      <c r="U152" s="1">
        <f>Tabla1[[#This Row],[costo_antes_iva]]*Tabla1[[#This Row],[OS-Cantidad]]</f>
        <v>37500</v>
      </c>
      <c r="V152" s="1">
        <f>Tabla1[[#This Row],[Valor total OS]]-Tabla1[[#This Row],[valor total op]]</f>
        <v>7500</v>
      </c>
      <c r="W152" s="1">
        <f>ROUNDDOWN(Tabla1[[#This Row],[Diferencia]]/200000,0)*200000</f>
        <v>0</v>
      </c>
    </row>
    <row r="153" spans="1:23" hidden="1" x14ac:dyDescent="0.3">
      <c r="A153">
        <v>6492</v>
      </c>
      <c r="B153">
        <v>16</v>
      </c>
      <c r="C153" t="s">
        <v>486</v>
      </c>
      <c r="D153">
        <v>4</v>
      </c>
      <c r="E153" t="s">
        <v>418</v>
      </c>
      <c r="F153" t="s">
        <v>487</v>
      </c>
      <c r="G153" t="s">
        <v>1376</v>
      </c>
      <c r="H153" t="s">
        <v>317</v>
      </c>
      <c r="I153">
        <v>4</v>
      </c>
      <c r="J153">
        <v>77864662</v>
      </c>
      <c r="K153" s="2">
        <v>46020</v>
      </c>
      <c r="L153" s="1">
        <v>3200</v>
      </c>
      <c r="M153" t="s">
        <v>420</v>
      </c>
      <c r="N153" t="s">
        <v>51</v>
      </c>
      <c r="O153" t="s">
        <v>488</v>
      </c>
      <c r="P153" s="1">
        <v>5000</v>
      </c>
      <c r="Q153">
        <v>4</v>
      </c>
      <c r="R153" t="s">
        <v>489</v>
      </c>
      <c r="S153" s="1">
        <f>Tabla1[[#This Row],[OS-Valor Unitario]]-Tabla1[[#This Row],[costo_antes_iva]]</f>
        <v>1800</v>
      </c>
      <c r="T153" s="1">
        <f>Tabla1[[#This Row],[OS-Valor Unitario]]*Tabla1[[#This Row],[OS-Cantidad]]</f>
        <v>20000</v>
      </c>
      <c r="U153" s="1">
        <f>Tabla1[[#This Row],[costo_antes_iva]]*Tabla1[[#This Row],[OS-Cantidad]]</f>
        <v>12800</v>
      </c>
      <c r="V153" s="1">
        <f>Tabla1[[#This Row],[Valor total OS]]-Tabla1[[#This Row],[valor total op]]</f>
        <v>7200</v>
      </c>
      <c r="W153" s="1">
        <f>ROUNDDOWN(Tabla1[[#This Row],[Diferencia]]/200000,0)*200000</f>
        <v>0</v>
      </c>
    </row>
    <row r="154" spans="1:23" hidden="1" x14ac:dyDescent="0.3">
      <c r="A154">
        <v>6492</v>
      </c>
      <c r="B154">
        <v>16</v>
      </c>
      <c r="C154" t="s">
        <v>486</v>
      </c>
      <c r="D154">
        <v>4</v>
      </c>
      <c r="E154" t="s">
        <v>529</v>
      </c>
      <c r="F154" t="s">
        <v>487</v>
      </c>
      <c r="G154" t="s">
        <v>1376</v>
      </c>
      <c r="H154" t="s">
        <v>317</v>
      </c>
      <c r="I154">
        <v>4</v>
      </c>
      <c r="J154">
        <v>77864662</v>
      </c>
      <c r="K154" s="2">
        <v>46020</v>
      </c>
      <c r="L154" s="1">
        <v>3200</v>
      </c>
      <c r="M154" t="s">
        <v>420</v>
      </c>
      <c r="N154" t="s">
        <v>51</v>
      </c>
      <c r="O154" t="s">
        <v>488</v>
      </c>
      <c r="P154" s="1">
        <v>5000</v>
      </c>
      <c r="Q154">
        <v>4</v>
      </c>
      <c r="R154" t="s">
        <v>489</v>
      </c>
      <c r="S154" s="1">
        <f>Tabla1[[#This Row],[OS-Valor Unitario]]-Tabla1[[#This Row],[costo_antes_iva]]</f>
        <v>1800</v>
      </c>
      <c r="T154" s="1">
        <f>Tabla1[[#This Row],[OS-Valor Unitario]]*Tabla1[[#This Row],[OS-Cantidad]]</f>
        <v>20000</v>
      </c>
      <c r="U154" s="1">
        <f>Tabla1[[#This Row],[costo_antes_iva]]*Tabla1[[#This Row],[OS-Cantidad]]</f>
        <v>12800</v>
      </c>
      <c r="V154" s="1">
        <f>Tabla1[[#This Row],[Valor total OS]]-Tabla1[[#This Row],[valor total op]]</f>
        <v>7200</v>
      </c>
      <c r="W154" s="1">
        <f>ROUNDDOWN(Tabla1[[#This Row],[Diferencia]]/200000,0)*200000</f>
        <v>0</v>
      </c>
    </row>
    <row r="155" spans="1:23" hidden="1" x14ac:dyDescent="0.3">
      <c r="A155">
        <v>6492</v>
      </c>
      <c r="B155">
        <v>9</v>
      </c>
      <c r="C155" t="s">
        <v>451</v>
      </c>
      <c r="D155">
        <v>22</v>
      </c>
      <c r="E155" t="s">
        <v>418</v>
      </c>
      <c r="F155" t="s">
        <v>452</v>
      </c>
      <c r="G155" t="s">
        <v>118</v>
      </c>
      <c r="H155" t="s">
        <v>317</v>
      </c>
      <c r="I155">
        <v>22</v>
      </c>
      <c r="J155">
        <v>77864602</v>
      </c>
      <c r="K155" s="2">
        <v>46020</v>
      </c>
      <c r="L155" s="1">
        <v>1300</v>
      </c>
      <c r="M155" t="s">
        <v>420</v>
      </c>
      <c r="N155" t="s">
        <v>65</v>
      </c>
      <c r="O155" t="s">
        <v>453</v>
      </c>
      <c r="P155" s="1">
        <v>1600</v>
      </c>
      <c r="Q155">
        <v>22</v>
      </c>
      <c r="R155" t="s">
        <v>455</v>
      </c>
      <c r="S155" s="1">
        <f>Tabla1[[#This Row],[OS-Valor Unitario]]-Tabla1[[#This Row],[costo_antes_iva]]</f>
        <v>300</v>
      </c>
      <c r="T155" s="1">
        <f>Tabla1[[#This Row],[OS-Valor Unitario]]*Tabla1[[#This Row],[OS-Cantidad]]</f>
        <v>35200</v>
      </c>
      <c r="U155" s="1">
        <f>Tabla1[[#This Row],[costo_antes_iva]]*Tabla1[[#This Row],[OS-Cantidad]]</f>
        <v>28600</v>
      </c>
      <c r="V155" s="1">
        <f>Tabla1[[#This Row],[Valor total OS]]-Tabla1[[#This Row],[valor total op]]</f>
        <v>6600</v>
      </c>
      <c r="W155" s="1">
        <f>ROUNDDOWN(Tabla1[[#This Row],[Diferencia]]/200000,0)*200000</f>
        <v>0</v>
      </c>
    </row>
    <row r="156" spans="1:23" hidden="1" x14ac:dyDescent="0.3">
      <c r="A156">
        <v>6492</v>
      </c>
      <c r="B156">
        <v>9</v>
      </c>
      <c r="C156" t="s">
        <v>451</v>
      </c>
      <c r="D156">
        <v>22</v>
      </c>
      <c r="E156" t="s">
        <v>529</v>
      </c>
      <c r="F156" t="s">
        <v>452</v>
      </c>
      <c r="G156" t="s">
        <v>118</v>
      </c>
      <c r="H156" t="s">
        <v>317</v>
      </c>
      <c r="I156">
        <v>22</v>
      </c>
      <c r="J156">
        <v>77864602</v>
      </c>
      <c r="K156" s="2">
        <v>46020</v>
      </c>
      <c r="L156" s="1">
        <v>1300</v>
      </c>
      <c r="M156" t="s">
        <v>420</v>
      </c>
      <c r="N156" t="s">
        <v>65</v>
      </c>
      <c r="O156" t="s">
        <v>453</v>
      </c>
      <c r="P156" s="1">
        <v>1600</v>
      </c>
      <c r="Q156">
        <v>22</v>
      </c>
      <c r="R156" t="s">
        <v>455</v>
      </c>
      <c r="S156" s="1">
        <f>Tabla1[[#This Row],[OS-Valor Unitario]]-Tabla1[[#This Row],[costo_antes_iva]]</f>
        <v>300</v>
      </c>
      <c r="T156" s="1">
        <f>Tabla1[[#This Row],[OS-Valor Unitario]]*Tabla1[[#This Row],[OS-Cantidad]]</f>
        <v>35200</v>
      </c>
      <c r="U156" s="1">
        <f>Tabla1[[#This Row],[costo_antes_iva]]*Tabla1[[#This Row],[OS-Cantidad]]</f>
        <v>28600</v>
      </c>
      <c r="V156" s="1">
        <f>Tabla1[[#This Row],[Valor total OS]]-Tabla1[[#This Row],[valor total op]]</f>
        <v>6600</v>
      </c>
      <c r="W156" s="1">
        <f>ROUNDDOWN(Tabla1[[#This Row],[Diferencia]]/200000,0)*200000</f>
        <v>0</v>
      </c>
    </row>
    <row r="157" spans="1:23" hidden="1" x14ac:dyDescent="0.3">
      <c r="A157">
        <v>6533</v>
      </c>
      <c r="B157">
        <v>6</v>
      </c>
      <c r="C157" t="s">
        <v>279</v>
      </c>
      <c r="D157">
        <v>39</v>
      </c>
      <c r="E157" t="s">
        <v>260</v>
      </c>
      <c r="F157" t="s">
        <v>280</v>
      </c>
      <c r="G157" t="s">
        <v>118</v>
      </c>
      <c r="H157" t="s">
        <v>262</v>
      </c>
      <c r="I157">
        <v>39</v>
      </c>
      <c r="J157">
        <v>79196547</v>
      </c>
      <c r="K157" s="2">
        <v>46050</v>
      </c>
      <c r="L157" s="1">
        <v>750</v>
      </c>
      <c r="M157" t="s">
        <v>263</v>
      </c>
      <c r="N157" t="s">
        <v>24</v>
      </c>
      <c r="O157" t="s">
        <v>281</v>
      </c>
      <c r="P157" s="1">
        <v>900</v>
      </c>
      <c r="Q157">
        <v>41</v>
      </c>
      <c r="R157" t="s">
        <v>282</v>
      </c>
      <c r="S157" s="1">
        <f>Tabla1[[#This Row],[OS-Valor Unitario]]-Tabla1[[#This Row],[costo_antes_iva]]</f>
        <v>150</v>
      </c>
      <c r="T157" s="1">
        <f>Tabla1[[#This Row],[OS-Valor Unitario]]*Tabla1[[#This Row],[OS-Cantidad]]</f>
        <v>36900</v>
      </c>
      <c r="U157" s="1">
        <f>Tabla1[[#This Row],[costo_antes_iva]]*Tabla1[[#This Row],[OS-Cantidad]]</f>
        <v>30750</v>
      </c>
      <c r="V157" s="1">
        <f>Tabla1[[#This Row],[Valor total OS]]-Tabla1[[#This Row],[valor total op]]</f>
        <v>6150</v>
      </c>
      <c r="W157" s="1">
        <f>ROUNDDOWN(Tabla1[[#This Row],[Diferencia]]/200000,0)*200000</f>
        <v>0</v>
      </c>
    </row>
    <row r="158" spans="1:23" hidden="1" x14ac:dyDescent="0.3">
      <c r="A158">
        <v>6524</v>
      </c>
      <c r="B158">
        <v>5</v>
      </c>
      <c r="C158" t="s">
        <v>343</v>
      </c>
      <c r="D158">
        <v>10</v>
      </c>
      <c r="E158" t="s">
        <v>323</v>
      </c>
      <c r="F158" t="s">
        <v>344</v>
      </c>
      <c r="G158" t="s">
        <v>336</v>
      </c>
      <c r="H158" t="s">
        <v>166</v>
      </c>
      <c r="I158">
        <v>10</v>
      </c>
      <c r="J158">
        <v>78936157</v>
      </c>
      <c r="K158" s="2">
        <v>46045</v>
      </c>
      <c r="L158" s="1">
        <v>2500</v>
      </c>
      <c r="M158" t="s">
        <v>326</v>
      </c>
      <c r="N158" t="s">
        <v>51</v>
      </c>
      <c r="O158" t="s">
        <v>345</v>
      </c>
      <c r="P158" s="1">
        <v>3000</v>
      </c>
      <c r="Q158">
        <v>12</v>
      </c>
      <c r="R158" t="s">
        <v>346</v>
      </c>
      <c r="S158" s="1">
        <f>Tabla1[[#This Row],[OS-Valor Unitario]]-Tabla1[[#This Row],[costo_antes_iva]]</f>
        <v>500</v>
      </c>
      <c r="T158" s="1">
        <f>Tabla1[[#This Row],[OS-Valor Unitario]]*Tabla1[[#This Row],[OS-Cantidad]]</f>
        <v>36000</v>
      </c>
      <c r="U158" s="1">
        <f>Tabla1[[#This Row],[costo_antes_iva]]*Tabla1[[#This Row],[OS-Cantidad]]</f>
        <v>30000</v>
      </c>
      <c r="V158" s="1">
        <f>Tabla1[[#This Row],[Valor total OS]]-Tabla1[[#This Row],[valor total op]]</f>
        <v>6000</v>
      </c>
      <c r="W158" s="1">
        <f>ROUNDDOWN(Tabla1[[#This Row],[Diferencia]]/200000,0)*200000</f>
        <v>0</v>
      </c>
    </row>
    <row r="159" spans="1:23" x14ac:dyDescent="0.3">
      <c r="A159">
        <v>6376</v>
      </c>
      <c r="B159">
        <v>8</v>
      </c>
      <c r="C159" t="s">
        <v>1218</v>
      </c>
      <c r="D159">
        <v>12</v>
      </c>
      <c r="E159" t="s">
        <v>1188</v>
      </c>
      <c r="F159" t="s">
        <v>1219</v>
      </c>
      <c r="G159" t="s">
        <v>776</v>
      </c>
      <c r="H159" t="s">
        <v>166</v>
      </c>
      <c r="I159">
        <v>1</v>
      </c>
      <c r="J159">
        <v>74394272</v>
      </c>
      <c r="K159" s="2">
        <v>45957</v>
      </c>
      <c r="L159" s="1">
        <v>5000</v>
      </c>
      <c r="M159" t="s">
        <v>1190</v>
      </c>
      <c r="N159" t="s">
        <v>51</v>
      </c>
      <c r="O159" t="s">
        <v>1220</v>
      </c>
      <c r="P159" s="1">
        <v>5500</v>
      </c>
      <c r="Q159">
        <v>12</v>
      </c>
      <c r="R159" t="s">
        <v>1221</v>
      </c>
      <c r="S159" s="1">
        <f>Tabla1[[#This Row],[OS-Valor Unitario]]-Tabla1[[#This Row],[costo_antes_iva]]</f>
        <v>500</v>
      </c>
      <c r="T159" s="1">
        <f>Tabla1[[#This Row],[OS-Valor Unitario]]*Tabla1[[#This Row],[OS-Cantidad]]</f>
        <v>66000</v>
      </c>
      <c r="U159" s="1">
        <f>Tabla1[[#This Row],[costo_antes_iva]]*Tabla1[[#This Row],[OS-Cantidad]]</f>
        <v>60000</v>
      </c>
      <c r="V159" s="1">
        <f>Tabla1[[#This Row],[Valor total OS]]-Tabla1[[#This Row],[valor total op]]</f>
        <v>6000</v>
      </c>
      <c r="W159" s="1">
        <f>ROUNDDOWN(Tabla1[[#This Row],[Diferencia]]/200000,0)*200000</f>
        <v>0</v>
      </c>
    </row>
    <row r="160" spans="1:23" hidden="1" x14ac:dyDescent="0.3">
      <c r="A160">
        <v>6421</v>
      </c>
      <c r="B160">
        <v>3</v>
      </c>
      <c r="C160" t="s">
        <v>933</v>
      </c>
      <c r="D160">
        <v>11</v>
      </c>
      <c r="E160" t="s">
        <v>921</v>
      </c>
      <c r="F160" t="s">
        <v>934</v>
      </c>
      <c r="G160" t="s">
        <v>118</v>
      </c>
      <c r="H160" t="s">
        <v>923</v>
      </c>
      <c r="I160">
        <v>11</v>
      </c>
      <c r="J160">
        <v>75709153</v>
      </c>
      <c r="K160" s="2">
        <v>45982</v>
      </c>
      <c r="L160" s="1">
        <v>12500</v>
      </c>
      <c r="M160" t="s">
        <v>924</v>
      </c>
      <c r="N160" t="s">
        <v>51</v>
      </c>
      <c r="O160" t="s">
        <v>935</v>
      </c>
      <c r="P160" s="1">
        <v>13000</v>
      </c>
      <c r="Q160">
        <v>11</v>
      </c>
      <c r="R160" t="s">
        <v>936</v>
      </c>
      <c r="S160" s="1">
        <f>Tabla1[[#This Row],[OS-Valor Unitario]]-Tabla1[[#This Row],[costo_antes_iva]]</f>
        <v>500</v>
      </c>
      <c r="T160" s="1">
        <f>Tabla1[[#This Row],[OS-Valor Unitario]]*Tabla1[[#This Row],[OS-Cantidad]]</f>
        <v>143000</v>
      </c>
      <c r="U160" s="1">
        <f>Tabla1[[#This Row],[costo_antes_iva]]*Tabla1[[#This Row],[OS-Cantidad]]</f>
        <v>137500</v>
      </c>
      <c r="V160" s="1">
        <f>Tabla1[[#This Row],[Valor total OS]]-Tabla1[[#This Row],[valor total op]]</f>
        <v>5500</v>
      </c>
      <c r="W160" s="1">
        <f>ROUNDDOWN(Tabla1[[#This Row],[Diferencia]]/200000,0)*200000</f>
        <v>0</v>
      </c>
    </row>
    <row r="161" spans="1:23" hidden="1" x14ac:dyDescent="0.3">
      <c r="A161">
        <v>6618</v>
      </c>
      <c r="B161">
        <v>14</v>
      </c>
      <c r="C161" t="s">
        <v>101</v>
      </c>
      <c r="D161">
        <v>10</v>
      </c>
      <c r="E161" t="s">
        <v>61</v>
      </c>
      <c r="F161" t="s">
        <v>102</v>
      </c>
      <c r="G161" t="s">
        <v>98</v>
      </c>
      <c r="H161" t="s">
        <v>63</v>
      </c>
      <c r="I161">
        <v>1</v>
      </c>
      <c r="J161">
        <v>80759238</v>
      </c>
      <c r="K161" s="2">
        <v>46079</v>
      </c>
      <c r="L161" s="1">
        <v>4000</v>
      </c>
      <c r="M161" t="s">
        <v>64</v>
      </c>
      <c r="N161" t="s">
        <v>51</v>
      </c>
      <c r="O161" t="s">
        <v>103</v>
      </c>
      <c r="P161" s="1">
        <v>4500</v>
      </c>
      <c r="Q161">
        <v>10</v>
      </c>
      <c r="R161" t="s">
        <v>105</v>
      </c>
      <c r="S161" s="1">
        <f>Tabla1[[#This Row],[OS-Valor Unitario]]-Tabla1[[#This Row],[costo_antes_iva]]</f>
        <v>500</v>
      </c>
      <c r="T161" s="1">
        <f>Tabla1[[#This Row],[OS-Valor Unitario]]*Tabla1[[#This Row],[OS-Cantidad]]</f>
        <v>45000</v>
      </c>
      <c r="U161" s="1">
        <f>Tabla1[[#This Row],[costo_antes_iva]]*Tabla1[[#This Row],[OS-Cantidad]]</f>
        <v>40000</v>
      </c>
      <c r="V161" s="1">
        <f>Tabla1[[#This Row],[Valor total OS]]-Tabla1[[#This Row],[valor total op]]</f>
        <v>5000</v>
      </c>
      <c r="W161" s="1">
        <f>ROUNDDOWN(Tabla1[[#This Row],[Diferencia]]/200000,0)*200000</f>
        <v>0</v>
      </c>
    </row>
    <row r="162" spans="1:23" hidden="1" x14ac:dyDescent="0.3">
      <c r="A162">
        <v>6517</v>
      </c>
      <c r="B162">
        <v>1</v>
      </c>
      <c r="C162" t="s">
        <v>361</v>
      </c>
      <c r="D162">
        <v>10</v>
      </c>
      <c r="E162" t="s">
        <v>362</v>
      </c>
      <c r="F162" t="s">
        <v>363</v>
      </c>
      <c r="G162" t="s">
        <v>1379</v>
      </c>
      <c r="H162" t="s">
        <v>364</v>
      </c>
      <c r="I162">
        <v>10</v>
      </c>
      <c r="J162">
        <v>78812224</v>
      </c>
      <c r="K162" s="2">
        <v>46043</v>
      </c>
      <c r="L162" s="1">
        <v>2000</v>
      </c>
      <c r="M162" t="s">
        <v>365</v>
      </c>
      <c r="N162" t="s">
        <v>65</v>
      </c>
      <c r="O162" t="s">
        <v>366</v>
      </c>
      <c r="P162" s="1">
        <v>2500</v>
      </c>
      <c r="Q162">
        <v>10</v>
      </c>
      <c r="R162" t="s">
        <v>367</v>
      </c>
      <c r="S162" s="1">
        <f>Tabla1[[#This Row],[OS-Valor Unitario]]-Tabla1[[#This Row],[costo_antes_iva]]</f>
        <v>500</v>
      </c>
      <c r="T162" s="1">
        <f>Tabla1[[#This Row],[OS-Valor Unitario]]*Tabla1[[#This Row],[OS-Cantidad]]</f>
        <v>25000</v>
      </c>
      <c r="U162" s="1">
        <f>Tabla1[[#This Row],[costo_antes_iva]]*Tabla1[[#This Row],[OS-Cantidad]]</f>
        <v>20000</v>
      </c>
      <c r="V162" s="1">
        <f>Tabla1[[#This Row],[Valor total OS]]-Tabla1[[#This Row],[valor total op]]</f>
        <v>5000</v>
      </c>
      <c r="W162" s="1">
        <f>ROUNDDOWN(Tabla1[[#This Row],[Diferencia]]/200000,0)*200000</f>
        <v>0</v>
      </c>
    </row>
    <row r="163" spans="1:23" hidden="1" x14ac:dyDescent="0.3">
      <c r="A163">
        <v>6523</v>
      </c>
      <c r="B163">
        <v>1</v>
      </c>
      <c r="C163" t="s">
        <v>347</v>
      </c>
      <c r="D163">
        <v>5</v>
      </c>
      <c r="E163" t="s">
        <v>348</v>
      </c>
      <c r="F163" t="s">
        <v>349</v>
      </c>
      <c r="G163" t="s">
        <v>350</v>
      </c>
      <c r="H163" t="s">
        <v>351</v>
      </c>
      <c r="I163">
        <v>5</v>
      </c>
      <c r="J163">
        <v>78810546</v>
      </c>
      <c r="K163" s="2">
        <v>46043</v>
      </c>
      <c r="L163" s="1">
        <v>2000</v>
      </c>
      <c r="M163" t="s">
        <v>352</v>
      </c>
      <c r="N163" t="s">
        <v>65</v>
      </c>
      <c r="O163" t="s">
        <v>353</v>
      </c>
      <c r="P163" s="1">
        <v>3000</v>
      </c>
      <c r="Q163">
        <v>5</v>
      </c>
      <c r="R163" t="s">
        <v>355</v>
      </c>
      <c r="S163" s="1">
        <f>Tabla1[[#This Row],[OS-Valor Unitario]]-Tabla1[[#This Row],[costo_antes_iva]]</f>
        <v>1000</v>
      </c>
      <c r="T163" s="1">
        <f>Tabla1[[#This Row],[OS-Valor Unitario]]*Tabla1[[#This Row],[OS-Cantidad]]</f>
        <v>15000</v>
      </c>
      <c r="U163" s="1">
        <f>Tabla1[[#This Row],[costo_antes_iva]]*Tabla1[[#This Row],[OS-Cantidad]]</f>
        <v>10000</v>
      </c>
      <c r="V163" s="1">
        <f>Tabla1[[#This Row],[Valor total OS]]-Tabla1[[#This Row],[valor total op]]</f>
        <v>5000</v>
      </c>
      <c r="W163" s="1">
        <f>ROUNDDOWN(Tabla1[[#This Row],[Diferencia]]/200000,0)*200000</f>
        <v>0</v>
      </c>
    </row>
    <row r="164" spans="1:23" hidden="1" x14ac:dyDescent="0.3">
      <c r="A164">
        <v>6523</v>
      </c>
      <c r="B164">
        <v>2</v>
      </c>
      <c r="C164" t="s">
        <v>356</v>
      </c>
      <c r="D164">
        <v>5</v>
      </c>
      <c r="E164" t="s">
        <v>348</v>
      </c>
      <c r="F164" t="s">
        <v>357</v>
      </c>
      <c r="G164" t="s">
        <v>350</v>
      </c>
      <c r="H164" t="s">
        <v>351</v>
      </c>
      <c r="I164">
        <v>5</v>
      </c>
      <c r="J164">
        <v>78810552</v>
      </c>
      <c r="K164" s="2">
        <v>46043</v>
      </c>
      <c r="L164" s="1">
        <v>2000</v>
      </c>
      <c r="M164" t="s">
        <v>352</v>
      </c>
      <c r="N164" t="s">
        <v>65</v>
      </c>
      <c r="O164" t="s">
        <v>358</v>
      </c>
      <c r="P164" s="1">
        <v>3000</v>
      </c>
      <c r="Q164">
        <v>5</v>
      </c>
      <c r="R164" t="s">
        <v>360</v>
      </c>
      <c r="S164" s="1">
        <f>Tabla1[[#This Row],[OS-Valor Unitario]]-Tabla1[[#This Row],[costo_antes_iva]]</f>
        <v>1000</v>
      </c>
      <c r="T164" s="1">
        <f>Tabla1[[#This Row],[OS-Valor Unitario]]*Tabla1[[#This Row],[OS-Cantidad]]</f>
        <v>15000</v>
      </c>
      <c r="U164" s="1">
        <f>Tabla1[[#This Row],[costo_antes_iva]]*Tabla1[[#This Row],[OS-Cantidad]]</f>
        <v>10000</v>
      </c>
      <c r="V164" s="1">
        <f>Tabla1[[#This Row],[Valor total OS]]-Tabla1[[#This Row],[valor total op]]</f>
        <v>5000</v>
      </c>
      <c r="W164" s="1">
        <f>ROUNDDOWN(Tabla1[[#This Row],[Diferencia]]/200000,0)*200000</f>
        <v>0</v>
      </c>
    </row>
    <row r="165" spans="1:23" hidden="1" x14ac:dyDescent="0.3">
      <c r="A165">
        <v>6523</v>
      </c>
      <c r="B165">
        <v>1</v>
      </c>
      <c r="C165" t="s">
        <v>347</v>
      </c>
      <c r="D165">
        <v>5</v>
      </c>
      <c r="E165" t="s">
        <v>348</v>
      </c>
      <c r="F165" t="s">
        <v>349</v>
      </c>
      <c r="G165" t="s">
        <v>350</v>
      </c>
      <c r="H165" t="s">
        <v>351</v>
      </c>
      <c r="I165">
        <v>5</v>
      </c>
      <c r="J165">
        <v>78810546</v>
      </c>
      <c r="K165" s="2">
        <v>46043</v>
      </c>
      <c r="L165" s="1">
        <v>2000</v>
      </c>
      <c r="M165" t="s">
        <v>352</v>
      </c>
      <c r="N165" t="s">
        <v>65</v>
      </c>
      <c r="O165" t="s">
        <v>353</v>
      </c>
      <c r="P165" s="1">
        <v>3000</v>
      </c>
      <c r="Q165">
        <v>5</v>
      </c>
      <c r="R165" t="s">
        <v>355</v>
      </c>
      <c r="S165" s="1">
        <f>Tabla1[[#This Row],[OS-Valor Unitario]]-Tabla1[[#This Row],[costo_antes_iva]]</f>
        <v>1000</v>
      </c>
      <c r="T165" s="1">
        <f>Tabla1[[#This Row],[OS-Valor Unitario]]*Tabla1[[#This Row],[OS-Cantidad]]</f>
        <v>15000</v>
      </c>
      <c r="U165" s="1">
        <f>Tabla1[[#This Row],[costo_antes_iva]]*Tabla1[[#This Row],[OS-Cantidad]]</f>
        <v>10000</v>
      </c>
      <c r="V165" s="1">
        <f>Tabla1[[#This Row],[Valor total OS]]-Tabla1[[#This Row],[valor total op]]</f>
        <v>5000</v>
      </c>
      <c r="W165" s="1">
        <f>ROUNDDOWN(Tabla1[[#This Row],[Diferencia]]/200000,0)*200000</f>
        <v>0</v>
      </c>
    </row>
    <row r="166" spans="1:23" hidden="1" x14ac:dyDescent="0.3">
      <c r="A166">
        <v>6523</v>
      </c>
      <c r="B166">
        <v>2</v>
      </c>
      <c r="C166" t="s">
        <v>356</v>
      </c>
      <c r="D166">
        <v>5</v>
      </c>
      <c r="E166" t="s">
        <v>348</v>
      </c>
      <c r="F166" t="s">
        <v>357</v>
      </c>
      <c r="G166" t="s">
        <v>350</v>
      </c>
      <c r="H166" t="s">
        <v>351</v>
      </c>
      <c r="I166">
        <v>5</v>
      </c>
      <c r="J166">
        <v>78810552</v>
      </c>
      <c r="K166" s="2">
        <v>46043</v>
      </c>
      <c r="L166" s="1">
        <v>2000</v>
      </c>
      <c r="M166" t="s">
        <v>352</v>
      </c>
      <c r="N166" t="s">
        <v>65</v>
      </c>
      <c r="O166" t="s">
        <v>358</v>
      </c>
      <c r="P166" s="1">
        <v>3000</v>
      </c>
      <c r="Q166">
        <v>5</v>
      </c>
      <c r="R166" t="s">
        <v>360</v>
      </c>
      <c r="S166" s="1">
        <f>Tabla1[[#This Row],[OS-Valor Unitario]]-Tabla1[[#This Row],[costo_antes_iva]]</f>
        <v>1000</v>
      </c>
      <c r="T166" s="1">
        <f>Tabla1[[#This Row],[OS-Valor Unitario]]*Tabla1[[#This Row],[OS-Cantidad]]</f>
        <v>15000</v>
      </c>
      <c r="U166" s="1">
        <f>Tabla1[[#This Row],[costo_antes_iva]]*Tabla1[[#This Row],[OS-Cantidad]]</f>
        <v>10000</v>
      </c>
      <c r="V166" s="1">
        <f>Tabla1[[#This Row],[Valor total OS]]-Tabla1[[#This Row],[valor total op]]</f>
        <v>5000</v>
      </c>
      <c r="W166" s="1">
        <f>ROUNDDOWN(Tabla1[[#This Row],[Diferencia]]/200000,0)*200000</f>
        <v>0</v>
      </c>
    </row>
    <row r="167" spans="1:23" hidden="1" x14ac:dyDescent="0.3">
      <c r="A167">
        <v>6433</v>
      </c>
      <c r="B167">
        <v>4</v>
      </c>
      <c r="C167" t="s">
        <v>848</v>
      </c>
      <c r="D167">
        <v>7</v>
      </c>
      <c r="E167" t="s">
        <v>834</v>
      </c>
      <c r="F167" t="s">
        <v>849</v>
      </c>
      <c r="G167" t="s">
        <v>753</v>
      </c>
      <c r="H167" t="s">
        <v>166</v>
      </c>
      <c r="I167">
        <v>0</v>
      </c>
      <c r="J167">
        <v>76289390</v>
      </c>
      <c r="K167" s="2">
        <v>45988</v>
      </c>
      <c r="L167" s="1">
        <v>700</v>
      </c>
      <c r="M167" t="s">
        <v>837</v>
      </c>
      <c r="N167" t="s">
        <v>24</v>
      </c>
      <c r="O167" t="s">
        <v>850</v>
      </c>
      <c r="P167" s="1">
        <v>1400</v>
      </c>
      <c r="Q167">
        <v>7</v>
      </c>
      <c r="R167" t="s">
        <v>852</v>
      </c>
      <c r="S167" s="1">
        <f>Tabla1[[#This Row],[OS-Valor Unitario]]-Tabla1[[#This Row],[costo_antes_iva]]</f>
        <v>700</v>
      </c>
      <c r="T167" s="1">
        <f>Tabla1[[#This Row],[OS-Valor Unitario]]*Tabla1[[#This Row],[OS-Cantidad]]</f>
        <v>9800</v>
      </c>
      <c r="U167" s="1">
        <f>Tabla1[[#This Row],[costo_antes_iva]]*Tabla1[[#This Row],[OS-Cantidad]]</f>
        <v>4900</v>
      </c>
      <c r="V167" s="1">
        <f>Tabla1[[#This Row],[Valor total OS]]-Tabla1[[#This Row],[valor total op]]</f>
        <v>4900</v>
      </c>
      <c r="W167" s="1">
        <f>ROUNDDOWN(Tabla1[[#This Row],[Diferencia]]/200000,0)*200000</f>
        <v>0</v>
      </c>
    </row>
    <row r="168" spans="1:23" hidden="1" x14ac:dyDescent="0.3">
      <c r="A168">
        <v>6379</v>
      </c>
      <c r="B168">
        <v>5</v>
      </c>
      <c r="C168" t="s">
        <v>1119</v>
      </c>
      <c r="D168">
        <v>44</v>
      </c>
      <c r="E168" t="s">
        <v>1095</v>
      </c>
      <c r="F168" t="s">
        <v>1108</v>
      </c>
      <c r="G168" t="s">
        <v>394</v>
      </c>
      <c r="H168" t="s">
        <v>1097</v>
      </c>
      <c r="I168">
        <v>34</v>
      </c>
      <c r="J168">
        <v>74474148</v>
      </c>
      <c r="K168" s="2">
        <v>45958</v>
      </c>
      <c r="L168" s="1">
        <v>1300</v>
      </c>
      <c r="M168" t="s">
        <v>1109</v>
      </c>
      <c r="N168" t="s">
        <v>24</v>
      </c>
      <c r="O168" t="s">
        <v>1120</v>
      </c>
      <c r="P168" s="1">
        <v>1400</v>
      </c>
      <c r="Q168">
        <v>44</v>
      </c>
      <c r="R168" t="s">
        <v>1121</v>
      </c>
      <c r="S168" s="1">
        <f>Tabla1[[#This Row],[OS-Valor Unitario]]-Tabla1[[#This Row],[costo_antes_iva]]</f>
        <v>100</v>
      </c>
      <c r="T168" s="1">
        <f>Tabla1[[#This Row],[OS-Valor Unitario]]*Tabla1[[#This Row],[OS-Cantidad]]</f>
        <v>61600</v>
      </c>
      <c r="U168" s="1">
        <f>Tabla1[[#This Row],[costo_antes_iva]]*Tabla1[[#This Row],[OS-Cantidad]]</f>
        <v>57200</v>
      </c>
      <c r="V168" s="1">
        <f>Tabla1[[#This Row],[Valor total OS]]-Tabla1[[#This Row],[valor total op]]</f>
        <v>4400</v>
      </c>
      <c r="W168" s="1">
        <f>ROUNDDOWN(Tabla1[[#This Row],[Diferencia]]/200000,0)*200000</f>
        <v>0</v>
      </c>
    </row>
    <row r="169" spans="1:23" hidden="1" x14ac:dyDescent="0.3">
      <c r="A169">
        <v>6540</v>
      </c>
      <c r="B169">
        <v>1</v>
      </c>
      <c r="C169" t="s">
        <v>206</v>
      </c>
      <c r="D169">
        <v>8</v>
      </c>
      <c r="E169" t="s">
        <v>207</v>
      </c>
      <c r="F169" t="s">
        <v>208</v>
      </c>
      <c r="G169" t="s">
        <v>209</v>
      </c>
      <c r="H169" t="s">
        <v>166</v>
      </c>
      <c r="I169">
        <v>1</v>
      </c>
      <c r="J169">
        <v>79234455</v>
      </c>
      <c r="K169" s="2">
        <v>46051</v>
      </c>
      <c r="L169" s="1">
        <v>4500</v>
      </c>
      <c r="M169" t="s">
        <v>210</v>
      </c>
      <c r="N169" t="s">
        <v>51</v>
      </c>
      <c r="O169" t="s">
        <v>211</v>
      </c>
      <c r="P169" s="1">
        <v>5000</v>
      </c>
      <c r="Q169">
        <v>8</v>
      </c>
      <c r="R169" t="s">
        <v>212</v>
      </c>
      <c r="S169" s="1">
        <f>Tabla1[[#This Row],[OS-Valor Unitario]]-Tabla1[[#This Row],[costo_antes_iva]]</f>
        <v>500</v>
      </c>
      <c r="T169" s="1">
        <f>Tabla1[[#This Row],[OS-Valor Unitario]]*Tabla1[[#This Row],[OS-Cantidad]]</f>
        <v>40000</v>
      </c>
      <c r="U169" s="1">
        <f>Tabla1[[#This Row],[costo_antes_iva]]*Tabla1[[#This Row],[OS-Cantidad]]</f>
        <v>36000</v>
      </c>
      <c r="V169" s="1">
        <f>Tabla1[[#This Row],[Valor total OS]]-Tabla1[[#This Row],[valor total op]]</f>
        <v>4000</v>
      </c>
      <c r="W169" s="1">
        <f>ROUNDDOWN(Tabla1[[#This Row],[Diferencia]]/200000,0)*200000</f>
        <v>0</v>
      </c>
    </row>
    <row r="170" spans="1:23" hidden="1" x14ac:dyDescent="0.3">
      <c r="A170">
        <v>6540</v>
      </c>
      <c r="B170">
        <v>2</v>
      </c>
      <c r="C170" t="s">
        <v>214</v>
      </c>
      <c r="D170">
        <v>8</v>
      </c>
      <c r="E170" t="s">
        <v>207</v>
      </c>
      <c r="F170" t="s">
        <v>215</v>
      </c>
      <c r="G170" t="s">
        <v>209</v>
      </c>
      <c r="H170" t="s">
        <v>166</v>
      </c>
      <c r="I170">
        <v>1</v>
      </c>
      <c r="J170">
        <v>79234508</v>
      </c>
      <c r="K170" s="2">
        <v>46051</v>
      </c>
      <c r="L170" s="1">
        <v>4500</v>
      </c>
      <c r="M170" t="s">
        <v>210</v>
      </c>
      <c r="N170" t="s">
        <v>51</v>
      </c>
      <c r="O170" t="s">
        <v>216</v>
      </c>
      <c r="P170" s="1">
        <v>5000</v>
      </c>
      <c r="Q170">
        <v>8</v>
      </c>
      <c r="R170" t="s">
        <v>217</v>
      </c>
      <c r="S170" s="1">
        <f>Tabla1[[#This Row],[OS-Valor Unitario]]-Tabla1[[#This Row],[costo_antes_iva]]</f>
        <v>500</v>
      </c>
      <c r="T170" s="1">
        <f>Tabla1[[#This Row],[OS-Valor Unitario]]*Tabla1[[#This Row],[OS-Cantidad]]</f>
        <v>40000</v>
      </c>
      <c r="U170" s="1">
        <f>Tabla1[[#This Row],[costo_antes_iva]]*Tabla1[[#This Row],[OS-Cantidad]]</f>
        <v>36000</v>
      </c>
      <c r="V170" s="1">
        <f>Tabla1[[#This Row],[Valor total OS]]-Tabla1[[#This Row],[valor total op]]</f>
        <v>4000</v>
      </c>
      <c r="W170" s="1">
        <f>ROUNDDOWN(Tabla1[[#This Row],[Diferencia]]/200000,0)*200000</f>
        <v>0</v>
      </c>
    </row>
    <row r="171" spans="1:23" hidden="1" x14ac:dyDescent="0.3">
      <c r="A171">
        <v>6540</v>
      </c>
      <c r="B171">
        <v>3</v>
      </c>
      <c r="C171" t="s">
        <v>219</v>
      </c>
      <c r="D171">
        <v>8</v>
      </c>
      <c r="E171" t="s">
        <v>207</v>
      </c>
      <c r="F171" t="s">
        <v>220</v>
      </c>
      <c r="G171" t="s">
        <v>209</v>
      </c>
      <c r="H171" t="s">
        <v>166</v>
      </c>
      <c r="I171">
        <v>1</v>
      </c>
      <c r="J171">
        <v>79234568</v>
      </c>
      <c r="K171" s="2">
        <v>46051</v>
      </c>
      <c r="L171" s="1">
        <v>4500</v>
      </c>
      <c r="M171" t="s">
        <v>210</v>
      </c>
      <c r="N171" t="s">
        <v>51</v>
      </c>
      <c r="O171" t="s">
        <v>221</v>
      </c>
      <c r="P171" s="1">
        <v>5000</v>
      </c>
      <c r="Q171">
        <v>8</v>
      </c>
      <c r="R171" t="s">
        <v>222</v>
      </c>
      <c r="S171" s="1">
        <f>Tabla1[[#This Row],[OS-Valor Unitario]]-Tabla1[[#This Row],[costo_antes_iva]]</f>
        <v>500</v>
      </c>
      <c r="T171" s="1">
        <f>Tabla1[[#This Row],[OS-Valor Unitario]]*Tabla1[[#This Row],[OS-Cantidad]]</f>
        <v>40000</v>
      </c>
      <c r="U171" s="1">
        <f>Tabla1[[#This Row],[costo_antes_iva]]*Tabla1[[#This Row],[OS-Cantidad]]</f>
        <v>36000</v>
      </c>
      <c r="V171" s="1">
        <f>Tabla1[[#This Row],[Valor total OS]]-Tabla1[[#This Row],[valor total op]]</f>
        <v>4000</v>
      </c>
      <c r="W171" s="1">
        <f>ROUNDDOWN(Tabla1[[#This Row],[Diferencia]]/200000,0)*200000</f>
        <v>0</v>
      </c>
    </row>
    <row r="172" spans="1:23" hidden="1" x14ac:dyDescent="0.3">
      <c r="A172">
        <v>6421</v>
      </c>
      <c r="B172">
        <v>2</v>
      </c>
      <c r="C172" t="s">
        <v>928</v>
      </c>
      <c r="D172">
        <v>8</v>
      </c>
      <c r="E172" t="s">
        <v>921</v>
      </c>
      <c r="F172" t="s">
        <v>929</v>
      </c>
      <c r="G172" t="s">
        <v>118</v>
      </c>
      <c r="H172" t="s">
        <v>923</v>
      </c>
      <c r="I172">
        <v>8</v>
      </c>
      <c r="J172">
        <v>75709147</v>
      </c>
      <c r="K172" s="2">
        <v>45982</v>
      </c>
      <c r="L172" s="1">
        <v>12500</v>
      </c>
      <c r="M172" t="s">
        <v>924</v>
      </c>
      <c r="N172" t="s">
        <v>51</v>
      </c>
      <c r="O172" t="s">
        <v>930</v>
      </c>
      <c r="P172" s="1">
        <v>13000</v>
      </c>
      <c r="Q172">
        <v>8</v>
      </c>
      <c r="R172" t="s">
        <v>931</v>
      </c>
      <c r="S172" s="1">
        <f>Tabla1[[#This Row],[OS-Valor Unitario]]-Tabla1[[#This Row],[costo_antes_iva]]</f>
        <v>500</v>
      </c>
      <c r="T172" s="1">
        <f>Tabla1[[#This Row],[OS-Valor Unitario]]*Tabla1[[#This Row],[OS-Cantidad]]</f>
        <v>104000</v>
      </c>
      <c r="U172" s="1">
        <f>Tabla1[[#This Row],[costo_antes_iva]]*Tabla1[[#This Row],[OS-Cantidad]]</f>
        <v>100000</v>
      </c>
      <c r="V172" s="1">
        <f>Tabla1[[#This Row],[Valor total OS]]-Tabla1[[#This Row],[valor total op]]</f>
        <v>4000</v>
      </c>
      <c r="W172" s="1">
        <f>ROUNDDOWN(Tabla1[[#This Row],[Diferencia]]/200000,0)*200000</f>
        <v>0</v>
      </c>
    </row>
    <row r="173" spans="1:23" hidden="1" x14ac:dyDescent="0.3">
      <c r="A173">
        <v>6384</v>
      </c>
      <c r="B173">
        <v>1</v>
      </c>
      <c r="C173" t="s">
        <v>958</v>
      </c>
      <c r="D173">
        <v>8</v>
      </c>
      <c r="E173" t="s">
        <v>959</v>
      </c>
      <c r="F173" t="s">
        <v>960</v>
      </c>
      <c r="G173" t="s">
        <v>118</v>
      </c>
      <c r="H173" t="s">
        <v>961</v>
      </c>
      <c r="I173">
        <v>1</v>
      </c>
      <c r="J173">
        <v>74647469</v>
      </c>
      <c r="K173" s="2">
        <v>45961</v>
      </c>
      <c r="L173" s="1">
        <v>12000</v>
      </c>
      <c r="M173" t="s">
        <v>962</v>
      </c>
      <c r="N173" t="s">
        <v>51</v>
      </c>
      <c r="O173" t="s">
        <v>963</v>
      </c>
      <c r="P173" s="1">
        <v>12500</v>
      </c>
      <c r="Q173">
        <v>8</v>
      </c>
      <c r="R173" t="s">
        <v>964</v>
      </c>
      <c r="S173" s="1">
        <f>Tabla1[[#This Row],[OS-Valor Unitario]]-Tabla1[[#This Row],[costo_antes_iva]]</f>
        <v>500</v>
      </c>
      <c r="T173" s="1">
        <f>Tabla1[[#This Row],[OS-Valor Unitario]]*Tabla1[[#This Row],[OS-Cantidad]]</f>
        <v>100000</v>
      </c>
      <c r="U173" s="1">
        <f>Tabla1[[#This Row],[costo_antes_iva]]*Tabla1[[#This Row],[OS-Cantidad]]</f>
        <v>96000</v>
      </c>
      <c r="V173" s="1">
        <f>Tabla1[[#This Row],[Valor total OS]]-Tabla1[[#This Row],[valor total op]]</f>
        <v>4000</v>
      </c>
      <c r="W173" s="1">
        <f>ROUNDDOWN(Tabla1[[#This Row],[Diferencia]]/200000,0)*200000</f>
        <v>0</v>
      </c>
    </row>
    <row r="174" spans="1:23" hidden="1" x14ac:dyDescent="0.3">
      <c r="A174">
        <v>6382</v>
      </c>
      <c r="B174">
        <v>3</v>
      </c>
      <c r="C174" t="s">
        <v>1046</v>
      </c>
      <c r="D174">
        <v>8</v>
      </c>
      <c r="E174" t="s">
        <v>1034</v>
      </c>
      <c r="F174" t="s">
        <v>1047</v>
      </c>
      <c r="G174" t="s">
        <v>209</v>
      </c>
      <c r="H174" t="s">
        <v>166</v>
      </c>
      <c r="I174">
        <v>1</v>
      </c>
      <c r="J174">
        <v>74603527</v>
      </c>
      <c r="K174" s="2">
        <v>45960</v>
      </c>
      <c r="L174" s="1">
        <v>4500</v>
      </c>
      <c r="M174" t="s">
        <v>1036</v>
      </c>
      <c r="N174" t="s">
        <v>51</v>
      </c>
      <c r="O174" t="s">
        <v>1048</v>
      </c>
      <c r="P174" s="1">
        <v>5000</v>
      </c>
      <c r="Q174">
        <v>8</v>
      </c>
      <c r="R174" t="s">
        <v>1049</v>
      </c>
      <c r="S174" s="1">
        <f>Tabla1[[#This Row],[OS-Valor Unitario]]-Tabla1[[#This Row],[costo_antes_iva]]</f>
        <v>500</v>
      </c>
      <c r="T174" s="1">
        <f>Tabla1[[#This Row],[OS-Valor Unitario]]*Tabla1[[#This Row],[OS-Cantidad]]</f>
        <v>40000</v>
      </c>
      <c r="U174" s="1">
        <f>Tabla1[[#This Row],[costo_antes_iva]]*Tabla1[[#This Row],[OS-Cantidad]]</f>
        <v>36000</v>
      </c>
      <c r="V174" s="1">
        <f>Tabla1[[#This Row],[Valor total OS]]-Tabla1[[#This Row],[valor total op]]</f>
        <v>4000</v>
      </c>
      <c r="W174" s="1">
        <f>ROUNDDOWN(Tabla1[[#This Row],[Diferencia]]/200000,0)*200000</f>
        <v>0</v>
      </c>
    </row>
    <row r="175" spans="1:23" hidden="1" x14ac:dyDescent="0.3">
      <c r="A175">
        <v>6538</v>
      </c>
      <c r="B175">
        <v>1</v>
      </c>
      <c r="C175" t="s">
        <v>239</v>
      </c>
      <c r="D175">
        <v>11</v>
      </c>
      <c r="E175" t="s">
        <v>240</v>
      </c>
      <c r="F175" t="s">
        <v>241</v>
      </c>
      <c r="G175" t="s">
        <v>242</v>
      </c>
      <c r="H175" t="s">
        <v>166</v>
      </c>
      <c r="I175">
        <v>1</v>
      </c>
      <c r="J175">
        <v>79233580</v>
      </c>
      <c r="K175" s="2">
        <v>46051</v>
      </c>
      <c r="L175" s="1">
        <v>1800</v>
      </c>
      <c r="M175" t="s">
        <v>243</v>
      </c>
      <c r="N175" t="s">
        <v>24</v>
      </c>
      <c r="O175" t="s">
        <v>244</v>
      </c>
      <c r="P175" s="1">
        <v>2150</v>
      </c>
      <c r="Q175">
        <v>11</v>
      </c>
      <c r="R175" t="s">
        <v>246</v>
      </c>
      <c r="S175" s="1">
        <f>Tabla1[[#This Row],[OS-Valor Unitario]]-Tabla1[[#This Row],[costo_antes_iva]]</f>
        <v>350</v>
      </c>
      <c r="T175" s="1">
        <f>Tabla1[[#This Row],[OS-Valor Unitario]]*Tabla1[[#This Row],[OS-Cantidad]]</f>
        <v>23650</v>
      </c>
      <c r="U175" s="1">
        <f>Tabla1[[#This Row],[costo_antes_iva]]*Tabla1[[#This Row],[OS-Cantidad]]</f>
        <v>19800</v>
      </c>
      <c r="V175" s="1">
        <f>Tabla1[[#This Row],[Valor total OS]]-Tabla1[[#This Row],[valor total op]]</f>
        <v>3850</v>
      </c>
      <c r="W175" s="1">
        <f>ROUNDDOWN(Tabla1[[#This Row],[Diferencia]]/200000,0)*200000</f>
        <v>0</v>
      </c>
    </row>
    <row r="176" spans="1:23" hidden="1" x14ac:dyDescent="0.3">
      <c r="A176">
        <v>6538</v>
      </c>
      <c r="B176">
        <v>2</v>
      </c>
      <c r="C176" t="s">
        <v>247</v>
      </c>
      <c r="D176">
        <v>11</v>
      </c>
      <c r="E176" t="s">
        <v>240</v>
      </c>
      <c r="F176" t="s">
        <v>248</v>
      </c>
      <c r="G176" t="s">
        <v>242</v>
      </c>
      <c r="H176" t="s">
        <v>166</v>
      </c>
      <c r="I176">
        <v>1</v>
      </c>
      <c r="J176">
        <v>79233605</v>
      </c>
      <c r="K176" s="2">
        <v>46051</v>
      </c>
      <c r="L176" s="1">
        <v>1800</v>
      </c>
      <c r="M176" t="s">
        <v>243</v>
      </c>
      <c r="N176" t="s">
        <v>24</v>
      </c>
      <c r="O176" t="s">
        <v>249</v>
      </c>
      <c r="P176" s="1">
        <v>2150</v>
      </c>
      <c r="Q176">
        <v>11</v>
      </c>
      <c r="R176" t="s">
        <v>251</v>
      </c>
      <c r="S176" s="1">
        <f>Tabla1[[#This Row],[OS-Valor Unitario]]-Tabla1[[#This Row],[costo_antes_iva]]</f>
        <v>350</v>
      </c>
      <c r="T176" s="1">
        <f>Tabla1[[#This Row],[OS-Valor Unitario]]*Tabla1[[#This Row],[OS-Cantidad]]</f>
        <v>23650</v>
      </c>
      <c r="U176" s="1">
        <f>Tabla1[[#This Row],[costo_antes_iva]]*Tabla1[[#This Row],[OS-Cantidad]]</f>
        <v>19800</v>
      </c>
      <c r="V176" s="1">
        <f>Tabla1[[#This Row],[Valor total OS]]-Tabla1[[#This Row],[valor total op]]</f>
        <v>3850</v>
      </c>
      <c r="W176" s="1">
        <f>ROUNDDOWN(Tabla1[[#This Row],[Diferencia]]/200000,0)*200000</f>
        <v>0</v>
      </c>
    </row>
    <row r="177" spans="1:23" hidden="1" x14ac:dyDescent="0.3">
      <c r="A177">
        <v>6492</v>
      </c>
      <c r="B177">
        <v>20</v>
      </c>
      <c r="C177" t="s">
        <v>508</v>
      </c>
      <c r="D177">
        <v>6</v>
      </c>
      <c r="E177" t="s">
        <v>418</v>
      </c>
      <c r="F177" t="s">
        <v>502</v>
      </c>
      <c r="G177" t="s">
        <v>394</v>
      </c>
      <c r="H177" t="s">
        <v>317</v>
      </c>
      <c r="I177">
        <v>30</v>
      </c>
      <c r="J177">
        <v>77869427</v>
      </c>
      <c r="K177" s="2">
        <v>46020</v>
      </c>
      <c r="L177" s="1">
        <v>11500</v>
      </c>
      <c r="M177" t="s">
        <v>506</v>
      </c>
      <c r="N177" t="s">
        <v>51</v>
      </c>
      <c r="O177" t="s">
        <v>509</v>
      </c>
      <c r="P177" s="1">
        <v>12000</v>
      </c>
      <c r="Q177">
        <v>6</v>
      </c>
      <c r="R177" t="s">
        <v>511</v>
      </c>
      <c r="S177" s="1">
        <f>Tabla1[[#This Row],[OS-Valor Unitario]]-Tabla1[[#This Row],[costo_antes_iva]]</f>
        <v>500</v>
      </c>
      <c r="T177" s="1">
        <f>Tabla1[[#This Row],[OS-Valor Unitario]]*Tabla1[[#This Row],[OS-Cantidad]]</f>
        <v>72000</v>
      </c>
      <c r="U177" s="1">
        <f>Tabla1[[#This Row],[costo_antes_iva]]*Tabla1[[#This Row],[OS-Cantidad]]</f>
        <v>69000</v>
      </c>
      <c r="V177" s="1">
        <f>Tabla1[[#This Row],[Valor total OS]]-Tabla1[[#This Row],[valor total op]]</f>
        <v>3000</v>
      </c>
      <c r="W177" s="1">
        <f>ROUNDDOWN(Tabla1[[#This Row],[Diferencia]]/200000,0)*200000</f>
        <v>0</v>
      </c>
    </row>
    <row r="178" spans="1:23" hidden="1" x14ac:dyDescent="0.3">
      <c r="A178">
        <v>6492</v>
      </c>
      <c r="B178">
        <v>20</v>
      </c>
      <c r="C178" t="s">
        <v>508</v>
      </c>
      <c r="D178">
        <v>6</v>
      </c>
      <c r="E178" t="s">
        <v>529</v>
      </c>
      <c r="F178" t="s">
        <v>502</v>
      </c>
      <c r="G178" t="s">
        <v>394</v>
      </c>
      <c r="H178" t="s">
        <v>317</v>
      </c>
      <c r="I178">
        <v>30</v>
      </c>
      <c r="J178">
        <v>77869427</v>
      </c>
      <c r="K178" s="2">
        <v>46020</v>
      </c>
      <c r="L178" s="1">
        <v>11500</v>
      </c>
      <c r="M178" t="s">
        <v>506</v>
      </c>
      <c r="N178" t="s">
        <v>51</v>
      </c>
      <c r="O178" t="s">
        <v>509</v>
      </c>
      <c r="P178" s="1">
        <v>12000</v>
      </c>
      <c r="Q178">
        <v>6</v>
      </c>
      <c r="R178" t="s">
        <v>511</v>
      </c>
      <c r="S178" s="1">
        <f>Tabla1[[#This Row],[OS-Valor Unitario]]-Tabla1[[#This Row],[costo_antes_iva]]</f>
        <v>500</v>
      </c>
      <c r="T178" s="1">
        <f>Tabla1[[#This Row],[OS-Valor Unitario]]*Tabla1[[#This Row],[OS-Cantidad]]</f>
        <v>72000</v>
      </c>
      <c r="U178" s="1">
        <f>Tabla1[[#This Row],[costo_antes_iva]]*Tabla1[[#This Row],[OS-Cantidad]]</f>
        <v>69000</v>
      </c>
      <c r="V178" s="1">
        <f>Tabla1[[#This Row],[Valor total OS]]-Tabla1[[#This Row],[valor total op]]</f>
        <v>3000</v>
      </c>
      <c r="W178" s="1">
        <f>ROUNDDOWN(Tabla1[[#This Row],[Diferencia]]/200000,0)*200000</f>
        <v>0</v>
      </c>
    </row>
    <row r="179" spans="1:23" hidden="1" x14ac:dyDescent="0.3">
      <c r="A179">
        <v>6379</v>
      </c>
      <c r="B179">
        <v>3</v>
      </c>
      <c r="C179" t="s">
        <v>1107</v>
      </c>
      <c r="D179">
        <v>6</v>
      </c>
      <c r="E179" t="s">
        <v>1095</v>
      </c>
      <c r="F179" t="s">
        <v>1108</v>
      </c>
      <c r="G179" t="s">
        <v>394</v>
      </c>
      <c r="H179" t="s">
        <v>1097</v>
      </c>
      <c r="I179">
        <v>34</v>
      </c>
      <c r="J179">
        <v>74474148</v>
      </c>
      <c r="K179" s="2">
        <v>45958</v>
      </c>
      <c r="L179" s="1">
        <v>12000</v>
      </c>
      <c r="M179" t="s">
        <v>1109</v>
      </c>
      <c r="N179" t="s">
        <v>51</v>
      </c>
      <c r="O179" t="s">
        <v>1110</v>
      </c>
      <c r="P179" s="1">
        <v>12500</v>
      </c>
      <c r="Q179">
        <v>6</v>
      </c>
      <c r="R179" t="s">
        <v>1112</v>
      </c>
      <c r="S179" s="1">
        <f>Tabla1[[#This Row],[OS-Valor Unitario]]-Tabla1[[#This Row],[costo_antes_iva]]</f>
        <v>500</v>
      </c>
      <c r="T179" s="1">
        <f>Tabla1[[#This Row],[OS-Valor Unitario]]*Tabla1[[#This Row],[OS-Cantidad]]</f>
        <v>75000</v>
      </c>
      <c r="U179" s="1">
        <f>Tabla1[[#This Row],[costo_antes_iva]]*Tabla1[[#This Row],[OS-Cantidad]]</f>
        <v>72000</v>
      </c>
      <c r="V179" s="1">
        <f>Tabla1[[#This Row],[Valor total OS]]-Tabla1[[#This Row],[valor total op]]</f>
        <v>3000</v>
      </c>
      <c r="W179" s="1">
        <f>ROUNDDOWN(Tabla1[[#This Row],[Diferencia]]/200000,0)*200000</f>
        <v>0</v>
      </c>
    </row>
    <row r="180" spans="1:23" hidden="1" x14ac:dyDescent="0.3">
      <c r="A180">
        <v>6379</v>
      </c>
      <c r="B180">
        <v>7</v>
      </c>
      <c r="C180" t="s">
        <v>1128</v>
      </c>
      <c r="D180">
        <v>4</v>
      </c>
      <c r="E180" t="s">
        <v>1095</v>
      </c>
      <c r="F180" t="s">
        <v>1129</v>
      </c>
      <c r="G180" t="s">
        <v>125</v>
      </c>
      <c r="H180" t="s">
        <v>1097</v>
      </c>
      <c r="I180">
        <v>2</v>
      </c>
      <c r="J180">
        <v>74473740</v>
      </c>
      <c r="K180" s="2">
        <v>45958</v>
      </c>
      <c r="L180" s="1">
        <v>11000</v>
      </c>
      <c r="M180" t="s">
        <v>1098</v>
      </c>
      <c r="N180" t="s">
        <v>51</v>
      </c>
      <c r="O180" t="s">
        <v>1130</v>
      </c>
      <c r="P180" s="1">
        <v>11700</v>
      </c>
      <c r="Q180">
        <v>4</v>
      </c>
      <c r="R180" t="s">
        <v>1131</v>
      </c>
      <c r="S180" s="1">
        <f>Tabla1[[#This Row],[OS-Valor Unitario]]-Tabla1[[#This Row],[costo_antes_iva]]</f>
        <v>700</v>
      </c>
      <c r="T180" s="1">
        <f>Tabla1[[#This Row],[OS-Valor Unitario]]*Tabla1[[#This Row],[OS-Cantidad]]</f>
        <v>46800</v>
      </c>
      <c r="U180" s="1">
        <f>Tabla1[[#This Row],[costo_antes_iva]]*Tabla1[[#This Row],[OS-Cantidad]]</f>
        <v>44000</v>
      </c>
      <c r="V180" s="1">
        <f>Tabla1[[#This Row],[Valor total OS]]-Tabla1[[#This Row],[valor total op]]</f>
        <v>2800</v>
      </c>
      <c r="W180" s="1">
        <f>ROUNDDOWN(Tabla1[[#This Row],[Diferencia]]/200000,0)*200000</f>
        <v>0</v>
      </c>
    </row>
    <row r="181" spans="1:23" hidden="1" x14ac:dyDescent="0.3">
      <c r="A181">
        <v>6384</v>
      </c>
      <c r="B181">
        <v>2</v>
      </c>
      <c r="C181" t="s">
        <v>966</v>
      </c>
      <c r="D181">
        <v>12</v>
      </c>
      <c r="E181" t="s">
        <v>959</v>
      </c>
      <c r="F181" t="s">
        <v>967</v>
      </c>
      <c r="G181" t="s">
        <v>118</v>
      </c>
      <c r="H181" t="s">
        <v>961</v>
      </c>
      <c r="I181">
        <v>1</v>
      </c>
      <c r="J181">
        <v>74647524</v>
      </c>
      <c r="K181" s="2">
        <v>45961</v>
      </c>
      <c r="L181" s="1">
        <v>1200</v>
      </c>
      <c r="M181" t="s">
        <v>962</v>
      </c>
      <c r="N181" t="s">
        <v>24</v>
      </c>
      <c r="O181" t="s">
        <v>968</v>
      </c>
      <c r="P181" s="1">
        <v>1400</v>
      </c>
      <c r="Q181">
        <v>12</v>
      </c>
      <c r="R181" t="s">
        <v>970</v>
      </c>
      <c r="S181" s="1">
        <f>Tabla1[[#This Row],[OS-Valor Unitario]]-Tabla1[[#This Row],[costo_antes_iva]]</f>
        <v>200</v>
      </c>
      <c r="T181" s="1">
        <f>Tabla1[[#This Row],[OS-Valor Unitario]]*Tabla1[[#This Row],[OS-Cantidad]]</f>
        <v>16800</v>
      </c>
      <c r="U181" s="1">
        <f>Tabla1[[#This Row],[costo_antes_iva]]*Tabla1[[#This Row],[OS-Cantidad]]</f>
        <v>14400</v>
      </c>
      <c r="V181" s="1">
        <f>Tabla1[[#This Row],[Valor total OS]]-Tabla1[[#This Row],[valor total op]]</f>
        <v>2400</v>
      </c>
      <c r="W181" s="1">
        <f>ROUNDDOWN(Tabla1[[#This Row],[Diferencia]]/200000,0)*200000</f>
        <v>0</v>
      </c>
    </row>
    <row r="182" spans="1:23" hidden="1" x14ac:dyDescent="0.3">
      <c r="A182">
        <v>6421</v>
      </c>
      <c r="B182">
        <v>5</v>
      </c>
      <c r="C182" t="s">
        <v>944</v>
      </c>
      <c r="D182">
        <v>4</v>
      </c>
      <c r="E182" t="s">
        <v>921</v>
      </c>
      <c r="F182" t="s">
        <v>939</v>
      </c>
      <c r="G182" t="s">
        <v>118</v>
      </c>
      <c r="H182" t="s">
        <v>923</v>
      </c>
      <c r="I182">
        <v>26</v>
      </c>
      <c r="J182">
        <v>75709159</v>
      </c>
      <c r="K182" s="2">
        <v>45982</v>
      </c>
      <c r="L182" s="1">
        <v>12500</v>
      </c>
      <c r="M182" t="s">
        <v>924</v>
      </c>
      <c r="N182" t="s">
        <v>51</v>
      </c>
      <c r="O182" t="s">
        <v>945</v>
      </c>
      <c r="P182" s="1">
        <v>13000</v>
      </c>
      <c r="Q182">
        <v>4</v>
      </c>
      <c r="R182" t="s">
        <v>946</v>
      </c>
      <c r="S182" s="1">
        <f>Tabla1[[#This Row],[OS-Valor Unitario]]-Tabla1[[#This Row],[costo_antes_iva]]</f>
        <v>500</v>
      </c>
      <c r="T182" s="1">
        <f>Tabla1[[#This Row],[OS-Valor Unitario]]*Tabla1[[#This Row],[OS-Cantidad]]</f>
        <v>52000</v>
      </c>
      <c r="U182" s="1">
        <f>Tabla1[[#This Row],[costo_antes_iva]]*Tabla1[[#This Row],[OS-Cantidad]]</f>
        <v>50000</v>
      </c>
      <c r="V182" s="1">
        <f>Tabla1[[#This Row],[Valor total OS]]-Tabla1[[#This Row],[valor total op]]</f>
        <v>2000</v>
      </c>
      <c r="W182" s="1">
        <f>ROUNDDOWN(Tabla1[[#This Row],[Diferencia]]/200000,0)*200000</f>
        <v>0</v>
      </c>
    </row>
    <row r="183" spans="1:23" hidden="1" x14ac:dyDescent="0.3">
      <c r="A183">
        <v>6421</v>
      </c>
      <c r="B183">
        <v>5</v>
      </c>
      <c r="C183" t="s">
        <v>944</v>
      </c>
      <c r="D183">
        <v>4</v>
      </c>
      <c r="E183" t="s">
        <v>921</v>
      </c>
      <c r="F183" t="s">
        <v>939</v>
      </c>
      <c r="G183" t="s">
        <v>118</v>
      </c>
      <c r="H183" t="s">
        <v>923</v>
      </c>
      <c r="I183">
        <v>4</v>
      </c>
      <c r="J183">
        <v>75711349</v>
      </c>
      <c r="K183" s="2">
        <v>45982</v>
      </c>
      <c r="L183" s="1">
        <v>12500</v>
      </c>
      <c r="M183" t="s">
        <v>943</v>
      </c>
      <c r="N183" t="s">
        <v>51</v>
      </c>
      <c r="O183" t="s">
        <v>945</v>
      </c>
      <c r="P183" s="1">
        <v>13000</v>
      </c>
      <c r="Q183">
        <v>4</v>
      </c>
      <c r="R183" t="s">
        <v>946</v>
      </c>
      <c r="S183" s="1">
        <f>Tabla1[[#This Row],[OS-Valor Unitario]]-Tabla1[[#This Row],[costo_antes_iva]]</f>
        <v>500</v>
      </c>
      <c r="T183" s="1">
        <f>Tabla1[[#This Row],[OS-Valor Unitario]]*Tabla1[[#This Row],[OS-Cantidad]]</f>
        <v>52000</v>
      </c>
      <c r="U183" s="1">
        <f>Tabla1[[#This Row],[costo_antes_iva]]*Tabla1[[#This Row],[OS-Cantidad]]</f>
        <v>50000</v>
      </c>
      <c r="V183" s="1">
        <f>Tabla1[[#This Row],[Valor total OS]]-Tabla1[[#This Row],[valor total op]]</f>
        <v>2000</v>
      </c>
      <c r="W183" s="1">
        <f>ROUNDDOWN(Tabla1[[#This Row],[Diferencia]]/200000,0)*200000</f>
        <v>0</v>
      </c>
    </row>
    <row r="184" spans="1:23" hidden="1" x14ac:dyDescent="0.3">
      <c r="A184">
        <v>6376</v>
      </c>
      <c r="B184">
        <v>3</v>
      </c>
      <c r="C184" t="s">
        <v>1193</v>
      </c>
      <c r="D184">
        <v>4</v>
      </c>
      <c r="E184" t="s">
        <v>1188</v>
      </c>
      <c r="F184" t="s">
        <v>1194</v>
      </c>
      <c r="G184" t="s">
        <v>762</v>
      </c>
      <c r="H184" t="s">
        <v>166</v>
      </c>
      <c r="I184">
        <v>1</v>
      </c>
      <c r="J184">
        <v>74394176</v>
      </c>
      <c r="K184" s="2">
        <v>45957</v>
      </c>
      <c r="L184" s="1">
        <v>17000</v>
      </c>
      <c r="M184" t="s">
        <v>1190</v>
      </c>
      <c r="N184" t="s">
        <v>51</v>
      </c>
      <c r="O184" t="s">
        <v>1195</v>
      </c>
      <c r="P184" s="1">
        <v>17500</v>
      </c>
      <c r="Q184">
        <v>4</v>
      </c>
      <c r="R184" t="s">
        <v>1196</v>
      </c>
      <c r="S184" s="1">
        <f>Tabla1[[#This Row],[OS-Valor Unitario]]-Tabla1[[#This Row],[costo_antes_iva]]</f>
        <v>500</v>
      </c>
      <c r="T184" s="1">
        <f>Tabla1[[#This Row],[OS-Valor Unitario]]*Tabla1[[#This Row],[OS-Cantidad]]</f>
        <v>70000</v>
      </c>
      <c r="U184" s="1">
        <f>Tabla1[[#This Row],[costo_antes_iva]]*Tabla1[[#This Row],[OS-Cantidad]]</f>
        <v>68000</v>
      </c>
      <c r="V184" s="1">
        <f>Tabla1[[#This Row],[Valor total OS]]-Tabla1[[#This Row],[valor total op]]</f>
        <v>2000</v>
      </c>
      <c r="W184" s="1">
        <f>ROUNDDOWN(Tabla1[[#This Row],[Diferencia]]/200000,0)*200000</f>
        <v>0</v>
      </c>
    </row>
    <row r="185" spans="1:23" hidden="1" x14ac:dyDescent="0.3">
      <c r="A185">
        <v>6376</v>
      </c>
      <c r="B185">
        <v>4</v>
      </c>
      <c r="C185" t="s">
        <v>1198</v>
      </c>
      <c r="D185">
        <v>4</v>
      </c>
      <c r="E185" t="s">
        <v>1188</v>
      </c>
      <c r="F185" t="s">
        <v>1199</v>
      </c>
      <c r="G185" t="s">
        <v>762</v>
      </c>
      <c r="H185" t="s">
        <v>166</v>
      </c>
      <c r="I185">
        <v>1</v>
      </c>
      <c r="J185">
        <v>74394188</v>
      </c>
      <c r="K185" s="2">
        <v>45957</v>
      </c>
      <c r="L185" s="1">
        <v>17000</v>
      </c>
      <c r="M185" t="s">
        <v>1190</v>
      </c>
      <c r="N185" t="s">
        <v>51</v>
      </c>
      <c r="O185" t="s">
        <v>1200</v>
      </c>
      <c r="P185" s="1">
        <v>17500</v>
      </c>
      <c r="Q185">
        <v>4</v>
      </c>
      <c r="R185" t="s">
        <v>1201</v>
      </c>
      <c r="S185" s="1">
        <f>Tabla1[[#This Row],[OS-Valor Unitario]]-Tabla1[[#This Row],[costo_antes_iva]]</f>
        <v>500</v>
      </c>
      <c r="T185" s="1">
        <f>Tabla1[[#This Row],[OS-Valor Unitario]]*Tabla1[[#This Row],[OS-Cantidad]]</f>
        <v>70000</v>
      </c>
      <c r="U185" s="1">
        <f>Tabla1[[#This Row],[costo_antes_iva]]*Tabla1[[#This Row],[OS-Cantidad]]</f>
        <v>68000</v>
      </c>
      <c r="V185" s="1">
        <f>Tabla1[[#This Row],[Valor total OS]]-Tabla1[[#This Row],[valor total op]]</f>
        <v>2000</v>
      </c>
      <c r="W185" s="1">
        <f>ROUNDDOWN(Tabla1[[#This Row],[Diferencia]]/200000,0)*200000</f>
        <v>0</v>
      </c>
    </row>
    <row r="186" spans="1:23" hidden="1" x14ac:dyDescent="0.3">
      <c r="A186">
        <v>6376</v>
      </c>
      <c r="B186">
        <v>5</v>
      </c>
      <c r="C186" t="s">
        <v>1203</v>
      </c>
      <c r="D186">
        <v>4</v>
      </c>
      <c r="E186" t="s">
        <v>1188</v>
      </c>
      <c r="F186" t="s">
        <v>1204</v>
      </c>
      <c r="G186" t="s">
        <v>762</v>
      </c>
      <c r="H186" t="s">
        <v>166</v>
      </c>
      <c r="I186">
        <v>1</v>
      </c>
      <c r="J186">
        <v>74397403</v>
      </c>
      <c r="K186" s="2">
        <v>45957</v>
      </c>
      <c r="L186" s="1">
        <v>17000</v>
      </c>
      <c r="M186" t="s">
        <v>1205</v>
      </c>
      <c r="N186" t="s">
        <v>51</v>
      </c>
      <c r="O186" t="s">
        <v>1206</v>
      </c>
      <c r="P186" s="1">
        <v>17500</v>
      </c>
      <c r="Q186">
        <v>4</v>
      </c>
      <c r="R186" t="s">
        <v>1207</v>
      </c>
      <c r="S186" s="1">
        <f>Tabla1[[#This Row],[OS-Valor Unitario]]-Tabla1[[#This Row],[costo_antes_iva]]</f>
        <v>500</v>
      </c>
      <c r="T186" s="1">
        <f>Tabla1[[#This Row],[OS-Valor Unitario]]*Tabla1[[#This Row],[OS-Cantidad]]</f>
        <v>70000</v>
      </c>
      <c r="U186" s="1">
        <f>Tabla1[[#This Row],[costo_antes_iva]]*Tabla1[[#This Row],[OS-Cantidad]]</f>
        <v>68000</v>
      </c>
      <c r="V186" s="1">
        <f>Tabla1[[#This Row],[Valor total OS]]-Tabla1[[#This Row],[valor total op]]</f>
        <v>2000</v>
      </c>
      <c r="W186" s="1">
        <f>ROUNDDOWN(Tabla1[[#This Row],[Diferencia]]/200000,0)*200000</f>
        <v>0</v>
      </c>
    </row>
    <row r="187" spans="1:23" hidden="1" x14ac:dyDescent="0.3">
      <c r="A187">
        <v>6382</v>
      </c>
      <c r="B187">
        <v>4</v>
      </c>
      <c r="C187" t="s">
        <v>1051</v>
      </c>
      <c r="D187">
        <v>2</v>
      </c>
      <c r="E187" t="s">
        <v>1034</v>
      </c>
      <c r="F187" t="s">
        <v>1052</v>
      </c>
      <c r="G187" t="s">
        <v>209</v>
      </c>
      <c r="H187" t="s">
        <v>166</v>
      </c>
      <c r="I187">
        <v>1</v>
      </c>
      <c r="J187">
        <v>74604447</v>
      </c>
      <c r="K187" s="2">
        <v>45960</v>
      </c>
      <c r="L187" s="1">
        <v>4500</v>
      </c>
      <c r="M187" t="s">
        <v>1053</v>
      </c>
      <c r="N187" t="s">
        <v>51</v>
      </c>
      <c r="O187" t="s">
        <v>1054</v>
      </c>
      <c r="P187" s="1">
        <v>5500</v>
      </c>
      <c r="Q187">
        <v>2</v>
      </c>
      <c r="R187" t="s">
        <v>1055</v>
      </c>
      <c r="S187" s="1">
        <f>Tabla1[[#This Row],[OS-Valor Unitario]]-Tabla1[[#This Row],[costo_antes_iva]]</f>
        <v>1000</v>
      </c>
      <c r="T187" s="1">
        <f>Tabla1[[#This Row],[OS-Valor Unitario]]*Tabla1[[#This Row],[OS-Cantidad]]</f>
        <v>11000</v>
      </c>
      <c r="U187" s="1">
        <f>Tabla1[[#This Row],[costo_antes_iva]]*Tabla1[[#This Row],[OS-Cantidad]]</f>
        <v>9000</v>
      </c>
      <c r="V187" s="1">
        <f>Tabla1[[#This Row],[Valor total OS]]-Tabla1[[#This Row],[valor total op]]</f>
        <v>2000</v>
      </c>
      <c r="W187" s="1">
        <f>ROUNDDOWN(Tabla1[[#This Row],[Diferencia]]/200000,0)*200000</f>
        <v>0</v>
      </c>
    </row>
    <row r="188" spans="1:23" hidden="1" x14ac:dyDescent="0.3">
      <c r="A188">
        <v>6382</v>
      </c>
      <c r="B188">
        <v>5</v>
      </c>
      <c r="C188" t="s">
        <v>1057</v>
      </c>
      <c r="D188">
        <v>2</v>
      </c>
      <c r="E188" t="s">
        <v>1034</v>
      </c>
      <c r="F188" t="s">
        <v>1058</v>
      </c>
      <c r="G188" t="s">
        <v>209</v>
      </c>
      <c r="H188" t="s">
        <v>166</v>
      </c>
      <c r="I188">
        <v>1</v>
      </c>
      <c r="J188">
        <v>74604459</v>
      </c>
      <c r="K188" s="2">
        <v>45960</v>
      </c>
      <c r="L188" s="1">
        <v>4500</v>
      </c>
      <c r="M188" t="s">
        <v>1059</v>
      </c>
      <c r="N188" t="s">
        <v>51</v>
      </c>
      <c r="O188" t="s">
        <v>1060</v>
      </c>
      <c r="P188" s="1">
        <v>5500</v>
      </c>
      <c r="Q188">
        <v>2</v>
      </c>
      <c r="R188" t="s">
        <v>1061</v>
      </c>
      <c r="S188" s="1">
        <f>Tabla1[[#This Row],[OS-Valor Unitario]]-Tabla1[[#This Row],[costo_antes_iva]]</f>
        <v>1000</v>
      </c>
      <c r="T188" s="1">
        <f>Tabla1[[#This Row],[OS-Valor Unitario]]*Tabla1[[#This Row],[OS-Cantidad]]</f>
        <v>11000</v>
      </c>
      <c r="U188" s="1">
        <f>Tabla1[[#This Row],[costo_antes_iva]]*Tabla1[[#This Row],[OS-Cantidad]]</f>
        <v>9000</v>
      </c>
      <c r="V188" s="1">
        <f>Tabla1[[#This Row],[Valor total OS]]-Tabla1[[#This Row],[valor total op]]</f>
        <v>2000</v>
      </c>
      <c r="W188" s="1">
        <f>ROUNDDOWN(Tabla1[[#This Row],[Diferencia]]/200000,0)*200000</f>
        <v>0</v>
      </c>
    </row>
    <row r="189" spans="1:23" hidden="1" x14ac:dyDescent="0.3">
      <c r="A189">
        <v>6363</v>
      </c>
      <c r="B189">
        <v>1</v>
      </c>
      <c r="C189" t="s">
        <v>1312</v>
      </c>
      <c r="D189">
        <v>2</v>
      </c>
      <c r="E189" t="s">
        <v>1313</v>
      </c>
      <c r="F189" t="s">
        <v>1314</v>
      </c>
      <c r="G189" t="s">
        <v>242</v>
      </c>
      <c r="H189" t="s">
        <v>1315</v>
      </c>
      <c r="I189">
        <v>2</v>
      </c>
      <c r="J189">
        <v>74081481</v>
      </c>
      <c r="K189" s="2">
        <v>45951</v>
      </c>
      <c r="L189" s="1">
        <v>1300</v>
      </c>
      <c r="M189" t="s">
        <v>1316</v>
      </c>
      <c r="N189" t="s">
        <v>24</v>
      </c>
      <c r="O189" t="s">
        <v>1317</v>
      </c>
      <c r="P189" s="1">
        <v>2300</v>
      </c>
      <c r="Q189">
        <v>2</v>
      </c>
      <c r="R189" t="s">
        <v>1318</v>
      </c>
      <c r="S189" s="1">
        <f>Tabla1[[#This Row],[OS-Valor Unitario]]-Tabla1[[#This Row],[costo_antes_iva]]</f>
        <v>1000</v>
      </c>
      <c r="T189" s="1">
        <f>Tabla1[[#This Row],[OS-Valor Unitario]]*Tabla1[[#This Row],[OS-Cantidad]]</f>
        <v>4600</v>
      </c>
      <c r="U189" s="1">
        <f>Tabla1[[#This Row],[costo_antes_iva]]*Tabla1[[#This Row],[OS-Cantidad]]</f>
        <v>2600</v>
      </c>
      <c r="V189" s="1">
        <f>Tabla1[[#This Row],[Valor total OS]]-Tabla1[[#This Row],[valor total op]]</f>
        <v>2000</v>
      </c>
      <c r="W189" s="1">
        <f>ROUNDDOWN(Tabla1[[#This Row],[Diferencia]]/200000,0)*200000</f>
        <v>0</v>
      </c>
    </row>
    <row r="190" spans="1:23" hidden="1" x14ac:dyDescent="0.3">
      <c r="A190">
        <v>6363</v>
      </c>
      <c r="B190">
        <v>1</v>
      </c>
      <c r="C190" t="s">
        <v>1312</v>
      </c>
      <c r="D190">
        <v>2</v>
      </c>
      <c r="E190" t="s">
        <v>1313</v>
      </c>
      <c r="F190" t="s">
        <v>1314</v>
      </c>
      <c r="G190" t="s">
        <v>242</v>
      </c>
      <c r="H190" t="s">
        <v>1315</v>
      </c>
      <c r="I190">
        <v>1</v>
      </c>
      <c r="J190">
        <v>74082023</v>
      </c>
      <c r="K190" s="2">
        <v>45951</v>
      </c>
      <c r="L190" s="1">
        <v>1300</v>
      </c>
      <c r="M190" t="s">
        <v>1320</v>
      </c>
      <c r="N190" t="s">
        <v>24</v>
      </c>
      <c r="O190" t="s">
        <v>1317</v>
      </c>
      <c r="P190" s="1">
        <v>2300</v>
      </c>
      <c r="Q190">
        <v>2</v>
      </c>
      <c r="R190" t="s">
        <v>1318</v>
      </c>
      <c r="S190" s="1">
        <f>Tabla1[[#This Row],[OS-Valor Unitario]]-Tabla1[[#This Row],[costo_antes_iva]]</f>
        <v>1000</v>
      </c>
      <c r="T190" s="1">
        <f>Tabla1[[#This Row],[OS-Valor Unitario]]*Tabla1[[#This Row],[OS-Cantidad]]</f>
        <v>4600</v>
      </c>
      <c r="U190" s="1">
        <f>Tabla1[[#This Row],[costo_antes_iva]]*Tabla1[[#This Row],[OS-Cantidad]]</f>
        <v>2600</v>
      </c>
      <c r="V190" s="1">
        <f>Tabla1[[#This Row],[Valor total OS]]-Tabla1[[#This Row],[valor total op]]</f>
        <v>2000</v>
      </c>
      <c r="W190" s="1">
        <f>ROUNDDOWN(Tabla1[[#This Row],[Diferencia]]/200000,0)*200000</f>
        <v>0</v>
      </c>
    </row>
    <row r="191" spans="1:23" hidden="1" x14ac:dyDescent="0.3">
      <c r="A191">
        <v>6384</v>
      </c>
      <c r="B191">
        <v>1</v>
      </c>
      <c r="C191" t="s">
        <v>958</v>
      </c>
      <c r="D191">
        <v>8</v>
      </c>
      <c r="E191" t="s">
        <v>959</v>
      </c>
      <c r="F191" t="s">
        <v>960</v>
      </c>
      <c r="G191" t="s">
        <v>118</v>
      </c>
      <c r="H191" t="s">
        <v>961</v>
      </c>
      <c r="I191">
        <v>1</v>
      </c>
      <c r="J191">
        <v>74647469</v>
      </c>
      <c r="K191" s="2">
        <v>45961</v>
      </c>
      <c r="L191" s="1">
        <v>1200</v>
      </c>
      <c r="M191" t="s">
        <v>962</v>
      </c>
      <c r="N191" t="s">
        <v>24</v>
      </c>
      <c r="O191" t="s">
        <v>963</v>
      </c>
      <c r="P191" s="1">
        <v>1400</v>
      </c>
      <c r="Q191">
        <v>8</v>
      </c>
      <c r="R191" t="s">
        <v>965</v>
      </c>
      <c r="S191" s="1">
        <f>Tabla1[[#This Row],[OS-Valor Unitario]]-Tabla1[[#This Row],[costo_antes_iva]]</f>
        <v>200</v>
      </c>
      <c r="T191" s="1">
        <f>Tabla1[[#This Row],[OS-Valor Unitario]]*Tabla1[[#This Row],[OS-Cantidad]]</f>
        <v>11200</v>
      </c>
      <c r="U191" s="1">
        <f>Tabla1[[#This Row],[costo_antes_iva]]*Tabla1[[#This Row],[OS-Cantidad]]</f>
        <v>9600</v>
      </c>
      <c r="V191" s="1">
        <f>Tabla1[[#This Row],[Valor total OS]]-Tabla1[[#This Row],[valor total op]]</f>
        <v>1600</v>
      </c>
      <c r="W191" s="1">
        <f>ROUNDDOWN(Tabla1[[#This Row],[Diferencia]]/200000,0)*200000</f>
        <v>0</v>
      </c>
    </row>
    <row r="192" spans="1:23" hidden="1" x14ac:dyDescent="0.3">
      <c r="A192">
        <v>6540</v>
      </c>
      <c r="B192">
        <v>4</v>
      </c>
      <c r="C192" t="s">
        <v>224</v>
      </c>
      <c r="D192">
        <v>3</v>
      </c>
      <c r="E192" t="s">
        <v>207</v>
      </c>
      <c r="F192" t="s">
        <v>225</v>
      </c>
      <c r="G192" t="s">
        <v>209</v>
      </c>
      <c r="H192" t="s">
        <v>166</v>
      </c>
      <c r="I192">
        <v>1</v>
      </c>
      <c r="J192">
        <v>79234576</v>
      </c>
      <c r="K192" s="2">
        <v>46051</v>
      </c>
      <c r="L192" s="1">
        <v>4500</v>
      </c>
      <c r="M192" t="s">
        <v>210</v>
      </c>
      <c r="N192" t="s">
        <v>51</v>
      </c>
      <c r="O192" t="s">
        <v>226</v>
      </c>
      <c r="P192" s="1">
        <v>5000</v>
      </c>
      <c r="Q192">
        <v>3</v>
      </c>
      <c r="R192" t="s">
        <v>227</v>
      </c>
      <c r="S192" s="1">
        <f>Tabla1[[#This Row],[OS-Valor Unitario]]-Tabla1[[#This Row],[costo_antes_iva]]</f>
        <v>500</v>
      </c>
      <c r="T192" s="1">
        <f>Tabla1[[#This Row],[OS-Valor Unitario]]*Tabla1[[#This Row],[OS-Cantidad]]</f>
        <v>15000</v>
      </c>
      <c r="U192" s="1">
        <f>Tabla1[[#This Row],[costo_antes_iva]]*Tabla1[[#This Row],[OS-Cantidad]]</f>
        <v>13500</v>
      </c>
      <c r="V192" s="1">
        <f>Tabla1[[#This Row],[Valor total OS]]-Tabla1[[#This Row],[valor total op]]</f>
        <v>1500</v>
      </c>
      <c r="W192" s="1">
        <f>ROUNDDOWN(Tabla1[[#This Row],[Diferencia]]/200000,0)*200000</f>
        <v>0</v>
      </c>
    </row>
    <row r="193" spans="1:23" hidden="1" x14ac:dyDescent="0.3">
      <c r="A193">
        <v>6540</v>
      </c>
      <c r="B193">
        <v>5</v>
      </c>
      <c r="C193" t="s">
        <v>229</v>
      </c>
      <c r="D193">
        <v>3</v>
      </c>
      <c r="E193" t="s">
        <v>207</v>
      </c>
      <c r="F193" t="s">
        <v>230</v>
      </c>
      <c r="G193" t="s">
        <v>209</v>
      </c>
      <c r="H193" t="s">
        <v>166</v>
      </c>
      <c r="I193">
        <v>1</v>
      </c>
      <c r="J193">
        <v>79234584</v>
      </c>
      <c r="K193" s="2">
        <v>46051</v>
      </c>
      <c r="L193" s="1">
        <v>4500</v>
      </c>
      <c r="M193" t="s">
        <v>210</v>
      </c>
      <c r="N193" t="s">
        <v>51</v>
      </c>
      <c r="O193" t="s">
        <v>231</v>
      </c>
      <c r="P193" s="1">
        <v>5000</v>
      </c>
      <c r="Q193">
        <v>3</v>
      </c>
      <c r="R193" t="s">
        <v>232</v>
      </c>
      <c r="S193" s="1">
        <f>Tabla1[[#This Row],[OS-Valor Unitario]]-Tabla1[[#This Row],[costo_antes_iva]]</f>
        <v>500</v>
      </c>
      <c r="T193" s="1">
        <f>Tabla1[[#This Row],[OS-Valor Unitario]]*Tabla1[[#This Row],[OS-Cantidad]]</f>
        <v>15000</v>
      </c>
      <c r="U193" s="1">
        <f>Tabla1[[#This Row],[costo_antes_iva]]*Tabla1[[#This Row],[OS-Cantidad]]</f>
        <v>13500</v>
      </c>
      <c r="V193" s="1">
        <f>Tabla1[[#This Row],[Valor total OS]]-Tabla1[[#This Row],[valor total op]]</f>
        <v>1500</v>
      </c>
      <c r="W193" s="1">
        <f>ROUNDDOWN(Tabla1[[#This Row],[Diferencia]]/200000,0)*200000</f>
        <v>0</v>
      </c>
    </row>
    <row r="194" spans="1:23" hidden="1" x14ac:dyDescent="0.3">
      <c r="A194">
        <v>6540</v>
      </c>
      <c r="B194">
        <v>6</v>
      </c>
      <c r="C194" t="s">
        <v>234</v>
      </c>
      <c r="D194">
        <v>3</v>
      </c>
      <c r="E194" t="s">
        <v>207</v>
      </c>
      <c r="F194" t="s">
        <v>235</v>
      </c>
      <c r="G194" t="s">
        <v>209</v>
      </c>
      <c r="H194" t="s">
        <v>166</v>
      </c>
      <c r="I194">
        <v>1</v>
      </c>
      <c r="J194">
        <v>79234591</v>
      </c>
      <c r="K194" s="2">
        <v>46051</v>
      </c>
      <c r="L194" s="1">
        <v>4500</v>
      </c>
      <c r="M194" t="s">
        <v>210</v>
      </c>
      <c r="N194" t="s">
        <v>51</v>
      </c>
      <c r="O194" t="s">
        <v>236</v>
      </c>
      <c r="P194" s="1">
        <v>5000</v>
      </c>
      <c r="Q194">
        <v>3</v>
      </c>
      <c r="R194" t="s">
        <v>237</v>
      </c>
      <c r="S194" s="1">
        <f>Tabla1[[#This Row],[OS-Valor Unitario]]-Tabla1[[#This Row],[costo_antes_iva]]</f>
        <v>500</v>
      </c>
      <c r="T194" s="1">
        <f>Tabla1[[#This Row],[OS-Valor Unitario]]*Tabla1[[#This Row],[OS-Cantidad]]</f>
        <v>15000</v>
      </c>
      <c r="U194" s="1">
        <f>Tabla1[[#This Row],[costo_antes_iva]]*Tabla1[[#This Row],[OS-Cantidad]]</f>
        <v>13500</v>
      </c>
      <c r="V194" s="1">
        <f>Tabla1[[#This Row],[Valor total OS]]-Tabla1[[#This Row],[valor total op]]</f>
        <v>1500</v>
      </c>
      <c r="W194" s="1">
        <f>ROUNDDOWN(Tabla1[[#This Row],[Diferencia]]/200000,0)*200000</f>
        <v>0</v>
      </c>
    </row>
    <row r="195" spans="1:23" hidden="1" x14ac:dyDescent="0.3">
      <c r="A195">
        <v>6439</v>
      </c>
      <c r="B195">
        <v>4</v>
      </c>
      <c r="C195" t="s">
        <v>760</v>
      </c>
      <c r="D195">
        <v>2</v>
      </c>
      <c r="E195" t="s">
        <v>745</v>
      </c>
      <c r="F195" t="s">
        <v>761</v>
      </c>
      <c r="G195" t="s">
        <v>762</v>
      </c>
      <c r="H195" t="s">
        <v>166</v>
      </c>
      <c r="I195">
        <v>0</v>
      </c>
      <c r="J195">
        <v>76369204</v>
      </c>
      <c r="K195" s="2">
        <v>45989</v>
      </c>
      <c r="L195" s="1">
        <v>17000</v>
      </c>
      <c r="M195" t="s">
        <v>748</v>
      </c>
      <c r="N195" t="s">
        <v>51</v>
      </c>
      <c r="O195" t="s">
        <v>763</v>
      </c>
      <c r="P195" s="1">
        <v>17500</v>
      </c>
      <c r="Q195">
        <v>2</v>
      </c>
      <c r="R195" t="s">
        <v>764</v>
      </c>
      <c r="S195" s="1">
        <f>Tabla1[[#This Row],[OS-Valor Unitario]]-Tabla1[[#This Row],[costo_antes_iva]]</f>
        <v>500</v>
      </c>
      <c r="T195" s="1">
        <f>Tabla1[[#This Row],[OS-Valor Unitario]]*Tabla1[[#This Row],[OS-Cantidad]]</f>
        <v>35000</v>
      </c>
      <c r="U195" s="1">
        <f>Tabla1[[#This Row],[costo_antes_iva]]*Tabla1[[#This Row],[OS-Cantidad]]</f>
        <v>34000</v>
      </c>
      <c r="V195" s="1">
        <f>Tabla1[[#This Row],[Valor total OS]]-Tabla1[[#This Row],[valor total op]]</f>
        <v>1000</v>
      </c>
      <c r="W195" s="1">
        <f>ROUNDDOWN(Tabla1[[#This Row],[Diferencia]]/200000,0)*200000</f>
        <v>0</v>
      </c>
    </row>
    <row r="196" spans="1:23" hidden="1" x14ac:dyDescent="0.3">
      <c r="A196">
        <v>6439</v>
      </c>
      <c r="B196">
        <v>12</v>
      </c>
      <c r="C196" t="s">
        <v>792</v>
      </c>
      <c r="D196">
        <v>2</v>
      </c>
      <c r="E196" t="s">
        <v>745</v>
      </c>
      <c r="F196" t="s">
        <v>793</v>
      </c>
      <c r="G196" t="s">
        <v>762</v>
      </c>
      <c r="H196" t="s">
        <v>166</v>
      </c>
      <c r="I196">
        <v>0</v>
      </c>
      <c r="J196">
        <v>76369864</v>
      </c>
      <c r="K196" s="2">
        <v>45989</v>
      </c>
      <c r="L196" s="1">
        <v>17000</v>
      </c>
      <c r="M196" t="s">
        <v>748</v>
      </c>
      <c r="N196" t="s">
        <v>51</v>
      </c>
      <c r="O196" t="s">
        <v>794</v>
      </c>
      <c r="P196" s="1">
        <v>17500</v>
      </c>
      <c r="Q196">
        <v>2</v>
      </c>
      <c r="R196" t="s">
        <v>795</v>
      </c>
      <c r="S196" s="1">
        <f>Tabla1[[#This Row],[OS-Valor Unitario]]-Tabla1[[#This Row],[costo_antes_iva]]</f>
        <v>500</v>
      </c>
      <c r="T196" s="1">
        <f>Tabla1[[#This Row],[OS-Valor Unitario]]*Tabla1[[#This Row],[OS-Cantidad]]</f>
        <v>35000</v>
      </c>
      <c r="U196" s="1">
        <f>Tabla1[[#This Row],[costo_antes_iva]]*Tabla1[[#This Row],[OS-Cantidad]]</f>
        <v>34000</v>
      </c>
      <c r="V196" s="1">
        <f>Tabla1[[#This Row],[Valor total OS]]-Tabla1[[#This Row],[valor total op]]</f>
        <v>1000</v>
      </c>
      <c r="W196" s="1">
        <f>ROUNDDOWN(Tabla1[[#This Row],[Diferencia]]/200000,0)*200000</f>
        <v>0</v>
      </c>
    </row>
    <row r="197" spans="1:23" hidden="1" x14ac:dyDescent="0.3">
      <c r="A197">
        <v>6382</v>
      </c>
      <c r="B197">
        <v>6</v>
      </c>
      <c r="C197" t="s">
        <v>1063</v>
      </c>
      <c r="D197">
        <v>2</v>
      </c>
      <c r="E197" t="s">
        <v>1034</v>
      </c>
      <c r="F197" t="s">
        <v>1035</v>
      </c>
      <c r="G197" t="s">
        <v>209</v>
      </c>
      <c r="H197" t="s">
        <v>166</v>
      </c>
      <c r="I197">
        <v>1</v>
      </c>
      <c r="J197">
        <v>74603513</v>
      </c>
      <c r="K197" s="2">
        <v>45960</v>
      </c>
      <c r="L197" s="1">
        <v>4500</v>
      </c>
      <c r="M197" t="s">
        <v>1036</v>
      </c>
      <c r="N197" t="s">
        <v>51</v>
      </c>
      <c r="O197" t="s">
        <v>1064</v>
      </c>
      <c r="P197" s="1">
        <v>5000</v>
      </c>
      <c r="Q197">
        <v>2</v>
      </c>
      <c r="R197" t="s">
        <v>1065</v>
      </c>
      <c r="S197" s="1">
        <f>Tabla1[[#This Row],[OS-Valor Unitario]]-Tabla1[[#This Row],[costo_antes_iva]]</f>
        <v>500</v>
      </c>
      <c r="T197" s="1">
        <f>Tabla1[[#This Row],[OS-Valor Unitario]]*Tabla1[[#This Row],[OS-Cantidad]]</f>
        <v>10000</v>
      </c>
      <c r="U197" s="1">
        <f>Tabla1[[#This Row],[costo_antes_iva]]*Tabla1[[#This Row],[OS-Cantidad]]</f>
        <v>9000</v>
      </c>
      <c r="V197" s="1">
        <f>Tabla1[[#This Row],[Valor total OS]]-Tabla1[[#This Row],[valor total op]]</f>
        <v>1000</v>
      </c>
      <c r="W197" s="1">
        <f>ROUNDDOWN(Tabla1[[#This Row],[Diferencia]]/200000,0)*200000</f>
        <v>0</v>
      </c>
    </row>
    <row r="198" spans="1:23" hidden="1" x14ac:dyDescent="0.3">
      <c r="A198">
        <v>6382</v>
      </c>
      <c r="B198">
        <v>6</v>
      </c>
      <c r="C198" t="s">
        <v>1063</v>
      </c>
      <c r="D198">
        <v>2</v>
      </c>
      <c r="E198" t="s">
        <v>1034</v>
      </c>
      <c r="F198" t="s">
        <v>1035</v>
      </c>
      <c r="G198" t="s">
        <v>209</v>
      </c>
      <c r="H198" t="s">
        <v>166</v>
      </c>
      <c r="I198">
        <v>1</v>
      </c>
      <c r="J198">
        <v>74604467</v>
      </c>
      <c r="K198" s="2">
        <v>45960</v>
      </c>
      <c r="L198" s="1">
        <v>4500</v>
      </c>
      <c r="M198" t="s">
        <v>1040</v>
      </c>
      <c r="N198" t="s">
        <v>51</v>
      </c>
      <c r="O198" t="s">
        <v>1064</v>
      </c>
      <c r="P198" s="1">
        <v>5000</v>
      </c>
      <c r="Q198">
        <v>2</v>
      </c>
      <c r="R198" t="s">
        <v>1065</v>
      </c>
      <c r="S198" s="1">
        <f>Tabla1[[#This Row],[OS-Valor Unitario]]-Tabla1[[#This Row],[costo_antes_iva]]</f>
        <v>500</v>
      </c>
      <c r="T198" s="1">
        <f>Tabla1[[#This Row],[OS-Valor Unitario]]*Tabla1[[#This Row],[OS-Cantidad]]</f>
        <v>10000</v>
      </c>
      <c r="U198" s="1">
        <f>Tabla1[[#This Row],[costo_antes_iva]]*Tabla1[[#This Row],[OS-Cantidad]]</f>
        <v>9000</v>
      </c>
      <c r="V198" s="1">
        <f>Tabla1[[#This Row],[Valor total OS]]-Tabla1[[#This Row],[valor total op]]</f>
        <v>1000</v>
      </c>
      <c r="W198" s="1">
        <f>ROUNDDOWN(Tabla1[[#This Row],[Diferencia]]/200000,0)*200000</f>
        <v>0</v>
      </c>
    </row>
    <row r="199" spans="1:23" hidden="1" x14ac:dyDescent="0.3">
      <c r="A199">
        <v>6379</v>
      </c>
      <c r="B199">
        <v>6</v>
      </c>
      <c r="C199" t="s">
        <v>1123</v>
      </c>
      <c r="D199">
        <v>2</v>
      </c>
      <c r="E199" t="s">
        <v>1095</v>
      </c>
      <c r="F199" t="s">
        <v>1124</v>
      </c>
      <c r="G199" t="s">
        <v>1376</v>
      </c>
      <c r="H199" t="s">
        <v>1097</v>
      </c>
      <c r="I199">
        <v>2</v>
      </c>
      <c r="J199">
        <v>74473757</v>
      </c>
      <c r="K199" s="2">
        <v>45958</v>
      </c>
      <c r="L199" s="1">
        <v>4500</v>
      </c>
      <c r="M199" t="s">
        <v>1098</v>
      </c>
      <c r="N199" t="s">
        <v>51</v>
      </c>
      <c r="O199" t="s">
        <v>1125</v>
      </c>
      <c r="P199" s="1">
        <v>5000</v>
      </c>
      <c r="Q199">
        <v>2</v>
      </c>
      <c r="R199" t="s">
        <v>1127</v>
      </c>
      <c r="S199" s="1">
        <f>Tabla1[[#This Row],[OS-Valor Unitario]]-Tabla1[[#This Row],[costo_antes_iva]]</f>
        <v>500</v>
      </c>
      <c r="T199" s="1">
        <f>Tabla1[[#This Row],[OS-Valor Unitario]]*Tabla1[[#This Row],[OS-Cantidad]]</f>
        <v>10000</v>
      </c>
      <c r="U199" s="1">
        <f>Tabla1[[#This Row],[costo_antes_iva]]*Tabla1[[#This Row],[OS-Cantidad]]</f>
        <v>9000</v>
      </c>
      <c r="V199" s="1">
        <f>Tabla1[[#This Row],[Valor total OS]]-Tabla1[[#This Row],[valor total op]]</f>
        <v>1000</v>
      </c>
      <c r="W199" s="1">
        <f>ROUNDDOWN(Tabla1[[#This Row],[Diferencia]]/200000,0)*200000</f>
        <v>0</v>
      </c>
    </row>
    <row r="200" spans="1:23" hidden="1" x14ac:dyDescent="0.3">
      <c r="A200">
        <v>6493</v>
      </c>
      <c r="B200">
        <v>2</v>
      </c>
      <c r="C200" t="s">
        <v>414</v>
      </c>
      <c r="D200">
        <v>4</v>
      </c>
      <c r="E200" t="s">
        <v>405</v>
      </c>
      <c r="F200" t="s">
        <v>406</v>
      </c>
      <c r="G200" t="s">
        <v>407</v>
      </c>
      <c r="H200" t="s">
        <v>408</v>
      </c>
      <c r="I200">
        <v>34</v>
      </c>
      <c r="J200">
        <v>77898260</v>
      </c>
      <c r="K200" s="2">
        <v>46021</v>
      </c>
      <c r="L200" s="1">
        <v>1800</v>
      </c>
      <c r="M200" t="s">
        <v>409</v>
      </c>
      <c r="N200" t="s">
        <v>24</v>
      </c>
      <c r="O200" t="s">
        <v>415</v>
      </c>
      <c r="P200" s="1">
        <v>2000</v>
      </c>
      <c r="Q200">
        <v>4</v>
      </c>
      <c r="R200" t="s">
        <v>416</v>
      </c>
      <c r="S200" s="1">
        <f>Tabla1[[#This Row],[OS-Valor Unitario]]-Tabla1[[#This Row],[costo_antes_iva]]</f>
        <v>200</v>
      </c>
      <c r="T200" s="1">
        <f>Tabla1[[#This Row],[OS-Valor Unitario]]*Tabla1[[#This Row],[OS-Cantidad]]</f>
        <v>8000</v>
      </c>
      <c r="U200" s="1">
        <f>Tabla1[[#This Row],[costo_antes_iva]]*Tabla1[[#This Row],[OS-Cantidad]]</f>
        <v>7200</v>
      </c>
      <c r="V200" s="1">
        <f>Tabla1[[#This Row],[Valor total OS]]-Tabla1[[#This Row],[valor total op]]</f>
        <v>800</v>
      </c>
      <c r="W200" s="1">
        <f>ROUNDDOWN(Tabla1[[#This Row],[Diferencia]]/200000,0)*200000</f>
        <v>0</v>
      </c>
    </row>
    <row r="201" spans="1:23" hidden="1" x14ac:dyDescent="0.3">
      <c r="A201">
        <v>6493</v>
      </c>
      <c r="B201">
        <v>2</v>
      </c>
      <c r="C201" t="s">
        <v>414</v>
      </c>
      <c r="D201">
        <v>4</v>
      </c>
      <c r="E201" t="s">
        <v>405</v>
      </c>
      <c r="F201" t="s">
        <v>406</v>
      </c>
      <c r="G201" t="s">
        <v>108</v>
      </c>
      <c r="H201" t="s">
        <v>408</v>
      </c>
      <c r="I201">
        <v>4</v>
      </c>
      <c r="J201">
        <v>77898321</v>
      </c>
      <c r="K201" s="2">
        <v>46021</v>
      </c>
      <c r="L201" s="1">
        <v>1800</v>
      </c>
      <c r="M201" t="s">
        <v>413</v>
      </c>
      <c r="N201" t="s">
        <v>24</v>
      </c>
      <c r="O201" t="s">
        <v>415</v>
      </c>
      <c r="P201" s="1">
        <v>2000</v>
      </c>
      <c r="Q201">
        <v>4</v>
      </c>
      <c r="R201" t="s">
        <v>416</v>
      </c>
      <c r="S201" s="1">
        <f>Tabla1[[#This Row],[OS-Valor Unitario]]-Tabla1[[#This Row],[costo_antes_iva]]</f>
        <v>200</v>
      </c>
      <c r="T201" s="1">
        <f>Tabla1[[#This Row],[OS-Valor Unitario]]*Tabla1[[#This Row],[OS-Cantidad]]</f>
        <v>8000</v>
      </c>
      <c r="U201" s="1">
        <f>Tabla1[[#This Row],[costo_antes_iva]]*Tabla1[[#This Row],[OS-Cantidad]]</f>
        <v>7200</v>
      </c>
      <c r="V201" s="1">
        <f>Tabla1[[#This Row],[Valor total OS]]-Tabla1[[#This Row],[valor total op]]</f>
        <v>800</v>
      </c>
      <c r="W201" s="1">
        <f>ROUNDDOWN(Tabla1[[#This Row],[Diferencia]]/200000,0)*200000</f>
        <v>0</v>
      </c>
    </row>
    <row r="202" spans="1:23" hidden="1" x14ac:dyDescent="0.3">
      <c r="A202">
        <v>6379</v>
      </c>
      <c r="B202">
        <v>3</v>
      </c>
      <c r="C202" t="s">
        <v>1107</v>
      </c>
      <c r="D202">
        <v>6</v>
      </c>
      <c r="E202" t="s">
        <v>1095</v>
      </c>
      <c r="F202" t="s">
        <v>1108</v>
      </c>
      <c r="G202" t="s">
        <v>394</v>
      </c>
      <c r="H202" t="s">
        <v>1097</v>
      </c>
      <c r="I202">
        <v>34</v>
      </c>
      <c r="J202">
        <v>74474148</v>
      </c>
      <c r="K202" s="2">
        <v>45958</v>
      </c>
      <c r="L202" s="1">
        <v>1300</v>
      </c>
      <c r="M202" t="s">
        <v>1109</v>
      </c>
      <c r="N202" t="s">
        <v>24</v>
      </c>
      <c r="O202" t="s">
        <v>1110</v>
      </c>
      <c r="P202" s="1">
        <v>1400</v>
      </c>
      <c r="Q202">
        <v>6</v>
      </c>
      <c r="R202" t="s">
        <v>1111</v>
      </c>
      <c r="S202" s="1">
        <f>Tabla1[[#This Row],[OS-Valor Unitario]]-Tabla1[[#This Row],[costo_antes_iva]]</f>
        <v>100</v>
      </c>
      <c r="T202" s="1">
        <f>Tabla1[[#This Row],[OS-Valor Unitario]]*Tabla1[[#This Row],[OS-Cantidad]]</f>
        <v>8400</v>
      </c>
      <c r="U202" s="1">
        <f>Tabla1[[#This Row],[costo_antes_iva]]*Tabla1[[#This Row],[OS-Cantidad]]</f>
        <v>7800</v>
      </c>
      <c r="V202" s="1">
        <f>Tabla1[[#This Row],[Valor total OS]]-Tabla1[[#This Row],[valor total op]]</f>
        <v>600</v>
      </c>
      <c r="W202" s="1">
        <f>ROUNDDOWN(Tabla1[[#This Row],[Diferencia]]/200000,0)*200000</f>
        <v>0</v>
      </c>
    </row>
    <row r="203" spans="1:23" hidden="1" x14ac:dyDescent="0.3">
      <c r="A203">
        <v>6384</v>
      </c>
      <c r="B203">
        <v>3</v>
      </c>
      <c r="C203" t="s">
        <v>971</v>
      </c>
      <c r="D203">
        <v>1</v>
      </c>
      <c r="E203" t="s">
        <v>959</v>
      </c>
      <c r="F203" t="s">
        <v>972</v>
      </c>
      <c r="G203" t="s">
        <v>973</v>
      </c>
      <c r="H203" t="s">
        <v>961</v>
      </c>
      <c r="I203">
        <v>1</v>
      </c>
      <c r="J203">
        <v>74647597</v>
      </c>
      <c r="K203" s="2">
        <v>45961</v>
      </c>
      <c r="L203" s="1">
        <v>1100</v>
      </c>
      <c r="M203" t="s">
        <v>962</v>
      </c>
      <c r="N203" t="s">
        <v>24</v>
      </c>
      <c r="O203" t="s">
        <v>974</v>
      </c>
      <c r="P203" s="1">
        <v>1400</v>
      </c>
      <c r="Q203">
        <v>1</v>
      </c>
      <c r="R203" t="s">
        <v>975</v>
      </c>
      <c r="S203" s="1">
        <f>Tabla1[[#This Row],[OS-Valor Unitario]]-Tabla1[[#This Row],[costo_antes_iva]]</f>
        <v>300</v>
      </c>
      <c r="T203" s="1">
        <f>Tabla1[[#This Row],[OS-Valor Unitario]]*Tabla1[[#This Row],[OS-Cantidad]]</f>
        <v>1400</v>
      </c>
      <c r="U203" s="1">
        <f>Tabla1[[#This Row],[costo_antes_iva]]*Tabla1[[#This Row],[OS-Cantidad]]</f>
        <v>1100</v>
      </c>
      <c r="V203" s="1">
        <f>Tabla1[[#This Row],[Valor total OS]]-Tabla1[[#This Row],[valor total op]]</f>
        <v>300</v>
      </c>
      <c r="W203" s="1">
        <f>ROUNDDOWN(Tabla1[[#This Row],[Diferencia]]/200000,0)*200000</f>
        <v>0</v>
      </c>
    </row>
    <row r="204" spans="1:23" hidden="1" x14ac:dyDescent="0.3">
      <c r="A204">
        <v>6379</v>
      </c>
      <c r="B204">
        <v>4</v>
      </c>
      <c r="C204" t="s">
        <v>1113</v>
      </c>
      <c r="D204">
        <v>1</v>
      </c>
      <c r="E204" t="s">
        <v>1095</v>
      </c>
      <c r="F204" t="s">
        <v>1114</v>
      </c>
      <c r="G204" t="s">
        <v>447</v>
      </c>
      <c r="H204" t="s">
        <v>1097</v>
      </c>
      <c r="I204">
        <v>2</v>
      </c>
      <c r="J204">
        <v>74474154</v>
      </c>
      <c r="K204" s="2">
        <v>45958</v>
      </c>
      <c r="L204" s="1">
        <v>1300</v>
      </c>
      <c r="M204" t="s">
        <v>1115</v>
      </c>
      <c r="N204" t="s">
        <v>24</v>
      </c>
      <c r="O204" t="s">
        <v>1116</v>
      </c>
      <c r="P204" s="1">
        <v>1400</v>
      </c>
      <c r="Q204">
        <v>1</v>
      </c>
      <c r="R204" t="s">
        <v>1117</v>
      </c>
      <c r="S204" s="1">
        <f>Tabla1[[#This Row],[OS-Valor Unitario]]-Tabla1[[#This Row],[costo_antes_iva]]</f>
        <v>100</v>
      </c>
      <c r="T204" s="1">
        <f>Tabla1[[#This Row],[OS-Valor Unitario]]*Tabla1[[#This Row],[OS-Cantidad]]</f>
        <v>1400</v>
      </c>
      <c r="U204" s="1">
        <f>Tabla1[[#This Row],[costo_antes_iva]]*Tabla1[[#This Row],[OS-Cantidad]]</f>
        <v>1300</v>
      </c>
      <c r="V204" s="1">
        <f>Tabla1[[#This Row],[Valor total OS]]-Tabla1[[#This Row],[valor total op]]</f>
        <v>100</v>
      </c>
      <c r="W204" s="1">
        <f>ROUNDDOWN(Tabla1[[#This Row],[Diferencia]]/200000,0)*200000</f>
        <v>0</v>
      </c>
    </row>
    <row r="205" spans="1:23" hidden="1" x14ac:dyDescent="0.3">
      <c r="A205">
        <v>6492</v>
      </c>
      <c r="B205">
        <v>4</v>
      </c>
      <c r="C205" t="s">
        <v>429</v>
      </c>
      <c r="D205">
        <v>1100</v>
      </c>
      <c r="E205" t="s">
        <v>418</v>
      </c>
      <c r="F205" t="s">
        <v>430</v>
      </c>
      <c r="G205" t="s">
        <v>431</v>
      </c>
      <c r="H205" t="s">
        <v>317</v>
      </c>
      <c r="I205">
        <v>1100</v>
      </c>
      <c r="J205">
        <v>77864570</v>
      </c>
      <c r="K205" s="2">
        <v>46020</v>
      </c>
      <c r="L205" s="1">
        <v>900</v>
      </c>
      <c r="M205" t="s">
        <v>420</v>
      </c>
      <c r="N205" t="s">
        <v>65</v>
      </c>
      <c r="O205" t="s">
        <v>432</v>
      </c>
      <c r="P205" s="1">
        <v>900</v>
      </c>
      <c r="Q205">
        <v>1100</v>
      </c>
      <c r="R205" t="s">
        <v>433</v>
      </c>
      <c r="S205" s="1">
        <f>Tabla1[[#This Row],[OS-Valor Unitario]]-Tabla1[[#This Row],[costo_antes_iva]]</f>
        <v>0</v>
      </c>
      <c r="T205" s="1">
        <f>Tabla1[[#This Row],[OS-Valor Unitario]]*Tabla1[[#This Row],[OS-Cantidad]]</f>
        <v>990000</v>
      </c>
      <c r="U205" s="1">
        <f>Tabla1[[#This Row],[costo_antes_iva]]*Tabla1[[#This Row],[OS-Cantidad]]</f>
        <v>990000</v>
      </c>
      <c r="V205" s="1">
        <f>Tabla1[[#This Row],[Valor total OS]]-Tabla1[[#This Row],[valor total op]]</f>
        <v>0</v>
      </c>
      <c r="W205" s="1">
        <f>ROUNDDOWN(Tabla1[[#This Row],[Diferencia]]/200000,0)*200000</f>
        <v>0</v>
      </c>
    </row>
    <row r="206" spans="1:23" hidden="1" x14ac:dyDescent="0.3">
      <c r="A206">
        <v>6492</v>
      </c>
      <c r="B206">
        <v>4</v>
      </c>
      <c r="C206" t="s">
        <v>429</v>
      </c>
      <c r="D206">
        <v>1100</v>
      </c>
      <c r="E206" t="s">
        <v>529</v>
      </c>
      <c r="F206" t="s">
        <v>430</v>
      </c>
      <c r="G206" t="s">
        <v>431</v>
      </c>
      <c r="H206" t="s">
        <v>317</v>
      </c>
      <c r="I206">
        <v>1100</v>
      </c>
      <c r="J206">
        <v>77864570</v>
      </c>
      <c r="K206" s="2">
        <v>46020</v>
      </c>
      <c r="L206" s="1">
        <v>900</v>
      </c>
      <c r="M206" t="s">
        <v>420</v>
      </c>
      <c r="N206" t="s">
        <v>65</v>
      </c>
      <c r="O206" t="s">
        <v>432</v>
      </c>
      <c r="P206" s="1">
        <v>900</v>
      </c>
      <c r="Q206">
        <v>1100</v>
      </c>
      <c r="R206" t="s">
        <v>433</v>
      </c>
      <c r="S206" s="1">
        <f>Tabla1[[#This Row],[OS-Valor Unitario]]-Tabla1[[#This Row],[costo_antes_iva]]</f>
        <v>0</v>
      </c>
      <c r="T206" s="1">
        <f>Tabla1[[#This Row],[OS-Valor Unitario]]*Tabla1[[#This Row],[OS-Cantidad]]</f>
        <v>990000</v>
      </c>
      <c r="U206" s="1">
        <f>Tabla1[[#This Row],[costo_antes_iva]]*Tabla1[[#This Row],[OS-Cantidad]]</f>
        <v>990000</v>
      </c>
      <c r="V206" s="1">
        <f>Tabla1[[#This Row],[Valor total OS]]-Tabla1[[#This Row],[valor total op]]</f>
        <v>0</v>
      </c>
      <c r="W206" s="1">
        <f>ROUNDDOWN(Tabla1[[#This Row],[Diferencia]]/200000,0)*200000</f>
        <v>0</v>
      </c>
    </row>
    <row r="207" spans="1:23" hidden="1" x14ac:dyDescent="0.3">
      <c r="A207">
        <v>6616</v>
      </c>
      <c r="B207">
        <v>1</v>
      </c>
      <c r="C207" t="s">
        <v>115</v>
      </c>
      <c r="D207">
        <v>700</v>
      </c>
      <c r="E207" t="s">
        <v>116</v>
      </c>
      <c r="F207" t="s">
        <v>117</v>
      </c>
      <c r="G207" t="s">
        <v>118</v>
      </c>
      <c r="H207" t="s">
        <v>119</v>
      </c>
      <c r="I207">
        <v>600</v>
      </c>
      <c r="J207">
        <v>80743972</v>
      </c>
      <c r="K207" s="2">
        <v>46079</v>
      </c>
      <c r="L207" s="1">
        <v>13500</v>
      </c>
      <c r="M207" t="s">
        <v>120</v>
      </c>
      <c r="N207" t="s">
        <v>51</v>
      </c>
      <c r="O207" t="s">
        <v>121</v>
      </c>
      <c r="P207" s="1">
        <v>13500</v>
      </c>
      <c r="Q207">
        <v>702</v>
      </c>
      <c r="R207" t="s">
        <v>122</v>
      </c>
      <c r="S207" s="1">
        <f>Tabla1[[#This Row],[OS-Valor Unitario]]-Tabla1[[#This Row],[costo_antes_iva]]</f>
        <v>0</v>
      </c>
      <c r="T207" s="1">
        <f>Tabla1[[#This Row],[OS-Valor Unitario]]*Tabla1[[#This Row],[OS-Cantidad]]</f>
        <v>9477000</v>
      </c>
      <c r="U207" s="1">
        <f>Tabla1[[#This Row],[costo_antes_iva]]*Tabla1[[#This Row],[OS-Cantidad]]</f>
        <v>9477000</v>
      </c>
      <c r="V207" s="1">
        <f>Tabla1[[#This Row],[Valor total OS]]-Tabla1[[#This Row],[valor total op]]</f>
        <v>0</v>
      </c>
      <c r="W207" s="1">
        <f>ROUNDDOWN(Tabla1[[#This Row],[Diferencia]]/200000,0)*200000</f>
        <v>0</v>
      </c>
    </row>
    <row r="208" spans="1:23" hidden="1" x14ac:dyDescent="0.3">
      <c r="A208">
        <v>6616</v>
      </c>
      <c r="B208">
        <v>4</v>
      </c>
      <c r="C208" t="s">
        <v>133</v>
      </c>
      <c r="D208">
        <v>700</v>
      </c>
      <c r="E208" t="s">
        <v>116</v>
      </c>
      <c r="F208" t="s">
        <v>134</v>
      </c>
      <c r="G208" t="s">
        <v>135</v>
      </c>
      <c r="H208" t="s">
        <v>119</v>
      </c>
      <c r="I208">
        <v>600</v>
      </c>
      <c r="J208">
        <v>80743991</v>
      </c>
      <c r="K208" s="2">
        <v>46079</v>
      </c>
      <c r="L208" s="1">
        <v>12000</v>
      </c>
      <c r="M208" t="s">
        <v>120</v>
      </c>
      <c r="N208" t="s">
        <v>51</v>
      </c>
      <c r="O208" t="s">
        <v>136</v>
      </c>
      <c r="P208" s="1">
        <v>12000</v>
      </c>
      <c r="Q208">
        <v>700</v>
      </c>
      <c r="R208" t="s">
        <v>137</v>
      </c>
      <c r="S208" s="1">
        <f>Tabla1[[#This Row],[OS-Valor Unitario]]-Tabla1[[#This Row],[costo_antes_iva]]</f>
        <v>0</v>
      </c>
      <c r="T208" s="1">
        <f>Tabla1[[#This Row],[OS-Valor Unitario]]*Tabla1[[#This Row],[OS-Cantidad]]</f>
        <v>8400000</v>
      </c>
      <c r="U208" s="1">
        <f>Tabla1[[#This Row],[costo_antes_iva]]*Tabla1[[#This Row],[OS-Cantidad]]</f>
        <v>8400000</v>
      </c>
      <c r="V208" s="1">
        <f>Tabla1[[#This Row],[Valor total OS]]-Tabla1[[#This Row],[valor total op]]</f>
        <v>0</v>
      </c>
      <c r="W208" s="1">
        <f>ROUNDDOWN(Tabla1[[#This Row],[Diferencia]]/200000,0)*200000</f>
        <v>0</v>
      </c>
    </row>
    <row r="209" spans="1:23" hidden="1" x14ac:dyDescent="0.3">
      <c r="A209">
        <v>6383</v>
      </c>
      <c r="B209">
        <v>3</v>
      </c>
      <c r="C209" t="s">
        <v>989</v>
      </c>
      <c r="D209">
        <v>378</v>
      </c>
      <c r="E209" t="s">
        <v>978</v>
      </c>
      <c r="F209" t="s">
        <v>990</v>
      </c>
      <c r="G209" t="s">
        <v>118</v>
      </c>
      <c r="H209" t="s">
        <v>961</v>
      </c>
      <c r="I209">
        <v>1</v>
      </c>
      <c r="J209">
        <v>74549234</v>
      </c>
      <c r="K209" s="2">
        <v>45959</v>
      </c>
      <c r="L209" s="1">
        <v>1100</v>
      </c>
      <c r="M209" t="s">
        <v>980</v>
      </c>
      <c r="N209" t="s">
        <v>24</v>
      </c>
      <c r="O209" t="s">
        <v>991</v>
      </c>
      <c r="P209" s="1">
        <v>1100</v>
      </c>
      <c r="Q209">
        <v>378</v>
      </c>
      <c r="R209" t="s">
        <v>992</v>
      </c>
      <c r="S209" s="1">
        <f>Tabla1[[#This Row],[OS-Valor Unitario]]-Tabla1[[#This Row],[costo_antes_iva]]</f>
        <v>0</v>
      </c>
      <c r="T209" s="1">
        <f>Tabla1[[#This Row],[OS-Valor Unitario]]*Tabla1[[#This Row],[OS-Cantidad]]</f>
        <v>415800</v>
      </c>
      <c r="U209" s="1">
        <f>Tabla1[[#This Row],[costo_antes_iva]]*Tabla1[[#This Row],[OS-Cantidad]]</f>
        <v>415800</v>
      </c>
      <c r="V209" s="1">
        <f>Tabla1[[#This Row],[Valor total OS]]-Tabla1[[#This Row],[valor total op]]</f>
        <v>0</v>
      </c>
      <c r="W209" s="1">
        <f>ROUNDDOWN(Tabla1[[#This Row],[Diferencia]]/200000,0)*200000</f>
        <v>0</v>
      </c>
    </row>
    <row r="210" spans="1:23" hidden="1" x14ac:dyDescent="0.3">
      <c r="A210">
        <v>6489</v>
      </c>
      <c r="B210">
        <v>1</v>
      </c>
      <c r="C210" t="s">
        <v>542</v>
      </c>
      <c r="D210">
        <v>344</v>
      </c>
      <c r="E210" t="s">
        <v>543</v>
      </c>
      <c r="F210" t="s">
        <v>544</v>
      </c>
      <c r="G210" t="s">
        <v>545</v>
      </c>
      <c r="H210" t="s">
        <v>546</v>
      </c>
      <c r="I210">
        <v>344</v>
      </c>
      <c r="J210">
        <v>77820904</v>
      </c>
      <c r="K210" s="2">
        <v>46019</v>
      </c>
      <c r="L210" s="1">
        <v>5000</v>
      </c>
      <c r="M210" t="s">
        <v>547</v>
      </c>
      <c r="N210" t="s">
        <v>24</v>
      </c>
      <c r="O210" t="s">
        <v>548</v>
      </c>
      <c r="P210" s="1">
        <v>5000</v>
      </c>
      <c r="Q210">
        <v>344</v>
      </c>
      <c r="R210" t="s">
        <v>549</v>
      </c>
      <c r="S210" s="1">
        <f>Tabla1[[#This Row],[OS-Valor Unitario]]-Tabla1[[#This Row],[costo_antes_iva]]</f>
        <v>0</v>
      </c>
      <c r="T210" s="1">
        <f>Tabla1[[#This Row],[OS-Valor Unitario]]*Tabla1[[#This Row],[OS-Cantidad]]</f>
        <v>1720000</v>
      </c>
      <c r="U210" s="1">
        <f>Tabla1[[#This Row],[costo_antes_iva]]*Tabla1[[#This Row],[OS-Cantidad]]</f>
        <v>1720000</v>
      </c>
      <c r="V210" s="1">
        <f>Tabla1[[#This Row],[Valor total OS]]-Tabla1[[#This Row],[valor total op]]</f>
        <v>0</v>
      </c>
      <c r="W210" s="1">
        <f>ROUNDDOWN(Tabla1[[#This Row],[Diferencia]]/200000,0)*200000</f>
        <v>0</v>
      </c>
    </row>
    <row r="211" spans="1:23" hidden="1" x14ac:dyDescent="0.3">
      <c r="A211">
        <v>6489</v>
      </c>
      <c r="B211">
        <v>1</v>
      </c>
      <c r="C211" t="s">
        <v>542</v>
      </c>
      <c r="D211">
        <v>344</v>
      </c>
      <c r="E211" t="s">
        <v>543</v>
      </c>
      <c r="F211" t="s">
        <v>544</v>
      </c>
      <c r="G211" t="s">
        <v>545</v>
      </c>
      <c r="H211" t="s">
        <v>546</v>
      </c>
      <c r="I211">
        <v>344</v>
      </c>
      <c r="J211">
        <v>77820904</v>
      </c>
      <c r="K211" s="2">
        <v>46019</v>
      </c>
      <c r="L211" s="1">
        <v>20000</v>
      </c>
      <c r="M211" t="s">
        <v>547</v>
      </c>
      <c r="N211" t="s">
        <v>51</v>
      </c>
      <c r="O211" t="s">
        <v>548</v>
      </c>
      <c r="P211" s="1">
        <v>20000</v>
      </c>
      <c r="Q211">
        <v>344</v>
      </c>
      <c r="R211" t="s">
        <v>550</v>
      </c>
      <c r="S211" s="1">
        <f>Tabla1[[#This Row],[OS-Valor Unitario]]-Tabla1[[#This Row],[costo_antes_iva]]</f>
        <v>0</v>
      </c>
      <c r="T211" s="1">
        <f>Tabla1[[#This Row],[OS-Valor Unitario]]*Tabla1[[#This Row],[OS-Cantidad]]</f>
        <v>6880000</v>
      </c>
      <c r="U211" s="1">
        <f>Tabla1[[#This Row],[costo_antes_iva]]*Tabla1[[#This Row],[OS-Cantidad]]</f>
        <v>6880000</v>
      </c>
      <c r="V211" s="1">
        <f>Tabla1[[#This Row],[Valor total OS]]-Tabla1[[#This Row],[valor total op]]</f>
        <v>0</v>
      </c>
      <c r="W211" s="1">
        <f>ROUNDDOWN(Tabla1[[#This Row],[Diferencia]]/200000,0)*200000</f>
        <v>0</v>
      </c>
    </row>
    <row r="212" spans="1:23" hidden="1" x14ac:dyDescent="0.3">
      <c r="A212">
        <v>6616</v>
      </c>
      <c r="B212">
        <v>3</v>
      </c>
      <c r="C212" t="s">
        <v>128</v>
      </c>
      <c r="D212">
        <v>300</v>
      </c>
      <c r="E212" t="s">
        <v>116</v>
      </c>
      <c r="F212" t="s">
        <v>129</v>
      </c>
      <c r="G212" t="s">
        <v>1383</v>
      </c>
      <c r="H212" t="s">
        <v>119</v>
      </c>
      <c r="I212">
        <v>300</v>
      </c>
      <c r="J212">
        <v>80743985</v>
      </c>
      <c r="K212" s="2">
        <v>46079</v>
      </c>
      <c r="L212" s="1">
        <v>12500</v>
      </c>
      <c r="M212" t="s">
        <v>120</v>
      </c>
      <c r="N212" t="s">
        <v>51</v>
      </c>
      <c r="O212" t="s">
        <v>130</v>
      </c>
      <c r="P212" s="1">
        <v>12500</v>
      </c>
      <c r="Q212">
        <v>300</v>
      </c>
      <c r="R212" t="s">
        <v>132</v>
      </c>
      <c r="S212" s="1">
        <f>Tabla1[[#This Row],[OS-Valor Unitario]]-Tabla1[[#This Row],[costo_antes_iva]]</f>
        <v>0</v>
      </c>
      <c r="T212" s="1">
        <f>Tabla1[[#This Row],[OS-Valor Unitario]]*Tabla1[[#This Row],[OS-Cantidad]]</f>
        <v>3750000</v>
      </c>
      <c r="U212" s="1">
        <f>Tabla1[[#This Row],[costo_antes_iva]]*Tabla1[[#This Row],[OS-Cantidad]]</f>
        <v>3750000</v>
      </c>
      <c r="V212" s="1">
        <f>Tabla1[[#This Row],[Valor total OS]]-Tabla1[[#This Row],[valor total op]]</f>
        <v>0</v>
      </c>
      <c r="W212" s="1">
        <f>ROUNDDOWN(Tabla1[[#This Row],[Diferencia]]/200000,0)*200000</f>
        <v>0</v>
      </c>
    </row>
    <row r="213" spans="1:23" hidden="1" x14ac:dyDescent="0.3">
      <c r="A213">
        <v>6383</v>
      </c>
      <c r="B213">
        <v>6</v>
      </c>
      <c r="C213" t="s">
        <v>1003</v>
      </c>
      <c r="D213">
        <v>232</v>
      </c>
      <c r="E213" t="s">
        <v>978</v>
      </c>
      <c r="F213" t="s">
        <v>1004</v>
      </c>
      <c r="G213" t="s">
        <v>268</v>
      </c>
      <c r="H213" t="s">
        <v>961</v>
      </c>
      <c r="I213">
        <v>1</v>
      </c>
      <c r="J213">
        <v>74549343</v>
      </c>
      <c r="K213" s="2">
        <v>45959</v>
      </c>
      <c r="L213" s="1">
        <v>11000</v>
      </c>
      <c r="M213" t="s">
        <v>980</v>
      </c>
      <c r="N213" t="s">
        <v>51</v>
      </c>
      <c r="O213" t="s">
        <v>1005</v>
      </c>
      <c r="P213" s="1">
        <v>11000</v>
      </c>
      <c r="Q213">
        <v>232</v>
      </c>
      <c r="R213" t="s">
        <v>1006</v>
      </c>
      <c r="S213" s="1">
        <f>Tabla1[[#This Row],[OS-Valor Unitario]]-Tabla1[[#This Row],[costo_antes_iva]]</f>
        <v>0</v>
      </c>
      <c r="T213" s="1">
        <f>Tabla1[[#This Row],[OS-Valor Unitario]]*Tabla1[[#This Row],[OS-Cantidad]]</f>
        <v>2552000</v>
      </c>
      <c r="U213" s="1">
        <f>Tabla1[[#This Row],[costo_antes_iva]]*Tabla1[[#This Row],[OS-Cantidad]]</f>
        <v>2552000</v>
      </c>
      <c r="V213" s="1">
        <f>Tabla1[[#This Row],[Valor total OS]]-Tabla1[[#This Row],[valor total op]]</f>
        <v>0</v>
      </c>
      <c r="W213" s="1">
        <f>ROUNDDOWN(Tabla1[[#This Row],[Diferencia]]/200000,0)*200000</f>
        <v>0</v>
      </c>
    </row>
    <row r="214" spans="1:23" hidden="1" x14ac:dyDescent="0.3">
      <c r="A214">
        <v>6383</v>
      </c>
      <c r="B214">
        <v>4</v>
      </c>
      <c r="C214" t="s">
        <v>994</v>
      </c>
      <c r="D214">
        <v>196</v>
      </c>
      <c r="E214" t="s">
        <v>978</v>
      </c>
      <c r="F214" t="s">
        <v>995</v>
      </c>
      <c r="G214" t="s">
        <v>242</v>
      </c>
      <c r="H214" t="s">
        <v>961</v>
      </c>
      <c r="I214">
        <v>1</v>
      </c>
      <c r="J214">
        <v>74549241</v>
      </c>
      <c r="K214" s="2">
        <v>45959</v>
      </c>
      <c r="L214" s="1">
        <v>1100</v>
      </c>
      <c r="M214" t="s">
        <v>980</v>
      </c>
      <c r="N214" t="s">
        <v>24</v>
      </c>
      <c r="O214" t="s">
        <v>996</v>
      </c>
      <c r="P214" s="1">
        <v>1100</v>
      </c>
      <c r="Q214">
        <v>196</v>
      </c>
      <c r="R214" t="s">
        <v>997</v>
      </c>
      <c r="S214" s="1">
        <f>Tabla1[[#This Row],[OS-Valor Unitario]]-Tabla1[[#This Row],[costo_antes_iva]]</f>
        <v>0</v>
      </c>
      <c r="T214" s="1">
        <f>Tabla1[[#This Row],[OS-Valor Unitario]]*Tabla1[[#This Row],[OS-Cantidad]]</f>
        <v>215600</v>
      </c>
      <c r="U214" s="1">
        <f>Tabla1[[#This Row],[costo_antes_iva]]*Tabla1[[#This Row],[OS-Cantidad]]</f>
        <v>215600</v>
      </c>
      <c r="V214" s="1">
        <f>Tabla1[[#This Row],[Valor total OS]]-Tabla1[[#This Row],[valor total op]]</f>
        <v>0</v>
      </c>
      <c r="W214" s="1">
        <f>ROUNDDOWN(Tabla1[[#This Row],[Diferencia]]/200000,0)*200000</f>
        <v>0</v>
      </c>
    </row>
    <row r="215" spans="1:23" hidden="1" x14ac:dyDescent="0.3">
      <c r="A215">
        <v>6485</v>
      </c>
      <c r="B215">
        <v>7</v>
      </c>
      <c r="C215" t="s">
        <v>678</v>
      </c>
      <c r="D215">
        <v>160</v>
      </c>
      <c r="E215" t="s">
        <v>650</v>
      </c>
      <c r="F215" t="s">
        <v>679</v>
      </c>
      <c r="G215" t="s">
        <v>615</v>
      </c>
      <c r="H215" t="s">
        <v>166</v>
      </c>
      <c r="I215">
        <v>1</v>
      </c>
      <c r="J215">
        <v>77662677</v>
      </c>
      <c r="K215" s="2">
        <v>46014</v>
      </c>
      <c r="L215" s="1">
        <v>3000</v>
      </c>
      <c r="M215" t="s">
        <v>652</v>
      </c>
      <c r="N215" t="s">
        <v>51</v>
      </c>
      <c r="O215" t="s">
        <v>680</v>
      </c>
      <c r="P215" s="1">
        <v>3000</v>
      </c>
      <c r="Q215">
        <v>160</v>
      </c>
      <c r="R215" t="s">
        <v>681</v>
      </c>
      <c r="S215" s="1">
        <f>Tabla1[[#This Row],[OS-Valor Unitario]]-Tabla1[[#This Row],[costo_antes_iva]]</f>
        <v>0</v>
      </c>
      <c r="T215" s="1">
        <f>Tabla1[[#This Row],[OS-Valor Unitario]]*Tabla1[[#This Row],[OS-Cantidad]]</f>
        <v>480000</v>
      </c>
      <c r="U215" s="1">
        <f>Tabla1[[#This Row],[costo_antes_iva]]*Tabla1[[#This Row],[OS-Cantidad]]</f>
        <v>480000</v>
      </c>
      <c r="V215" s="1">
        <f>Tabla1[[#This Row],[Valor total OS]]-Tabla1[[#This Row],[valor total op]]</f>
        <v>0</v>
      </c>
      <c r="W215" s="1">
        <f>ROUNDDOWN(Tabla1[[#This Row],[Diferencia]]/200000,0)*200000</f>
        <v>0</v>
      </c>
    </row>
    <row r="216" spans="1:23" hidden="1" x14ac:dyDescent="0.3">
      <c r="A216">
        <v>6485</v>
      </c>
      <c r="B216">
        <v>7</v>
      </c>
      <c r="C216" t="s">
        <v>678</v>
      </c>
      <c r="D216">
        <v>160</v>
      </c>
      <c r="E216" t="s">
        <v>650</v>
      </c>
      <c r="F216" t="s">
        <v>679</v>
      </c>
      <c r="G216" t="s">
        <v>615</v>
      </c>
      <c r="H216" t="s">
        <v>166</v>
      </c>
      <c r="I216">
        <v>1</v>
      </c>
      <c r="J216">
        <v>77663063</v>
      </c>
      <c r="K216" s="2">
        <v>46014</v>
      </c>
      <c r="L216" s="1">
        <v>3000</v>
      </c>
      <c r="M216" t="s">
        <v>655</v>
      </c>
      <c r="N216" t="s">
        <v>51</v>
      </c>
      <c r="O216" t="s">
        <v>680</v>
      </c>
      <c r="P216" s="1">
        <v>3000</v>
      </c>
      <c r="Q216">
        <v>160</v>
      </c>
      <c r="R216" t="s">
        <v>681</v>
      </c>
      <c r="S216" s="1">
        <f>Tabla1[[#This Row],[OS-Valor Unitario]]-Tabla1[[#This Row],[costo_antes_iva]]</f>
        <v>0</v>
      </c>
      <c r="T216" s="1">
        <f>Tabla1[[#This Row],[OS-Valor Unitario]]*Tabla1[[#This Row],[OS-Cantidad]]</f>
        <v>480000</v>
      </c>
      <c r="U216" s="1">
        <f>Tabla1[[#This Row],[costo_antes_iva]]*Tabla1[[#This Row],[OS-Cantidad]]</f>
        <v>480000</v>
      </c>
      <c r="V216" s="1">
        <f>Tabla1[[#This Row],[Valor total OS]]-Tabla1[[#This Row],[valor total op]]</f>
        <v>0</v>
      </c>
      <c r="W216" s="1">
        <f>ROUNDDOWN(Tabla1[[#This Row],[Diferencia]]/200000,0)*200000</f>
        <v>0</v>
      </c>
    </row>
    <row r="217" spans="1:23" hidden="1" x14ac:dyDescent="0.3">
      <c r="A217">
        <v>6485</v>
      </c>
      <c r="B217">
        <v>14</v>
      </c>
      <c r="C217" t="s">
        <v>703</v>
      </c>
      <c r="D217">
        <v>160</v>
      </c>
      <c r="E217" t="s">
        <v>650</v>
      </c>
      <c r="F217" t="s">
        <v>704</v>
      </c>
      <c r="G217" t="s">
        <v>638</v>
      </c>
      <c r="H217" t="s">
        <v>166</v>
      </c>
      <c r="I217">
        <v>1</v>
      </c>
      <c r="J217">
        <v>77662897</v>
      </c>
      <c r="K217" s="2">
        <v>46014</v>
      </c>
      <c r="L217" s="1">
        <v>5000</v>
      </c>
      <c r="M217" t="s">
        <v>652</v>
      </c>
      <c r="N217" t="s">
        <v>51</v>
      </c>
      <c r="O217" t="s">
        <v>705</v>
      </c>
      <c r="P217" s="1">
        <v>5000</v>
      </c>
      <c r="Q217">
        <v>160</v>
      </c>
      <c r="R217" t="s">
        <v>706</v>
      </c>
      <c r="S217" s="1">
        <f>Tabla1[[#This Row],[OS-Valor Unitario]]-Tabla1[[#This Row],[costo_antes_iva]]</f>
        <v>0</v>
      </c>
      <c r="T217" s="1">
        <f>Tabla1[[#This Row],[OS-Valor Unitario]]*Tabla1[[#This Row],[OS-Cantidad]]</f>
        <v>800000</v>
      </c>
      <c r="U217" s="1">
        <f>Tabla1[[#This Row],[costo_antes_iva]]*Tabla1[[#This Row],[OS-Cantidad]]</f>
        <v>800000</v>
      </c>
      <c r="V217" s="1">
        <f>Tabla1[[#This Row],[Valor total OS]]-Tabla1[[#This Row],[valor total op]]</f>
        <v>0</v>
      </c>
      <c r="W217" s="1">
        <f>ROUNDDOWN(Tabla1[[#This Row],[Diferencia]]/200000,0)*200000</f>
        <v>0</v>
      </c>
    </row>
    <row r="218" spans="1:23" hidden="1" x14ac:dyDescent="0.3">
      <c r="A218">
        <v>6485</v>
      </c>
      <c r="B218">
        <v>14</v>
      </c>
      <c r="C218" t="s">
        <v>703</v>
      </c>
      <c r="D218">
        <v>160</v>
      </c>
      <c r="E218" t="s">
        <v>650</v>
      </c>
      <c r="F218" t="s">
        <v>704</v>
      </c>
      <c r="G218" t="s">
        <v>638</v>
      </c>
      <c r="H218" t="s">
        <v>166</v>
      </c>
      <c r="I218">
        <v>1</v>
      </c>
      <c r="J218">
        <v>77663179</v>
      </c>
      <c r="K218" s="2">
        <v>46014</v>
      </c>
      <c r="L218" s="1">
        <v>5000</v>
      </c>
      <c r="M218" t="s">
        <v>655</v>
      </c>
      <c r="N218" t="s">
        <v>51</v>
      </c>
      <c r="O218" t="s">
        <v>705</v>
      </c>
      <c r="P218" s="1">
        <v>5000</v>
      </c>
      <c r="Q218">
        <v>160</v>
      </c>
      <c r="R218" t="s">
        <v>706</v>
      </c>
      <c r="S218" s="1">
        <f>Tabla1[[#This Row],[OS-Valor Unitario]]-Tabla1[[#This Row],[costo_antes_iva]]</f>
        <v>0</v>
      </c>
      <c r="T218" s="1">
        <f>Tabla1[[#This Row],[OS-Valor Unitario]]*Tabla1[[#This Row],[OS-Cantidad]]</f>
        <v>800000</v>
      </c>
      <c r="U218" s="1">
        <f>Tabla1[[#This Row],[costo_antes_iva]]*Tabla1[[#This Row],[OS-Cantidad]]</f>
        <v>800000</v>
      </c>
      <c r="V218" s="1">
        <f>Tabla1[[#This Row],[Valor total OS]]-Tabla1[[#This Row],[valor total op]]</f>
        <v>0</v>
      </c>
      <c r="W218" s="1">
        <f>ROUNDDOWN(Tabla1[[#This Row],[Diferencia]]/200000,0)*200000</f>
        <v>0</v>
      </c>
    </row>
    <row r="219" spans="1:23" hidden="1" x14ac:dyDescent="0.3">
      <c r="A219">
        <v>6528</v>
      </c>
      <c r="B219">
        <v>1</v>
      </c>
      <c r="C219" t="s">
        <v>298</v>
      </c>
      <c r="D219">
        <v>136</v>
      </c>
      <c r="E219" t="s">
        <v>299</v>
      </c>
      <c r="F219" t="s">
        <v>300</v>
      </c>
      <c r="G219" t="s">
        <v>268</v>
      </c>
      <c r="H219" t="s">
        <v>294</v>
      </c>
      <c r="I219">
        <v>136</v>
      </c>
      <c r="J219">
        <v>79110026</v>
      </c>
      <c r="K219" s="2">
        <v>46049</v>
      </c>
      <c r="L219" s="1">
        <v>9000</v>
      </c>
      <c r="M219" t="s">
        <v>301</v>
      </c>
      <c r="N219" t="s">
        <v>51</v>
      </c>
      <c r="O219" t="s">
        <v>303</v>
      </c>
      <c r="P219" s="1">
        <v>9000</v>
      </c>
      <c r="Q219">
        <v>136</v>
      </c>
      <c r="R219" t="s">
        <v>305</v>
      </c>
      <c r="S219" s="1">
        <f>Tabla1[[#This Row],[OS-Valor Unitario]]-Tabla1[[#This Row],[costo_antes_iva]]</f>
        <v>0</v>
      </c>
      <c r="T219" s="1">
        <f>Tabla1[[#This Row],[OS-Valor Unitario]]*Tabla1[[#This Row],[OS-Cantidad]]</f>
        <v>1224000</v>
      </c>
      <c r="U219" s="1">
        <f>Tabla1[[#This Row],[costo_antes_iva]]*Tabla1[[#This Row],[OS-Cantidad]]</f>
        <v>1224000</v>
      </c>
      <c r="V219" s="1">
        <f>Tabla1[[#This Row],[Valor total OS]]-Tabla1[[#This Row],[valor total op]]</f>
        <v>0</v>
      </c>
      <c r="W219" s="1">
        <f>ROUNDDOWN(Tabla1[[#This Row],[Diferencia]]/200000,0)*200000</f>
        <v>0</v>
      </c>
    </row>
    <row r="220" spans="1:23" hidden="1" x14ac:dyDescent="0.3">
      <c r="A220">
        <v>6487</v>
      </c>
      <c r="B220">
        <v>3</v>
      </c>
      <c r="C220" t="s">
        <v>568</v>
      </c>
      <c r="D220">
        <v>125</v>
      </c>
      <c r="E220" t="s">
        <v>559</v>
      </c>
      <c r="F220" t="s">
        <v>569</v>
      </c>
      <c r="G220" t="s">
        <v>1376</v>
      </c>
      <c r="H220" t="s">
        <v>166</v>
      </c>
      <c r="I220">
        <v>1</v>
      </c>
      <c r="J220">
        <v>77670340</v>
      </c>
      <c r="K220" s="2">
        <v>46014</v>
      </c>
      <c r="L220" s="1">
        <v>1500</v>
      </c>
      <c r="M220" t="s">
        <v>561</v>
      </c>
      <c r="N220" t="s">
        <v>24</v>
      </c>
      <c r="O220" t="s">
        <v>570</v>
      </c>
      <c r="P220" s="1">
        <v>1500</v>
      </c>
      <c r="Q220">
        <v>125</v>
      </c>
      <c r="R220" t="s">
        <v>572</v>
      </c>
      <c r="S220" s="1">
        <f>Tabla1[[#This Row],[OS-Valor Unitario]]-Tabla1[[#This Row],[costo_antes_iva]]</f>
        <v>0</v>
      </c>
      <c r="T220" s="1">
        <f>Tabla1[[#This Row],[OS-Valor Unitario]]*Tabla1[[#This Row],[OS-Cantidad]]</f>
        <v>187500</v>
      </c>
      <c r="U220" s="1">
        <f>Tabla1[[#This Row],[costo_antes_iva]]*Tabla1[[#This Row],[OS-Cantidad]]</f>
        <v>187500</v>
      </c>
      <c r="V220" s="1">
        <f>Tabla1[[#This Row],[Valor total OS]]-Tabla1[[#This Row],[valor total op]]</f>
        <v>0</v>
      </c>
      <c r="W220" s="1">
        <f>ROUNDDOWN(Tabla1[[#This Row],[Diferencia]]/200000,0)*200000</f>
        <v>0</v>
      </c>
    </row>
    <row r="221" spans="1:23" hidden="1" x14ac:dyDescent="0.3">
      <c r="A221">
        <v>6383</v>
      </c>
      <c r="B221">
        <v>12</v>
      </c>
      <c r="C221" t="s">
        <v>1019</v>
      </c>
      <c r="D221">
        <v>107</v>
      </c>
      <c r="E221" t="s">
        <v>978</v>
      </c>
      <c r="F221" t="s">
        <v>1020</v>
      </c>
      <c r="G221" t="s">
        <v>209</v>
      </c>
      <c r="H221" t="s">
        <v>961</v>
      </c>
      <c r="I221">
        <v>1</v>
      </c>
      <c r="J221">
        <v>74549401</v>
      </c>
      <c r="K221" s="2">
        <v>45959</v>
      </c>
      <c r="L221" s="1">
        <v>1100</v>
      </c>
      <c r="M221" t="s">
        <v>980</v>
      </c>
      <c r="N221" t="s">
        <v>24</v>
      </c>
      <c r="O221" t="s">
        <v>1021</v>
      </c>
      <c r="P221" s="1">
        <v>1100</v>
      </c>
      <c r="Q221">
        <v>108</v>
      </c>
      <c r="R221" t="s">
        <v>1022</v>
      </c>
      <c r="S221" s="1">
        <f>Tabla1[[#This Row],[OS-Valor Unitario]]-Tabla1[[#This Row],[costo_antes_iva]]</f>
        <v>0</v>
      </c>
      <c r="T221" s="1">
        <f>Tabla1[[#This Row],[OS-Valor Unitario]]*Tabla1[[#This Row],[OS-Cantidad]]</f>
        <v>118800</v>
      </c>
      <c r="U221" s="1">
        <f>Tabla1[[#This Row],[costo_antes_iva]]*Tabla1[[#This Row],[OS-Cantidad]]</f>
        <v>118800</v>
      </c>
      <c r="V221" s="1">
        <f>Tabla1[[#This Row],[Valor total OS]]-Tabla1[[#This Row],[valor total op]]</f>
        <v>0</v>
      </c>
      <c r="W221" s="1">
        <f>ROUNDDOWN(Tabla1[[#This Row],[Diferencia]]/200000,0)*200000</f>
        <v>0</v>
      </c>
    </row>
    <row r="222" spans="1:23" hidden="1" x14ac:dyDescent="0.3">
      <c r="A222">
        <v>6487</v>
      </c>
      <c r="B222">
        <v>4</v>
      </c>
      <c r="C222" t="s">
        <v>573</v>
      </c>
      <c r="D222">
        <v>105</v>
      </c>
      <c r="E222" t="s">
        <v>559</v>
      </c>
      <c r="F222" t="s">
        <v>574</v>
      </c>
      <c r="G222" t="s">
        <v>1376</v>
      </c>
      <c r="H222" t="s">
        <v>166</v>
      </c>
      <c r="I222">
        <v>1</v>
      </c>
      <c r="J222">
        <v>77670348</v>
      </c>
      <c r="K222" s="2">
        <v>46014</v>
      </c>
      <c r="L222" s="1">
        <v>1500</v>
      </c>
      <c r="M222" t="s">
        <v>561</v>
      </c>
      <c r="N222" t="s">
        <v>24</v>
      </c>
      <c r="O222" t="s">
        <v>575</v>
      </c>
      <c r="P222" s="1">
        <v>1500</v>
      </c>
      <c r="Q222">
        <v>105</v>
      </c>
      <c r="R222" t="s">
        <v>577</v>
      </c>
      <c r="S222" s="1">
        <f>Tabla1[[#This Row],[OS-Valor Unitario]]-Tabla1[[#This Row],[costo_antes_iva]]</f>
        <v>0</v>
      </c>
      <c r="T222" s="1">
        <f>Tabla1[[#This Row],[OS-Valor Unitario]]*Tabla1[[#This Row],[OS-Cantidad]]</f>
        <v>157500</v>
      </c>
      <c r="U222" s="1">
        <f>Tabla1[[#This Row],[costo_antes_iva]]*Tabla1[[#This Row],[OS-Cantidad]]</f>
        <v>157500</v>
      </c>
      <c r="V222" s="1">
        <f>Tabla1[[#This Row],[Valor total OS]]-Tabla1[[#This Row],[valor total op]]</f>
        <v>0</v>
      </c>
      <c r="W222" s="1">
        <f>ROUNDDOWN(Tabla1[[#This Row],[Diferencia]]/200000,0)*200000</f>
        <v>0</v>
      </c>
    </row>
    <row r="223" spans="1:23" hidden="1" x14ac:dyDescent="0.3">
      <c r="A223">
        <v>6485</v>
      </c>
      <c r="B223">
        <v>13</v>
      </c>
      <c r="C223" t="s">
        <v>699</v>
      </c>
      <c r="D223">
        <v>105</v>
      </c>
      <c r="E223" t="s">
        <v>650</v>
      </c>
      <c r="F223" t="s">
        <v>700</v>
      </c>
      <c r="G223" t="s">
        <v>638</v>
      </c>
      <c r="H223" t="s">
        <v>166</v>
      </c>
      <c r="I223">
        <v>1</v>
      </c>
      <c r="J223">
        <v>77662886</v>
      </c>
      <c r="K223" s="2">
        <v>46014</v>
      </c>
      <c r="L223" s="1">
        <v>5000</v>
      </c>
      <c r="M223" t="s">
        <v>652</v>
      </c>
      <c r="N223" t="s">
        <v>51</v>
      </c>
      <c r="O223" t="s">
        <v>701</v>
      </c>
      <c r="P223" s="1">
        <v>5000</v>
      </c>
      <c r="Q223">
        <v>105</v>
      </c>
      <c r="R223" t="s">
        <v>702</v>
      </c>
      <c r="S223" s="1">
        <f>Tabla1[[#This Row],[OS-Valor Unitario]]-Tabla1[[#This Row],[costo_antes_iva]]</f>
        <v>0</v>
      </c>
      <c r="T223" s="1">
        <f>Tabla1[[#This Row],[OS-Valor Unitario]]*Tabla1[[#This Row],[OS-Cantidad]]</f>
        <v>525000</v>
      </c>
      <c r="U223" s="1">
        <f>Tabla1[[#This Row],[costo_antes_iva]]*Tabla1[[#This Row],[OS-Cantidad]]</f>
        <v>525000</v>
      </c>
      <c r="V223" s="1">
        <f>Tabla1[[#This Row],[Valor total OS]]-Tabla1[[#This Row],[valor total op]]</f>
        <v>0</v>
      </c>
      <c r="W223" s="1">
        <f>ROUNDDOWN(Tabla1[[#This Row],[Diferencia]]/200000,0)*200000</f>
        <v>0</v>
      </c>
    </row>
    <row r="224" spans="1:23" hidden="1" x14ac:dyDescent="0.3">
      <c r="A224">
        <v>6485</v>
      </c>
      <c r="B224">
        <v>13</v>
      </c>
      <c r="C224" t="s">
        <v>699</v>
      </c>
      <c r="D224">
        <v>105</v>
      </c>
      <c r="E224" t="s">
        <v>650</v>
      </c>
      <c r="F224" t="s">
        <v>700</v>
      </c>
      <c r="G224" t="s">
        <v>638</v>
      </c>
      <c r="H224" t="s">
        <v>166</v>
      </c>
      <c r="I224">
        <v>1</v>
      </c>
      <c r="J224">
        <v>77663171</v>
      </c>
      <c r="K224" s="2">
        <v>46014</v>
      </c>
      <c r="L224" s="1">
        <v>5000</v>
      </c>
      <c r="M224" t="s">
        <v>655</v>
      </c>
      <c r="N224" t="s">
        <v>51</v>
      </c>
      <c r="O224" t="s">
        <v>701</v>
      </c>
      <c r="P224" s="1">
        <v>5000</v>
      </c>
      <c r="Q224">
        <v>105</v>
      </c>
      <c r="R224" t="s">
        <v>702</v>
      </c>
      <c r="S224" s="1">
        <f>Tabla1[[#This Row],[OS-Valor Unitario]]-Tabla1[[#This Row],[costo_antes_iva]]</f>
        <v>0</v>
      </c>
      <c r="T224" s="1">
        <f>Tabla1[[#This Row],[OS-Valor Unitario]]*Tabla1[[#This Row],[OS-Cantidad]]</f>
        <v>525000</v>
      </c>
      <c r="U224" s="1">
        <f>Tabla1[[#This Row],[costo_antes_iva]]*Tabla1[[#This Row],[OS-Cantidad]]</f>
        <v>525000</v>
      </c>
      <c r="V224" s="1">
        <f>Tabla1[[#This Row],[Valor total OS]]-Tabla1[[#This Row],[valor total op]]</f>
        <v>0</v>
      </c>
      <c r="W224" s="1">
        <f>ROUNDDOWN(Tabla1[[#This Row],[Diferencia]]/200000,0)*200000</f>
        <v>0</v>
      </c>
    </row>
    <row r="225" spans="1:23" hidden="1" x14ac:dyDescent="0.3">
      <c r="A225">
        <v>6421</v>
      </c>
      <c r="B225">
        <v>1</v>
      </c>
      <c r="C225" t="s">
        <v>920</v>
      </c>
      <c r="D225">
        <v>101</v>
      </c>
      <c r="E225" t="s">
        <v>921</v>
      </c>
      <c r="F225" t="s">
        <v>922</v>
      </c>
      <c r="G225" t="s">
        <v>118</v>
      </c>
      <c r="H225" t="s">
        <v>923</v>
      </c>
      <c r="I225">
        <v>101</v>
      </c>
      <c r="J225">
        <v>75709053</v>
      </c>
      <c r="K225" s="2">
        <v>45982</v>
      </c>
      <c r="L225" s="1">
        <v>9500</v>
      </c>
      <c r="M225" t="s">
        <v>924</v>
      </c>
      <c r="N225" t="s">
        <v>24</v>
      </c>
      <c r="O225" t="s">
        <v>925</v>
      </c>
      <c r="P225" s="1">
        <v>9500</v>
      </c>
      <c r="Q225">
        <v>101</v>
      </c>
      <c r="R225" t="s">
        <v>927</v>
      </c>
      <c r="S225" s="1">
        <f>Tabla1[[#This Row],[OS-Valor Unitario]]-Tabla1[[#This Row],[costo_antes_iva]]</f>
        <v>0</v>
      </c>
      <c r="T225" s="1">
        <f>Tabla1[[#This Row],[OS-Valor Unitario]]*Tabla1[[#This Row],[OS-Cantidad]]</f>
        <v>959500</v>
      </c>
      <c r="U225" s="1">
        <f>Tabla1[[#This Row],[costo_antes_iva]]*Tabla1[[#This Row],[OS-Cantidad]]</f>
        <v>959500</v>
      </c>
      <c r="V225" s="1">
        <f>Tabla1[[#This Row],[Valor total OS]]-Tabla1[[#This Row],[valor total op]]</f>
        <v>0</v>
      </c>
      <c r="W225" s="1">
        <f>ROUNDDOWN(Tabla1[[#This Row],[Diferencia]]/200000,0)*200000</f>
        <v>0</v>
      </c>
    </row>
    <row r="226" spans="1:23" hidden="1" x14ac:dyDescent="0.3">
      <c r="A226">
        <v>6435</v>
      </c>
      <c r="B226">
        <v>1</v>
      </c>
      <c r="C226" t="s">
        <v>826</v>
      </c>
      <c r="D226">
        <v>90</v>
      </c>
      <c r="E226" t="s">
        <v>827</v>
      </c>
      <c r="F226" t="s">
        <v>828</v>
      </c>
      <c r="G226" t="s">
        <v>738</v>
      </c>
      <c r="H226" t="s">
        <v>166</v>
      </c>
      <c r="I226">
        <v>1</v>
      </c>
      <c r="J226">
        <v>76364635</v>
      </c>
      <c r="K226" s="2">
        <v>45989</v>
      </c>
      <c r="L226" s="1">
        <v>15000</v>
      </c>
      <c r="M226" t="s">
        <v>829</v>
      </c>
      <c r="N226" t="s">
        <v>51</v>
      </c>
      <c r="O226" t="s">
        <v>830</v>
      </c>
      <c r="P226" s="1">
        <v>15000</v>
      </c>
      <c r="Q226">
        <v>90</v>
      </c>
      <c r="R226" t="s">
        <v>831</v>
      </c>
      <c r="S226" s="1">
        <f>Tabla1[[#This Row],[OS-Valor Unitario]]-Tabla1[[#This Row],[costo_antes_iva]]</f>
        <v>0</v>
      </c>
      <c r="T226" s="1">
        <f>Tabla1[[#This Row],[OS-Valor Unitario]]*Tabla1[[#This Row],[OS-Cantidad]]</f>
        <v>1350000</v>
      </c>
      <c r="U226" s="1">
        <f>Tabla1[[#This Row],[costo_antes_iva]]*Tabla1[[#This Row],[OS-Cantidad]]</f>
        <v>1350000</v>
      </c>
      <c r="V226" s="1">
        <f>Tabla1[[#This Row],[Valor total OS]]-Tabla1[[#This Row],[valor total op]]</f>
        <v>0</v>
      </c>
      <c r="W226" s="1">
        <f>ROUNDDOWN(Tabla1[[#This Row],[Diferencia]]/200000,0)*200000</f>
        <v>0</v>
      </c>
    </row>
    <row r="227" spans="1:23" hidden="1" x14ac:dyDescent="0.3">
      <c r="A227">
        <v>6381</v>
      </c>
      <c r="B227">
        <v>1</v>
      </c>
      <c r="C227" t="s">
        <v>1067</v>
      </c>
      <c r="D227">
        <v>78</v>
      </c>
      <c r="E227" t="s">
        <v>1068</v>
      </c>
      <c r="F227" t="s">
        <v>1069</v>
      </c>
      <c r="G227" t="s">
        <v>118</v>
      </c>
      <c r="H227" t="s">
        <v>294</v>
      </c>
      <c r="I227">
        <v>78</v>
      </c>
      <c r="J227">
        <v>74547203</v>
      </c>
      <c r="K227" s="2">
        <v>45959</v>
      </c>
      <c r="L227" s="1">
        <v>14000</v>
      </c>
      <c r="M227" t="s">
        <v>1070</v>
      </c>
      <c r="N227" t="s">
        <v>51</v>
      </c>
      <c r="O227" t="s">
        <v>1071</v>
      </c>
      <c r="P227" s="1">
        <v>14000</v>
      </c>
      <c r="Q227">
        <v>78</v>
      </c>
      <c r="R227" t="s">
        <v>1072</v>
      </c>
      <c r="S227" s="1">
        <f>Tabla1[[#This Row],[OS-Valor Unitario]]-Tabla1[[#This Row],[costo_antes_iva]]</f>
        <v>0</v>
      </c>
      <c r="T227" s="1">
        <f>Tabla1[[#This Row],[OS-Valor Unitario]]*Tabla1[[#This Row],[OS-Cantidad]]</f>
        <v>1092000</v>
      </c>
      <c r="U227" s="1">
        <f>Tabla1[[#This Row],[costo_antes_iva]]*Tabla1[[#This Row],[OS-Cantidad]]</f>
        <v>1092000</v>
      </c>
      <c r="V227" s="1">
        <f>Tabla1[[#This Row],[Valor total OS]]-Tabla1[[#This Row],[valor total op]]</f>
        <v>0</v>
      </c>
      <c r="W227" s="1">
        <f>ROUNDDOWN(Tabla1[[#This Row],[Diferencia]]/200000,0)*200000</f>
        <v>0</v>
      </c>
    </row>
    <row r="228" spans="1:23" hidden="1" x14ac:dyDescent="0.3">
      <c r="A228">
        <v>6484</v>
      </c>
      <c r="B228">
        <v>4</v>
      </c>
      <c r="C228" t="s">
        <v>724</v>
      </c>
      <c r="D228">
        <v>52</v>
      </c>
      <c r="E228" t="s">
        <v>708</v>
      </c>
      <c r="F228" t="s">
        <v>725</v>
      </c>
      <c r="G228" t="s">
        <v>242</v>
      </c>
      <c r="H228" t="s">
        <v>166</v>
      </c>
      <c r="I228">
        <v>1</v>
      </c>
      <c r="J228">
        <v>77658397</v>
      </c>
      <c r="K228" s="2">
        <v>46014</v>
      </c>
      <c r="L228" s="1">
        <v>12000</v>
      </c>
      <c r="M228" t="s">
        <v>710</v>
      </c>
      <c r="N228" t="s">
        <v>51</v>
      </c>
      <c r="O228" t="s">
        <v>726</v>
      </c>
      <c r="P228" s="1">
        <v>12000</v>
      </c>
      <c r="Q228">
        <v>63</v>
      </c>
      <c r="R228" t="s">
        <v>727</v>
      </c>
      <c r="S228" s="1">
        <f>Tabla1[[#This Row],[OS-Valor Unitario]]-Tabla1[[#This Row],[costo_antes_iva]]</f>
        <v>0</v>
      </c>
      <c r="T228" s="1">
        <f>Tabla1[[#This Row],[OS-Valor Unitario]]*Tabla1[[#This Row],[OS-Cantidad]]</f>
        <v>756000</v>
      </c>
      <c r="U228" s="1">
        <f>Tabla1[[#This Row],[costo_antes_iva]]*Tabla1[[#This Row],[OS-Cantidad]]</f>
        <v>756000</v>
      </c>
      <c r="V228" s="1">
        <f>Tabla1[[#This Row],[Valor total OS]]-Tabla1[[#This Row],[valor total op]]</f>
        <v>0</v>
      </c>
      <c r="W228" s="1">
        <f>ROUNDDOWN(Tabla1[[#This Row],[Diferencia]]/200000,0)*200000</f>
        <v>0</v>
      </c>
    </row>
    <row r="229" spans="1:23" hidden="1" x14ac:dyDescent="0.3">
      <c r="A229">
        <v>6486</v>
      </c>
      <c r="B229">
        <v>3</v>
      </c>
      <c r="C229" t="s">
        <v>613</v>
      </c>
      <c r="D229">
        <v>60</v>
      </c>
      <c r="E229" t="s">
        <v>602</v>
      </c>
      <c r="F229" t="s">
        <v>614</v>
      </c>
      <c r="G229" t="s">
        <v>615</v>
      </c>
      <c r="H229" t="s">
        <v>166</v>
      </c>
      <c r="I229">
        <v>1</v>
      </c>
      <c r="J229">
        <v>77668013</v>
      </c>
      <c r="K229" s="2">
        <v>46014</v>
      </c>
      <c r="L229" s="1">
        <v>2500</v>
      </c>
      <c r="M229" t="s">
        <v>604</v>
      </c>
      <c r="N229" t="s">
        <v>51</v>
      </c>
      <c r="O229" t="s">
        <v>616</v>
      </c>
      <c r="P229" s="1">
        <v>2500</v>
      </c>
      <c r="Q229">
        <v>60</v>
      </c>
      <c r="R229" t="s">
        <v>617</v>
      </c>
      <c r="S229" s="1">
        <f>Tabla1[[#This Row],[OS-Valor Unitario]]-Tabla1[[#This Row],[costo_antes_iva]]</f>
        <v>0</v>
      </c>
      <c r="T229" s="1">
        <f>Tabla1[[#This Row],[OS-Valor Unitario]]*Tabla1[[#This Row],[OS-Cantidad]]</f>
        <v>150000</v>
      </c>
      <c r="U229" s="1">
        <f>Tabla1[[#This Row],[costo_antes_iva]]*Tabla1[[#This Row],[OS-Cantidad]]</f>
        <v>150000</v>
      </c>
      <c r="V229" s="1">
        <f>Tabla1[[#This Row],[Valor total OS]]-Tabla1[[#This Row],[valor total op]]</f>
        <v>0</v>
      </c>
      <c r="W229" s="1">
        <f>ROUNDDOWN(Tabla1[[#This Row],[Diferencia]]/200000,0)*200000</f>
        <v>0</v>
      </c>
    </row>
    <row r="230" spans="1:23" hidden="1" x14ac:dyDescent="0.3">
      <c r="A230">
        <v>6433</v>
      </c>
      <c r="B230">
        <v>10</v>
      </c>
      <c r="C230" t="s">
        <v>873</v>
      </c>
      <c r="D230">
        <v>51</v>
      </c>
      <c r="E230" t="s">
        <v>834</v>
      </c>
      <c r="F230" t="s">
        <v>874</v>
      </c>
      <c r="G230" t="s">
        <v>268</v>
      </c>
      <c r="H230" t="s">
        <v>166</v>
      </c>
      <c r="I230">
        <v>0</v>
      </c>
      <c r="J230">
        <v>76289933</v>
      </c>
      <c r="K230" s="2">
        <v>45988</v>
      </c>
      <c r="L230" s="1">
        <v>700</v>
      </c>
      <c r="M230" t="s">
        <v>837</v>
      </c>
      <c r="N230" t="s">
        <v>24</v>
      </c>
      <c r="O230" t="s">
        <v>875</v>
      </c>
      <c r="P230" s="1">
        <v>700</v>
      </c>
      <c r="Q230">
        <v>51</v>
      </c>
      <c r="R230" t="s">
        <v>877</v>
      </c>
      <c r="S230" s="1">
        <f>Tabla1[[#This Row],[OS-Valor Unitario]]-Tabla1[[#This Row],[costo_antes_iva]]</f>
        <v>0</v>
      </c>
      <c r="T230" s="1">
        <f>Tabla1[[#This Row],[OS-Valor Unitario]]*Tabla1[[#This Row],[OS-Cantidad]]</f>
        <v>35700</v>
      </c>
      <c r="U230" s="1">
        <f>Tabla1[[#This Row],[costo_antes_iva]]*Tabla1[[#This Row],[OS-Cantidad]]</f>
        <v>35700</v>
      </c>
      <c r="V230" s="1">
        <f>Tabla1[[#This Row],[Valor total OS]]-Tabla1[[#This Row],[valor total op]]</f>
        <v>0</v>
      </c>
      <c r="W230" s="1">
        <f>ROUNDDOWN(Tabla1[[#This Row],[Diferencia]]/200000,0)*200000</f>
        <v>0</v>
      </c>
    </row>
    <row r="231" spans="1:23" hidden="1" x14ac:dyDescent="0.3">
      <c r="A231">
        <v>6485</v>
      </c>
      <c r="B231">
        <v>3</v>
      </c>
      <c r="C231" t="s">
        <v>660</v>
      </c>
      <c r="D231">
        <v>50</v>
      </c>
      <c r="E231" t="s">
        <v>650</v>
      </c>
      <c r="F231" t="s">
        <v>661</v>
      </c>
      <c r="G231" t="s">
        <v>118</v>
      </c>
      <c r="H231" t="s">
        <v>166</v>
      </c>
      <c r="I231">
        <v>1</v>
      </c>
      <c r="J231">
        <v>77662399</v>
      </c>
      <c r="K231" s="2">
        <v>46014</v>
      </c>
      <c r="L231" s="1">
        <v>5500</v>
      </c>
      <c r="M231" t="s">
        <v>652</v>
      </c>
      <c r="N231" t="s">
        <v>51</v>
      </c>
      <c r="O231" t="s">
        <v>662</v>
      </c>
      <c r="P231" s="1">
        <v>5500</v>
      </c>
      <c r="Q231">
        <v>50</v>
      </c>
      <c r="R231" t="s">
        <v>663</v>
      </c>
      <c r="S231" s="1">
        <f>Tabla1[[#This Row],[OS-Valor Unitario]]-Tabla1[[#This Row],[costo_antes_iva]]</f>
        <v>0</v>
      </c>
      <c r="T231" s="1">
        <f>Tabla1[[#This Row],[OS-Valor Unitario]]*Tabla1[[#This Row],[OS-Cantidad]]</f>
        <v>275000</v>
      </c>
      <c r="U231" s="1">
        <f>Tabla1[[#This Row],[costo_antes_iva]]*Tabla1[[#This Row],[OS-Cantidad]]</f>
        <v>275000</v>
      </c>
      <c r="V231" s="1">
        <f>Tabla1[[#This Row],[Valor total OS]]-Tabla1[[#This Row],[valor total op]]</f>
        <v>0</v>
      </c>
      <c r="W231" s="1">
        <f>ROUNDDOWN(Tabla1[[#This Row],[Diferencia]]/200000,0)*200000</f>
        <v>0</v>
      </c>
    </row>
    <row r="232" spans="1:23" hidden="1" x14ac:dyDescent="0.3">
      <c r="A232">
        <v>6485</v>
      </c>
      <c r="B232">
        <v>3</v>
      </c>
      <c r="C232" t="s">
        <v>660</v>
      </c>
      <c r="D232">
        <v>50</v>
      </c>
      <c r="E232" t="s">
        <v>650</v>
      </c>
      <c r="F232" t="s">
        <v>661</v>
      </c>
      <c r="G232" t="s">
        <v>118</v>
      </c>
      <c r="H232" t="s">
        <v>166</v>
      </c>
      <c r="I232">
        <v>1</v>
      </c>
      <c r="J232">
        <v>77662717</v>
      </c>
      <c r="K232" s="2">
        <v>46014</v>
      </c>
      <c r="L232" s="1">
        <v>5500</v>
      </c>
      <c r="M232" t="s">
        <v>655</v>
      </c>
      <c r="N232" t="s">
        <v>51</v>
      </c>
      <c r="O232" t="s">
        <v>662</v>
      </c>
      <c r="P232" s="1">
        <v>5500</v>
      </c>
      <c r="Q232">
        <v>50</v>
      </c>
      <c r="R232" t="s">
        <v>663</v>
      </c>
      <c r="S232" s="1">
        <f>Tabla1[[#This Row],[OS-Valor Unitario]]-Tabla1[[#This Row],[costo_antes_iva]]</f>
        <v>0</v>
      </c>
      <c r="T232" s="1">
        <f>Tabla1[[#This Row],[OS-Valor Unitario]]*Tabla1[[#This Row],[OS-Cantidad]]</f>
        <v>275000</v>
      </c>
      <c r="U232" s="1">
        <f>Tabla1[[#This Row],[costo_antes_iva]]*Tabla1[[#This Row],[OS-Cantidad]]</f>
        <v>275000</v>
      </c>
      <c r="V232" s="1">
        <f>Tabla1[[#This Row],[Valor total OS]]-Tabla1[[#This Row],[valor total op]]</f>
        <v>0</v>
      </c>
      <c r="W232" s="1">
        <f>ROUNDDOWN(Tabla1[[#This Row],[Diferencia]]/200000,0)*200000</f>
        <v>0</v>
      </c>
    </row>
    <row r="233" spans="1:23" hidden="1" x14ac:dyDescent="0.3">
      <c r="A233">
        <v>6485</v>
      </c>
      <c r="B233">
        <v>6</v>
      </c>
      <c r="C233" t="s">
        <v>673</v>
      </c>
      <c r="D233">
        <v>50</v>
      </c>
      <c r="E233" t="s">
        <v>650</v>
      </c>
      <c r="F233" t="s">
        <v>674</v>
      </c>
      <c r="G233" t="s">
        <v>447</v>
      </c>
      <c r="H233" t="s">
        <v>166</v>
      </c>
      <c r="I233">
        <v>1</v>
      </c>
      <c r="J233">
        <v>77662497</v>
      </c>
      <c r="K233" s="2">
        <v>46014</v>
      </c>
      <c r="L233" s="1">
        <v>5500</v>
      </c>
      <c r="M233" t="s">
        <v>652</v>
      </c>
      <c r="N233" t="s">
        <v>51</v>
      </c>
      <c r="O233" t="s">
        <v>675</v>
      </c>
      <c r="P233" s="1">
        <v>5500</v>
      </c>
      <c r="Q233">
        <v>50</v>
      </c>
      <c r="R233" t="s">
        <v>676</v>
      </c>
      <c r="S233" s="1">
        <f>Tabla1[[#This Row],[OS-Valor Unitario]]-Tabla1[[#This Row],[costo_antes_iva]]</f>
        <v>0</v>
      </c>
      <c r="T233" s="1">
        <f>Tabla1[[#This Row],[OS-Valor Unitario]]*Tabla1[[#This Row],[OS-Cantidad]]</f>
        <v>275000</v>
      </c>
      <c r="U233" s="1">
        <f>Tabla1[[#This Row],[costo_antes_iva]]*Tabla1[[#This Row],[OS-Cantidad]]</f>
        <v>275000</v>
      </c>
      <c r="V233" s="1">
        <f>Tabla1[[#This Row],[Valor total OS]]-Tabla1[[#This Row],[valor total op]]</f>
        <v>0</v>
      </c>
      <c r="W233" s="1">
        <f>ROUNDDOWN(Tabla1[[#This Row],[Diferencia]]/200000,0)*200000</f>
        <v>0</v>
      </c>
    </row>
    <row r="234" spans="1:23" hidden="1" x14ac:dyDescent="0.3">
      <c r="A234">
        <v>6485</v>
      </c>
      <c r="B234">
        <v>6</v>
      </c>
      <c r="C234" t="s">
        <v>673</v>
      </c>
      <c r="D234">
        <v>50</v>
      </c>
      <c r="E234" t="s">
        <v>650</v>
      </c>
      <c r="F234" t="s">
        <v>674</v>
      </c>
      <c r="G234" t="s">
        <v>447</v>
      </c>
      <c r="H234" t="s">
        <v>166</v>
      </c>
      <c r="I234">
        <v>1</v>
      </c>
      <c r="J234">
        <v>77662894</v>
      </c>
      <c r="K234" s="2">
        <v>46014</v>
      </c>
      <c r="L234" s="1">
        <v>5500</v>
      </c>
      <c r="M234" t="s">
        <v>655</v>
      </c>
      <c r="N234" t="s">
        <v>51</v>
      </c>
      <c r="O234" t="s">
        <v>675</v>
      </c>
      <c r="P234" s="1">
        <v>5500</v>
      </c>
      <c r="Q234">
        <v>50</v>
      </c>
      <c r="R234" t="s">
        <v>676</v>
      </c>
      <c r="S234" s="1">
        <f>Tabla1[[#This Row],[OS-Valor Unitario]]-Tabla1[[#This Row],[costo_antes_iva]]</f>
        <v>0</v>
      </c>
      <c r="T234" s="1">
        <f>Tabla1[[#This Row],[OS-Valor Unitario]]*Tabla1[[#This Row],[OS-Cantidad]]</f>
        <v>275000</v>
      </c>
      <c r="U234" s="1">
        <f>Tabla1[[#This Row],[costo_antes_iva]]*Tabla1[[#This Row],[OS-Cantidad]]</f>
        <v>275000</v>
      </c>
      <c r="V234" s="1">
        <f>Tabla1[[#This Row],[Valor total OS]]-Tabla1[[#This Row],[valor total op]]</f>
        <v>0</v>
      </c>
      <c r="W234" s="1">
        <f>ROUNDDOWN(Tabla1[[#This Row],[Diferencia]]/200000,0)*200000</f>
        <v>0</v>
      </c>
    </row>
    <row r="235" spans="1:23" hidden="1" x14ac:dyDescent="0.3">
      <c r="A235">
        <v>6436</v>
      </c>
      <c r="B235">
        <v>2</v>
      </c>
      <c r="C235" t="s">
        <v>816</v>
      </c>
      <c r="D235">
        <v>50</v>
      </c>
      <c r="E235" t="s">
        <v>810</v>
      </c>
      <c r="F235" t="s">
        <v>817</v>
      </c>
      <c r="G235" t="s">
        <v>545</v>
      </c>
      <c r="H235" t="s">
        <v>166</v>
      </c>
      <c r="I235">
        <v>50</v>
      </c>
      <c r="J235">
        <v>76366666</v>
      </c>
      <c r="K235" s="2">
        <v>45989</v>
      </c>
      <c r="L235" s="1">
        <v>15000</v>
      </c>
      <c r="M235" t="s">
        <v>812</v>
      </c>
      <c r="N235" t="s">
        <v>51</v>
      </c>
      <c r="O235" t="s">
        <v>818</v>
      </c>
      <c r="P235" s="1">
        <v>15000</v>
      </c>
      <c r="Q235">
        <v>50</v>
      </c>
      <c r="R235" t="s">
        <v>819</v>
      </c>
      <c r="S235" s="1">
        <f>Tabla1[[#This Row],[OS-Valor Unitario]]-Tabla1[[#This Row],[costo_antes_iva]]</f>
        <v>0</v>
      </c>
      <c r="T235" s="1">
        <f>Tabla1[[#This Row],[OS-Valor Unitario]]*Tabla1[[#This Row],[OS-Cantidad]]</f>
        <v>750000</v>
      </c>
      <c r="U235" s="1">
        <f>Tabla1[[#This Row],[costo_antes_iva]]*Tabla1[[#This Row],[OS-Cantidad]]</f>
        <v>750000</v>
      </c>
      <c r="V235" s="1">
        <f>Tabla1[[#This Row],[Valor total OS]]-Tabla1[[#This Row],[valor total op]]</f>
        <v>0</v>
      </c>
      <c r="W235" s="1">
        <f>ROUNDDOWN(Tabla1[[#This Row],[Diferencia]]/200000,0)*200000</f>
        <v>0</v>
      </c>
    </row>
    <row r="236" spans="1:23" hidden="1" x14ac:dyDescent="0.3">
      <c r="A236">
        <v>6383</v>
      </c>
      <c r="B236">
        <v>11</v>
      </c>
      <c r="C236" t="s">
        <v>1015</v>
      </c>
      <c r="D236">
        <v>43</v>
      </c>
      <c r="E236" t="s">
        <v>978</v>
      </c>
      <c r="F236" t="s">
        <v>1016</v>
      </c>
      <c r="G236" t="s">
        <v>209</v>
      </c>
      <c r="H236" t="s">
        <v>961</v>
      </c>
      <c r="I236">
        <v>1</v>
      </c>
      <c r="J236">
        <v>74549393</v>
      </c>
      <c r="K236" s="2">
        <v>45959</v>
      </c>
      <c r="L236" s="1">
        <v>1100</v>
      </c>
      <c r="M236" t="s">
        <v>980</v>
      </c>
      <c r="N236" t="s">
        <v>24</v>
      </c>
      <c r="O236" t="s">
        <v>1017</v>
      </c>
      <c r="P236" s="1">
        <v>1100</v>
      </c>
      <c r="Q236">
        <v>44</v>
      </c>
      <c r="R236" t="s">
        <v>1018</v>
      </c>
      <c r="S236" s="1">
        <f>Tabla1[[#This Row],[OS-Valor Unitario]]-Tabla1[[#This Row],[costo_antes_iva]]</f>
        <v>0</v>
      </c>
      <c r="T236" s="1">
        <f>Tabla1[[#This Row],[OS-Valor Unitario]]*Tabla1[[#This Row],[OS-Cantidad]]</f>
        <v>48400</v>
      </c>
      <c r="U236" s="1">
        <f>Tabla1[[#This Row],[costo_antes_iva]]*Tabla1[[#This Row],[OS-Cantidad]]</f>
        <v>48400</v>
      </c>
      <c r="V236" s="1">
        <f>Tabla1[[#This Row],[Valor total OS]]-Tabla1[[#This Row],[valor total op]]</f>
        <v>0</v>
      </c>
      <c r="W236" s="1">
        <f>ROUNDDOWN(Tabla1[[#This Row],[Diferencia]]/200000,0)*200000</f>
        <v>0</v>
      </c>
    </row>
    <row r="237" spans="1:23" hidden="1" x14ac:dyDescent="0.3">
      <c r="A237">
        <v>6379</v>
      </c>
      <c r="B237">
        <v>5</v>
      </c>
      <c r="C237" t="s">
        <v>1119</v>
      </c>
      <c r="D237">
        <v>44</v>
      </c>
      <c r="E237" t="s">
        <v>1095</v>
      </c>
      <c r="F237" t="s">
        <v>1108</v>
      </c>
      <c r="G237" t="s">
        <v>1376</v>
      </c>
      <c r="H237" t="s">
        <v>1097</v>
      </c>
      <c r="I237">
        <v>44</v>
      </c>
      <c r="J237">
        <v>74473763</v>
      </c>
      <c r="K237" s="2">
        <v>45958</v>
      </c>
      <c r="L237" s="1">
        <v>1400</v>
      </c>
      <c r="M237" t="s">
        <v>1098</v>
      </c>
      <c r="N237" t="s">
        <v>24</v>
      </c>
      <c r="O237" t="s">
        <v>1120</v>
      </c>
      <c r="P237" s="1">
        <v>1400</v>
      </c>
      <c r="Q237">
        <v>44</v>
      </c>
      <c r="R237" t="s">
        <v>1121</v>
      </c>
      <c r="S237" s="1">
        <f>Tabla1[[#This Row],[OS-Valor Unitario]]-Tabla1[[#This Row],[costo_antes_iva]]</f>
        <v>0</v>
      </c>
      <c r="T237" s="1">
        <f>Tabla1[[#This Row],[OS-Valor Unitario]]*Tabla1[[#This Row],[OS-Cantidad]]</f>
        <v>61600</v>
      </c>
      <c r="U237" s="1">
        <f>Tabla1[[#This Row],[costo_antes_iva]]*Tabla1[[#This Row],[OS-Cantidad]]</f>
        <v>61600</v>
      </c>
      <c r="V237" s="1">
        <f>Tabla1[[#This Row],[Valor total OS]]-Tabla1[[#This Row],[valor total op]]</f>
        <v>0</v>
      </c>
      <c r="W237" s="1">
        <f>ROUNDDOWN(Tabla1[[#This Row],[Diferencia]]/200000,0)*200000</f>
        <v>0</v>
      </c>
    </row>
    <row r="238" spans="1:23" hidden="1" x14ac:dyDescent="0.3">
      <c r="A238">
        <v>6383</v>
      </c>
      <c r="B238">
        <v>1</v>
      </c>
      <c r="C238" t="s">
        <v>977</v>
      </c>
      <c r="D238">
        <v>41</v>
      </c>
      <c r="E238" t="s">
        <v>978</v>
      </c>
      <c r="F238" t="s">
        <v>979</v>
      </c>
      <c r="G238" t="s">
        <v>118</v>
      </c>
      <c r="H238" t="s">
        <v>961</v>
      </c>
      <c r="I238">
        <v>1</v>
      </c>
      <c r="J238">
        <v>74549220</v>
      </c>
      <c r="K238" s="2">
        <v>45959</v>
      </c>
      <c r="L238" s="1">
        <v>12500</v>
      </c>
      <c r="M238" t="s">
        <v>980</v>
      </c>
      <c r="N238" t="s">
        <v>51</v>
      </c>
      <c r="O238" t="s">
        <v>981</v>
      </c>
      <c r="P238" s="1">
        <v>12500</v>
      </c>
      <c r="Q238">
        <v>42</v>
      </c>
      <c r="R238" t="s">
        <v>983</v>
      </c>
      <c r="S238" s="1">
        <f>Tabla1[[#This Row],[OS-Valor Unitario]]-Tabla1[[#This Row],[costo_antes_iva]]</f>
        <v>0</v>
      </c>
      <c r="T238" s="1">
        <f>Tabla1[[#This Row],[OS-Valor Unitario]]*Tabla1[[#This Row],[OS-Cantidad]]</f>
        <v>525000</v>
      </c>
      <c r="U238" s="1">
        <f>Tabla1[[#This Row],[costo_antes_iva]]*Tabla1[[#This Row],[OS-Cantidad]]</f>
        <v>525000</v>
      </c>
      <c r="V238" s="1">
        <f>Tabla1[[#This Row],[Valor total OS]]-Tabla1[[#This Row],[valor total op]]</f>
        <v>0</v>
      </c>
      <c r="W238" s="1">
        <f>ROUNDDOWN(Tabla1[[#This Row],[Diferencia]]/200000,0)*200000</f>
        <v>0</v>
      </c>
    </row>
    <row r="239" spans="1:23" hidden="1" x14ac:dyDescent="0.3">
      <c r="A239">
        <v>6383</v>
      </c>
      <c r="B239">
        <v>1</v>
      </c>
      <c r="C239" t="s">
        <v>977</v>
      </c>
      <c r="D239">
        <v>41</v>
      </c>
      <c r="E239" t="s">
        <v>978</v>
      </c>
      <c r="F239" t="s">
        <v>979</v>
      </c>
      <c r="G239" t="s">
        <v>118</v>
      </c>
      <c r="H239" t="s">
        <v>961</v>
      </c>
      <c r="I239">
        <v>1</v>
      </c>
      <c r="J239">
        <v>74549220</v>
      </c>
      <c r="K239" s="2">
        <v>45959</v>
      </c>
      <c r="L239" s="1">
        <v>1100</v>
      </c>
      <c r="M239" t="s">
        <v>980</v>
      </c>
      <c r="N239" t="s">
        <v>24</v>
      </c>
      <c r="O239" t="s">
        <v>981</v>
      </c>
      <c r="P239" s="1">
        <v>1100</v>
      </c>
      <c r="Q239">
        <v>41</v>
      </c>
      <c r="R239" t="s">
        <v>982</v>
      </c>
      <c r="S239" s="1">
        <f>Tabla1[[#This Row],[OS-Valor Unitario]]-Tabla1[[#This Row],[costo_antes_iva]]</f>
        <v>0</v>
      </c>
      <c r="T239" s="1">
        <f>Tabla1[[#This Row],[OS-Valor Unitario]]*Tabla1[[#This Row],[OS-Cantidad]]</f>
        <v>45100</v>
      </c>
      <c r="U239" s="1">
        <f>Tabla1[[#This Row],[costo_antes_iva]]*Tabla1[[#This Row],[OS-Cantidad]]</f>
        <v>45100</v>
      </c>
      <c r="V239" s="1">
        <f>Tabla1[[#This Row],[Valor total OS]]-Tabla1[[#This Row],[valor total op]]</f>
        <v>0</v>
      </c>
      <c r="W239" s="1">
        <f>ROUNDDOWN(Tabla1[[#This Row],[Diferencia]]/200000,0)*200000</f>
        <v>0</v>
      </c>
    </row>
    <row r="240" spans="1:23" hidden="1" x14ac:dyDescent="0.3">
      <c r="A240">
        <v>6485</v>
      </c>
      <c r="B240">
        <v>9</v>
      </c>
      <c r="C240" t="s">
        <v>687</v>
      </c>
      <c r="D240">
        <v>40</v>
      </c>
      <c r="E240" t="s">
        <v>650</v>
      </c>
      <c r="F240" t="s">
        <v>688</v>
      </c>
      <c r="G240" t="s">
        <v>336</v>
      </c>
      <c r="H240" t="s">
        <v>166</v>
      </c>
      <c r="I240">
        <v>1</v>
      </c>
      <c r="J240">
        <v>77662811</v>
      </c>
      <c r="K240" s="2">
        <v>46014</v>
      </c>
      <c r="L240" s="1">
        <v>2500</v>
      </c>
      <c r="M240" t="s">
        <v>652</v>
      </c>
      <c r="N240" t="s">
        <v>51</v>
      </c>
      <c r="O240" t="s">
        <v>689</v>
      </c>
      <c r="P240" s="1">
        <v>2500</v>
      </c>
      <c r="Q240">
        <v>40</v>
      </c>
      <c r="R240" t="s">
        <v>690</v>
      </c>
      <c r="S240" s="1">
        <f>Tabla1[[#This Row],[OS-Valor Unitario]]-Tabla1[[#This Row],[costo_antes_iva]]</f>
        <v>0</v>
      </c>
      <c r="T240" s="1">
        <f>Tabla1[[#This Row],[OS-Valor Unitario]]*Tabla1[[#This Row],[OS-Cantidad]]</f>
        <v>100000</v>
      </c>
      <c r="U240" s="1">
        <f>Tabla1[[#This Row],[costo_antes_iva]]*Tabla1[[#This Row],[OS-Cantidad]]</f>
        <v>100000</v>
      </c>
      <c r="V240" s="1">
        <f>Tabla1[[#This Row],[Valor total OS]]-Tabla1[[#This Row],[valor total op]]</f>
        <v>0</v>
      </c>
      <c r="W240" s="1">
        <f>ROUNDDOWN(Tabla1[[#This Row],[Diferencia]]/200000,0)*200000</f>
        <v>0</v>
      </c>
    </row>
    <row r="241" spans="1:23" hidden="1" x14ac:dyDescent="0.3">
      <c r="A241">
        <v>6485</v>
      </c>
      <c r="B241">
        <v>9</v>
      </c>
      <c r="C241" t="s">
        <v>687</v>
      </c>
      <c r="D241">
        <v>40</v>
      </c>
      <c r="E241" t="s">
        <v>650</v>
      </c>
      <c r="F241" t="s">
        <v>688</v>
      </c>
      <c r="G241" t="s">
        <v>336</v>
      </c>
      <c r="H241" t="s">
        <v>166</v>
      </c>
      <c r="I241">
        <v>1</v>
      </c>
      <c r="J241">
        <v>77663132</v>
      </c>
      <c r="K241" s="2">
        <v>46014</v>
      </c>
      <c r="L241" s="1">
        <v>2500</v>
      </c>
      <c r="M241" t="s">
        <v>655</v>
      </c>
      <c r="N241" t="s">
        <v>51</v>
      </c>
      <c r="O241" t="s">
        <v>689</v>
      </c>
      <c r="P241" s="1">
        <v>2500</v>
      </c>
      <c r="Q241">
        <v>40</v>
      </c>
      <c r="R241" t="s">
        <v>690</v>
      </c>
      <c r="S241" s="1">
        <f>Tabla1[[#This Row],[OS-Valor Unitario]]-Tabla1[[#This Row],[costo_antes_iva]]</f>
        <v>0</v>
      </c>
      <c r="T241" s="1">
        <f>Tabla1[[#This Row],[OS-Valor Unitario]]*Tabla1[[#This Row],[OS-Cantidad]]</f>
        <v>100000</v>
      </c>
      <c r="U241" s="1">
        <f>Tabla1[[#This Row],[costo_antes_iva]]*Tabla1[[#This Row],[OS-Cantidad]]</f>
        <v>100000</v>
      </c>
      <c r="V241" s="1">
        <f>Tabla1[[#This Row],[Valor total OS]]-Tabla1[[#This Row],[valor total op]]</f>
        <v>0</v>
      </c>
      <c r="W241" s="1">
        <f>ROUNDDOWN(Tabla1[[#This Row],[Diferencia]]/200000,0)*200000</f>
        <v>0</v>
      </c>
    </row>
    <row r="242" spans="1:23" hidden="1" x14ac:dyDescent="0.3">
      <c r="A242">
        <v>6484</v>
      </c>
      <c r="B242">
        <v>3</v>
      </c>
      <c r="C242" t="s">
        <v>719</v>
      </c>
      <c r="D242">
        <v>40</v>
      </c>
      <c r="E242" t="s">
        <v>708</v>
      </c>
      <c r="F242" t="s">
        <v>720</v>
      </c>
      <c r="G242" t="s">
        <v>242</v>
      </c>
      <c r="H242" t="s">
        <v>166</v>
      </c>
      <c r="I242">
        <v>1</v>
      </c>
      <c r="J242">
        <v>77658387</v>
      </c>
      <c r="K242" s="2">
        <v>46014</v>
      </c>
      <c r="L242" s="1">
        <v>12000</v>
      </c>
      <c r="M242" t="s">
        <v>710</v>
      </c>
      <c r="N242" t="s">
        <v>51</v>
      </c>
      <c r="O242" t="s">
        <v>721</v>
      </c>
      <c r="P242" s="1">
        <v>12000</v>
      </c>
      <c r="Q242">
        <v>40</v>
      </c>
      <c r="R242" t="s">
        <v>722</v>
      </c>
      <c r="S242" s="1">
        <f>Tabla1[[#This Row],[OS-Valor Unitario]]-Tabla1[[#This Row],[costo_antes_iva]]</f>
        <v>0</v>
      </c>
      <c r="T242" s="1">
        <f>Tabla1[[#This Row],[OS-Valor Unitario]]*Tabla1[[#This Row],[OS-Cantidad]]</f>
        <v>480000</v>
      </c>
      <c r="U242" s="1">
        <f>Tabla1[[#This Row],[costo_antes_iva]]*Tabla1[[#This Row],[OS-Cantidad]]</f>
        <v>480000</v>
      </c>
      <c r="V242" s="1">
        <f>Tabla1[[#This Row],[Valor total OS]]-Tabla1[[#This Row],[valor total op]]</f>
        <v>0</v>
      </c>
      <c r="W242" s="1">
        <f>ROUNDDOWN(Tabla1[[#This Row],[Diferencia]]/200000,0)*200000</f>
        <v>0</v>
      </c>
    </row>
    <row r="243" spans="1:23" hidden="1" x14ac:dyDescent="0.3">
      <c r="A243">
        <v>6526</v>
      </c>
      <c r="B243">
        <v>1</v>
      </c>
      <c r="C243" t="s">
        <v>313</v>
      </c>
      <c r="D243">
        <v>36</v>
      </c>
      <c r="E243" t="s">
        <v>314</v>
      </c>
      <c r="F243" t="s">
        <v>315</v>
      </c>
      <c r="G243" t="s">
        <v>316</v>
      </c>
      <c r="H243" t="s">
        <v>317</v>
      </c>
      <c r="I243">
        <v>36</v>
      </c>
      <c r="J243">
        <v>79054350</v>
      </c>
      <c r="K243" s="2">
        <v>46048</v>
      </c>
      <c r="L243" s="1">
        <v>1600</v>
      </c>
      <c r="M243" t="s">
        <v>318</v>
      </c>
      <c r="N243" t="s">
        <v>65</v>
      </c>
      <c r="O243" t="s">
        <v>319</v>
      </c>
      <c r="P243" s="1">
        <v>1600</v>
      </c>
      <c r="Q243">
        <v>36</v>
      </c>
      <c r="R243" t="s">
        <v>320</v>
      </c>
      <c r="S243" s="1">
        <f>Tabla1[[#This Row],[OS-Valor Unitario]]-Tabla1[[#This Row],[costo_antes_iva]]</f>
        <v>0</v>
      </c>
      <c r="T243" s="1">
        <f>Tabla1[[#This Row],[OS-Valor Unitario]]*Tabla1[[#This Row],[OS-Cantidad]]</f>
        <v>57600</v>
      </c>
      <c r="U243" s="1">
        <f>Tabla1[[#This Row],[costo_antes_iva]]*Tabla1[[#This Row],[OS-Cantidad]]</f>
        <v>57600</v>
      </c>
      <c r="V243" s="1">
        <f>Tabla1[[#This Row],[Valor total OS]]-Tabla1[[#This Row],[valor total op]]</f>
        <v>0</v>
      </c>
      <c r="W243" s="1">
        <f>ROUNDDOWN(Tabla1[[#This Row],[Diferencia]]/200000,0)*200000</f>
        <v>0</v>
      </c>
    </row>
    <row r="244" spans="1:23" hidden="1" x14ac:dyDescent="0.3">
      <c r="A244">
        <v>6487</v>
      </c>
      <c r="B244">
        <v>7</v>
      </c>
      <c r="C244" t="s">
        <v>590</v>
      </c>
      <c r="D244">
        <v>35</v>
      </c>
      <c r="E244" t="s">
        <v>559</v>
      </c>
      <c r="F244" t="s">
        <v>591</v>
      </c>
      <c r="G244" t="s">
        <v>592</v>
      </c>
      <c r="H244" t="s">
        <v>166</v>
      </c>
      <c r="I244">
        <v>1</v>
      </c>
      <c r="J244">
        <v>77670425</v>
      </c>
      <c r="K244" s="2">
        <v>46014</v>
      </c>
      <c r="L244" s="1">
        <v>7300</v>
      </c>
      <c r="M244" t="s">
        <v>561</v>
      </c>
      <c r="N244" t="s">
        <v>24</v>
      </c>
      <c r="O244" t="s">
        <v>593</v>
      </c>
      <c r="P244" s="1">
        <v>7300</v>
      </c>
      <c r="Q244">
        <v>35</v>
      </c>
      <c r="R244" t="s">
        <v>595</v>
      </c>
      <c r="S244" s="1">
        <f>Tabla1[[#This Row],[OS-Valor Unitario]]-Tabla1[[#This Row],[costo_antes_iva]]</f>
        <v>0</v>
      </c>
      <c r="T244" s="1">
        <f>Tabla1[[#This Row],[OS-Valor Unitario]]*Tabla1[[#This Row],[OS-Cantidad]]</f>
        <v>255500</v>
      </c>
      <c r="U244" s="1">
        <f>Tabla1[[#This Row],[costo_antes_iva]]*Tabla1[[#This Row],[OS-Cantidad]]</f>
        <v>255500</v>
      </c>
      <c r="V244" s="1">
        <f>Tabla1[[#This Row],[Valor total OS]]-Tabla1[[#This Row],[valor total op]]</f>
        <v>0</v>
      </c>
      <c r="W244" s="1">
        <f>ROUNDDOWN(Tabla1[[#This Row],[Diferencia]]/200000,0)*200000</f>
        <v>0</v>
      </c>
    </row>
    <row r="245" spans="1:23" hidden="1" x14ac:dyDescent="0.3">
      <c r="A245">
        <v>6436</v>
      </c>
      <c r="B245">
        <v>3</v>
      </c>
      <c r="C245" t="s">
        <v>821</v>
      </c>
      <c r="D245">
        <v>35</v>
      </c>
      <c r="E245" t="s">
        <v>810</v>
      </c>
      <c r="F245" t="s">
        <v>822</v>
      </c>
      <c r="G245" t="s">
        <v>545</v>
      </c>
      <c r="H245" t="s">
        <v>166</v>
      </c>
      <c r="I245">
        <v>35</v>
      </c>
      <c r="J245">
        <v>76366677</v>
      </c>
      <c r="K245" s="2">
        <v>45989</v>
      </c>
      <c r="L245" s="1">
        <v>15000</v>
      </c>
      <c r="M245" t="s">
        <v>812</v>
      </c>
      <c r="N245" t="s">
        <v>51</v>
      </c>
      <c r="O245" t="s">
        <v>823</v>
      </c>
      <c r="P245" s="1">
        <v>15000</v>
      </c>
      <c r="Q245">
        <v>35</v>
      </c>
      <c r="R245" t="s">
        <v>824</v>
      </c>
      <c r="S245" s="1">
        <f>Tabla1[[#This Row],[OS-Valor Unitario]]-Tabla1[[#This Row],[costo_antes_iva]]</f>
        <v>0</v>
      </c>
      <c r="T245" s="1">
        <f>Tabla1[[#This Row],[OS-Valor Unitario]]*Tabla1[[#This Row],[OS-Cantidad]]</f>
        <v>525000</v>
      </c>
      <c r="U245" s="1">
        <f>Tabla1[[#This Row],[costo_antes_iva]]*Tabla1[[#This Row],[OS-Cantidad]]</f>
        <v>525000</v>
      </c>
      <c r="V245" s="1">
        <f>Tabla1[[#This Row],[Valor total OS]]-Tabla1[[#This Row],[valor total op]]</f>
        <v>0</v>
      </c>
      <c r="W245" s="1">
        <f>ROUNDDOWN(Tabla1[[#This Row],[Diferencia]]/200000,0)*200000</f>
        <v>0</v>
      </c>
    </row>
    <row r="246" spans="1:23" hidden="1" x14ac:dyDescent="0.3">
      <c r="A246">
        <v>6524</v>
      </c>
      <c r="B246">
        <v>2</v>
      </c>
      <c r="C246" t="s">
        <v>329</v>
      </c>
      <c r="D246">
        <v>30</v>
      </c>
      <c r="E246" t="s">
        <v>323</v>
      </c>
      <c r="F246" t="s">
        <v>330</v>
      </c>
      <c r="G246" t="s">
        <v>268</v>
      </c>
      <c r="H246" t="s">
        <v>166</v>
      </c>
      <c r="I246">
        <v>30</v>
      </c>
      <c r="J246">
        <v>78935758</v>
      </c>
      <c r="K246" s="2">
        <v>46045</v>
      </c>
      <c r="L246" s="1">
        <v>700</v>
      </c>
      <c r="M246" t="s">
        <v>326</v>
      </c>
      <c r="N246" t="s">
        <v>24</v>
      </c>
      <c r="O246" t="s">
        <v>331</v>
      </c>
      <c r="P246" s="1">
        <v>700</v>
      </c>
      <c r="Q246">
        <v>30</v>
      </c>
      <c r="R246" t="s">
        <v>333</v>
      </c>
      <c r="S246" s="1">
        <f>Tabla1[[#This Row],[OS-Valor Unitario]]-Tabla1[[#This Row],[costo_antes_iva]]</f>
        <v>0</v>
      </c>
      <c r="T246" s="1">
        <f>Tabla1[[#This Row],[OS-Valor Unitario]]*Tabla1[[#This Row],[OS-Cantidad]]</f>
        <v>21000</v>
      </c>
      <c r="U246" s="1">
        <f>Tabla1[[#This Row],[costo_antes_iva]]*Tabla1[[#This Row],[OS-Cantidad]]</f>
        <v>21000</v>
      </c>
      <c r="V246" s="1">
        <f>Tabla1[[#This Row],[Valor total OS]]-Tabla1[[#This Row],[valor total op]]</f>
        <v>0</v>
      </c>
      <c r="W246" s="1">
        <f>ROUNDDOWN(Tabla1[[#This Row],[Diferencia]]/200000,0)*200000</f>
        <v>0</v>
      </c>
    </row>
    <row r="247" spans="1:23" hidden="1" x14ac:dyDescent="0.3">
      <c r="A247">
        <v>6503</v>
      </c>
      <c r="B247">
        <v>1</v>
      </c>
      <c r="C247" t="s">
        <v>373</v>
      </c>
      <c r="D247">
        <v>30</v>
      </c>
      <c r="E247" t="s">
        <v>374</v>
      </c>
      <c r="F247" t="s">
        <v>375</v>
      </c>
      <c r="G247" t="s">
        <v>1376</v>
      </c>
      <c r="H247" t="s">
        <v>376</v>
      </c>
      <c r="I247">
        <v>30</v>
      </c>
      <c r="J247">
        <v>75856752</v>
      </c>
      <c r="K247" s="2">
        <v>45985</v>
      </c>
      <c r="L247" s="1">
        <v>5000</v>
      </c>
      <c r="M247" t="s">
        <v>377</v>
      </c>
      <c r="N247" t="s">
        <v>51</v>
      </c>
      <c r="O247" t="s">
        <v>378</v>
      </c>
      <c r="P247" s="1">
        <v>5000</v>
      </c>
      <c r="Q247">
        <v>30</v>
      </c>
      <c r="R247" t="s">
        <v>379</v>
      </c>
      <c r="S247" s="1">
        <f>Tabla1[[#This Row],[OS-Valor Unitario]]-Tabla1[[#This Row],[costo_antes_iva]]</f>
        <v>0</v>
      </c>
      <c r="T247" s="1">
        <f>Tabla1[[#This Row],[OS-Valor Unitario]]*Tabla1[[#This Row],[OS-Cantidad]]</f>
        <v>150000</v>
      </c>
      <c r="U247" s="1">
        <f>Tabla1[[#This Row],[costo_antes_iva]]*Tabla1[[#This Row],[OS-Cantidad]]</f>
        <v>150000</v>
      </c>
      <c r="V247" s="1">
        <f>Tabla1[[#This Row],[Valor total OS]]-Tabla1[[#This Row],[valor total op]]</f>
        <v>0</v>
      </c>
      <c r="W247" s="1">
        <f>ROUNDDOWN(Tabla1[[#This Row],[Diferencia]]/200000,0)*200000</f>
        <v>0</v>
      </c>
    </row>
    <row r="248" spans="1:23" hidden="1" x14ac:dyDescent="0.3">
      <c r="A248">
        <v>6503</v>
      </c>
      <c r="B248">
        <v>2</v>
      </c>
      <c r="C248" t="s">
        <v>381</v>
      </c>
      <c r="D248">
        <v>30</v>
      </c>
      <c r="E248" t="s">
        <v>374</v>
      </c>
      <c r="F248" t="s">
        <v>382</v>
      </c>
      <c r="G248" t="s">
        <v>1376</v>
      </c>
      <c r="H248" t="s">
        <v>376</v>
      </c>
      <c r="I248">
        <v>30</v>
      </c>
      <c r="J248">
        <v>75856761</v>
      </c>
      <c r="K248" s="2">
        <v>45985</v>
      </c>
      <c r="L248" s="1">
        <v>5000</v>
      </c>
      <c r="M248" t="s">
        <v>377</v>
      </c>
      <c r="N248" t="s">
        <v>51</v>
      </c>
      <c r="O248" t="s">
        <v>383</v>
      </c>
      <c r="P248" s="1">
        <v>5000</v>
      </c>
      <c r="Q248">
        <v>30</v>
      </c>
      <c r="R248" t="s">
        <v>384</v>
      </c>
      <c r="S248" s="1">
        <f>Tabla1[[#This Row],[OS-Valor Unitario]]-Tabla1[[#This Row],[costo_antes_iva]]</f>
        <v>0</v>
      </c>
      <c r="T248" s="1">
        <f>Tabla1[[#This Row],[OS-Valor Unitario]]*Tabla1[[#This Row],[OS-Cantidad]]</f>
        <v>150000</v>
      </c>
      <c r="U248" s="1">
        <f>Tabla1[[#This Row],[costo_antes_iva]]*Tabla1[[#This Row],[OS-Cantidad]]</f>
        <v>150000</v>
      </c>
      <c r="V248" s="1">
        <f>Tabla1[[#This Row],[Valor total OS]]-Tabla1[[#This Row],[valor total op]]</f>
        <v>0</v>
      </c>
      <c r="W248" s="1">
        <f>ROUNDDOWN(Tabla1[[#This Row],[Diferencia]]/200000,0)*200000</f>
        <v>0</v>
      </c>
    </row>
    <row r="249" spans="1:23" hidden="1" x14ac:dyDescent="0.3">
      <c r="A249">
        <v>6503</v>
      </c>
      <c r="B249">
        <v>3</v>
      </c>
      <c r="C249" t="s">
        <v>386</v>
      </c>
      <c r="D249">
        <v>30</v>
      </c>
      <c r="E249" t="s">
        <v>374</v>
      </c>
      <c r="F249" t="s">
        <v>387</v>
      </c>
      <c r="G249" t="s">
        <v>209</v>
      </c>
      <c r="H249" t="s">
        <v>376</v>
      </c>
      <c r="I249">
        <v>30</v>
      </c>
      <c r="J249">
        <v>75856770</v>
      </c>
      <c r="K249" s="2">
        <v>45985</v>
      </c>
      <c r="L249" s="1">
        <v>5000</v>
      </c>
      <c r="M249" t="s">
        <v>377</v>
      </c>
      <c r="N249" t="s">
        <v>51</v>
      </c>
      <c r="O249" t="s">
        <v>388</v>
      </c>
      <c r="P249" s="1">
        <v>5000</v>
      </c>
      <c r="Q249">
        <v>30</v>
      </c>
      <c r="R249" t="s">
        <v>389</v>
      </c>
      <c r="S249" s="1">
        <f>Tabla1[[#This Row],[OS-Valor Unitario]]-Tabla1[[#This Row],[costo_antes_iva]]</f>
        <v>0</v>
      </c>
      <c r="T249" s="1">
        <f>Tabla1[[#This Row],[OS-Valor Unitario]]*Tabla1[[#This Row],[OS-Cantidad]]</f>
        <v>150000</v>
      </c>
      <c r="U249" s="1">
        <f>Tabla1[[#This Row],[costo_antes_iva]]*Tabla1[[#This Row],[OS-Cantidad]]</f>
        <v>150000</v>
      </c>
      <c r="V249" s="1">
        <f>Tabla1[[#This Row],[Valor total OS]]-Tabla1[[#This Row],[valor total op]]</f>
        <v>0</v>
      </c>
      <c r="W249" s="1">
        <f>ROUNDDOWN(Tabla1[[#This Row],[Diferencia]]/200000,0)*200000</f>
        <v>0</v>
      </c>
    </row>
    <row r="250" spans="1:23" hidden="1" x14ac:dyDescent="0.3">
      <c r="A250">
        <v>6383</v>
      </c>
      <c r="B250">
        <v>2</v>
      </c>
      <c r="C250" t="s">
        <v>984</v>
      </c>
      <c r="D250">
        <v>30</v>
      </c>
      <c r="E250" t="s">
        <v>978</v>
      </c>
      <c r="F250" t="s">
        <v>985</v>
      </c>
      <c r="G250" t="s">
        <v>118</v>
      </c>
      <c r="H250" t="s">
        <v>961</v>
      </c>
      <c r="I250">
        <v>1</v>
      </c>
      <c r="J250">
        <v>74549228</v>
      </c>
      <c r="K250" s="2">
        <v>45959</v>
      </c>
      <c r="L250" s="1">
        <v>1100</v>
      </c>
      <c r="M250" t="s">
        <v>980</v>
      </c>
      <c r="N250" t="s">
        <v>24</v>
      </c>
      <c r="O250" t="s">
        <v>986</v>
      </c>
      <c r="P250" s="1">
        <v>1100</v>
      </c>
      <c r="Q250">
        <v>30</v>
      </c>
      <c r="R250" t="s">
        <v>987</v>
      </c>
      <c r="S250" s="1">
        <f>Tabla1[[#This Row],[OS-Valor Unitario]]-Tabla1[[#This Row],[costo_antes_iva]]</f>
        <v>0</v>
      </c>
      <c r="T250" s="1">
        <f>Tabla1[[#This Row],[OS-Valor Unitario]]*Tabla1[[#This Row],[OS-Cantidad]]</f>
        <v>33000</v>
      </c>
      <c r="U250" s="1">
        <f>Tabla1[[#This Row],[costo_antes_iva]]*Tabla1[[#This Row],[OS-Cantidad]]</f>
        <v>33000</v>
      </c>
      <c r="V250" s="1">
        <f>Tabla1[[#This Row],[Valor total OS]]-Tabla1[[#This Row],[valor total op]]</f>
        <v>0</v>
      </c>
      <c r="W250" s="1">
        <f>ROUNDDOWN(Tabla1[[#This Row],[Diferencia]]/200000,0)*200000</f>
        <v>0</v>
      </c>
    </row>
    <row r="251" spans="1:23" hidden="1" x14ac:dyDescent="0.3">
      <c r="A251">
        <v>6383</v>
      </c>
      <c r="B251">
        <v>2</v>
      </c>
      <c r="C251" t="s">
        <v>984</v>
      </c>
      <c r="D251">
        <v>30</v>
      </c>
      <c r="E251" t="s">
        <v>978</v>
      </c>
      <c r="F251" t="s">
        <v>985</v>
      </c>
      <c r="G251" t="s">
        <v>118</v>
      </c>
      <c r="H251" t="s">
        <v>961</v>
      </c>
      <c r="I251">
        <v>1</v>
      </c>
      <c r="J251">
        <v>74549228</v>
      </c>
      <c r="K251" s="2">
        <v>45959</v>
      </c>
      <c r="L251" s="1">
        <v>12500</v>
      </c>
      <c r="M251" t="s">
        <v>980</v>
      </c>
      <c r="N251" t="s">
        <v>51</v>
      </c>
      <c r="O251" t="s">
        <v>986</v>
      </c>
      <c r="P251" s="1">
        <v>12500</v>
      </c>
      <c r="Q251">
        <v>30</v>
      </c>
      <c r="R251" t="s">
        <v>988</v>
      </c>
      <c r="S251" s="1">
        <f>Tabla1[[#This Row],[OS-Valor Unitario]]-Tabla1[[#This Row],[costo_antes_iva]]</f>
        <v>0</v>
      </c>
      <c r="T251" s="1">
        <f>Tabla1[[#This Row],[OS-Valor Unitario]]*Tabla1[[#This Row],[OS-Cantidad]]</f>
        <v>375000</v>
      </c>
      <c r="U251" s="1">
        <f>Tabla1[[#This Row],[costo_antes_iva]]*Tabla1[[#This Row],[OS-Cantidad]]</f>
        <v>375000</v>
      </c>
      <c r="V251" s="1">
        <f>Tabla1[[#This Row],[Valor total OS]]-Tabla1[[#This Row],[valor total op]]</f>
        <v>0</v>
      </c>
      <c r="W251" s="1">
        <f>ROUNDDOWN(Tabla1[[#This Row],[Diferencia]]/200000,0)*200000</f>
        <v>0</v>
      </c>
    </row>
    <row r="252" spans="1:23" hidden="1" x14ac:dyDescent="0.3">
      <c r="A252">
        <v>6379</v>
      </c>
      <c r="B252">
        <v>1</v>
      </c>
      <c r="C252" t="s">
        <v>1094</v>
      </c>
      <c r="D252">
        <v>28</v>
      </c>
      <c r="E252" t="s">
        <v>1095</v>
      </c>
      <c r="F252" t="s">
        <v>1096</v>
      </c>
      <c r="G252" t="s">
        <v>118</v>
      </c>
      <c r="H252" t="s">
        <v>1097</v>
      </c>
      <c r="I252">
        <v>34</v>
      </c>
      <c r="J252">
        <v>74473746</v>
      </c>
      <c r="K252" s="2">
        <v>45958</v>
      </c>
      <c r="L252" s="1">
        <v>1400</v>
      </c>
      <c r="M252" t="s">
        <v>1098</v>
      </c>
      <c r="N252" t="s">
        <v>24</v>
      </c>
      <c r="O252" t="s">
        <v>1099</v>
      </c>
      <c r="P252" s="1">
        <v>1400</v>
      </c>
      <c r="Q252">
        <v>28</v>
      </c>
      <c r="R252" t="s">
        <v>1100</v>
      </c>
      <c r="S252" s="1">
        <f>Tabla1[[#This Row],[OS-Valor Unitario]]-Tabla1[[#This Row],[costo_antes_iva]]</f>
        <v>0</v>
      </c>
      <c r="T252" s="1">
        <f>Tabla1[[#This Row],[OS-Valor Unitario]]*Tabla1[[#This Row],[OS-Cantidad]]</f>
        <v>39200</v>
      </c>
      <c r="U252" s="1">
        <f>Tabla1[[#This Row],[costo_antes_iva]]*Tabla1[[#This Row],[OS-Cantidad]]</f>
        <v>39200</v>
      </c>
      <c r="V252" s="1">
        <f>Tabla1[[#This Row],[Valor total OS]]-Tabla1[[#This Row],[valor total op]]</f>
        <v>0</v>
      </c>
      <c r="W252" s="1">
        <f>ROUNDDOWN(Tabla1[[#This Row],[Diferencia]]/200000,0)*200000</f>
        <v>0</v>
      </c>
    </row>
    <row r="253" spans="1:23" hidden="1" x14ac:dyDescent="0.3">
      <c r="A253">
        <v>6421</v>
      </c>
      <c r="B253">
        <v>4</v>
      </c>
      <c r="C253" t="s">
        <v>938</v>
      </c>
      <c r="D253">
        <v>26</v>
      </c>
      <c r="E253" t="s">
        <v>921</v>
      </c>
      <c r="F253" t="s">
        <v>939</v>
      </c>
      <c r="G253" t="s">
        <v>118</v>
      </c>
      <c r="H253" t="s">
        <v>923</v>
      </c>
      <c r="I253">
        <v>26</v>
      </c>
      <c r="J253">
        <v>75709159</v>
      </c>
      <c r="K253" s="2">
        <v>45982</v>
      </c>
      <c r="L253" s="1">
        <v>5600</v>
      </c>
      <c r="M253" t="s">
        <v>924</v>
      </c>
      <c r="N253" t="s">
        <v>24</v>
      </c>
      <c r="O253" t="s">
        <v>940</v>
      </c>
      <c r="P253" s="1">
        <v>5600</v>
      </c>
      <c r="Q253">
        <v>26</v>
      </c>
      <c r="R253" t="s">
        <v>942</v>
      </c>
      <c r="S253" s="1">
        <f>Tabla1[[#This Row],[OS-Valor Unitario]]-Tabla1[[#This Row],[costo_antes_iva]]</f>
        <v>0</v>
      </c>
      <c r="T253" s="1">
        <f>Tabla1[[#This Row],[OS-Valor Unitario]]*Tabla1[[#This Row],[OS-Cantidad]]</f>
        <v>145600</v>
      </c>
      <c r="U253" s="1">
        <f>Tabla1[[#This Row],[costo_antes_iva]]*Tabla1[[#This Row],[OS-Cantidad]]</f>
        <v>145600</v>
      </c>
      <c r="V253" s="1">
        <f>Tabla1[[#This Row],[Valor total OS]]-Tabla1[[#This Row],[valor total op]]</f>
        <v>0</v>
      </c>
      <c r="W253" s="1">
        <f>ROUNDDOWN(Tabla1[[#This Row],[Diferencia]]/200000,0)*200000</f>
        <v>0</v>
      </c>
    </row>
    <row r="254" spans="1:23" hidden="1" x14ac:dyDescent="0.3">
      <c r="A254">
        <v>6372</v>
      </c>
      <c r="B254">
        <v>1</v>
      </c>
      <c r="C254" t="s">
        <v>1260</v>
      </c>
      <c r="D254">
        <v>25</v>
      </c>
      <c r="E254" t="s">
        <v>1261</v>
      </c>
      <c r="F254" t="s">
        <v>1262</v>
      </c>
      <c r="G254" t="s">
        <v>753</v>
      </c>
      <c r="H254" t="s">
        <v>1263</v>
      </c>
      <c r="I254">
        <v>25</v>
      </c>
      <c r="J254">
        <v>74213806</v>
      </c>
      <c r="K254" s="2">
        <v>45953</v>
      </c>
      <c r="L254" s="1">
        <v>4000</v>
      </c>
      <c r="M254" t="s">
        <v>1264</v>
      </c>
      <c r="N254" t="s">
        <v>24</v>
      </c>
      <c r="O254" t="s">
        <v>1265</v>
      </c>
      <c r="P254" s="1">
        <v>4000</v>
      </c>
      <c r="Q254">
        <v>25</v>
      </c>
      <c r="R254" t="s">
        <v>1266</v>
      </c>
      <c r="S254" s="1">
        <f>Tabla1[[#This Row],[OS-Valor Unitario]]-Tabla1[[#This Row],[costo_antes_iva]]</f>
        <v>0</v>
      </c>
      <c r="T254" s="1">
        <f>Tabla1[[#This Row],[OS-Valor Unitario]]*Tabla1[[#This Row],[OS-Cantidad]]</f>
        <v>100000</v>
      </c>
      <c r="U254" s="1">
        <f>Tabla1[[#This Row],[costo_antes_iva]]*Tabla1[[#This Row],[OS-Cantidad]]</f>
        <v>100000</v>
      </c>
      <c r="V254" s="1">
        <f>Tabla1[[#This Row],[Valor total OS]]-Tabla1[[#This Row],[valor total op]]</f>
        <v>0</v>
      </c>
      <c r="W254" s="1">
        <f>ROUNDDOWN(Tabla1[[#This Row],[Diferencia]]/200000,0)*200000</f>
        <v>0</v>
      </c>
    </row>
    <row r="255" spans="1:23" hidden="1" x14ac:dyDescent="0.3">
      <c r="A255">
        <v>6372</v>
      </c>
      <c r="B255">
        <v>2</v>
      </c>
      <c r="C255" t="s">
        <v>1267</v>
      </c>
      <c r="D255">
        <v>25</v>
      </c>
      <c r="E255" t="s">
        <v>1261</v>
      </c>
      <c r="F255" t="s">
        <v>1268</v>
      </c>
      <c r="G255" t="s">
        <v>1378</v>
      </c>
      <c r="H255" t="s">
        <v>1263</v>
      </c>
      <c r="I255">
        <v>25</v>
      </c>
      <c r="J255">
        <v>74213810</v>
      </c>
      <c r="K255" s="2">
        <v>45953</v>
      </c>
      <c r="L255" s="1">
        <v>4000</v>
      </c>
      <c r="M255" t="s">
        <v>1264</v>
      </c>
      <c r="N255" t="s">
        <v>24</v>
      </c>
      <c r="O255" t="s">
        <v>1269</v>
      </c>
      <c r="P255" s="1">
        <v>4000</v>
      </c>
      <c r="Q255">
        <v>25</v>
      </c>
      <c r="R255" t="s">
        <v>1270</v>
      </c>
      <c r="S255" s="1">
        <f>Tabla1[[#This Row],[OS-Valor Unitario]]-Tabla1[[#This Row],[costo_antes_iva]]</f>
        <v>0</v>
      </c>
      <c r="T255" s="1">
        <f>Tabla1[[#This Row],[OS-Valor Unitario]]*Tabla1[[#This Row],[OS-Cantidad]]</f>
        <v>100000</v>
      </c>
      <c r="U255" s="1">
        <f>Tabla1[[#This Row],[costo_antes_iva]]*Tabla1[[#This Row],[OS-Cantidad]]</f>
        <v>100000</v>
      </c>
      <c r="V255" s="1">
        <f>Tabla1[[#This Row],[Valor total OS]]-Tabla1[[#This Row],[valor total op]]</f>
        <v>0</v>
      </c>
      <c r="W255" s="1">
        <f>ROUNDDOWN(Tabla1[[#This Row],[Diferencia]]/200000,0)*200000</f>
        <v>0</v>
      </c>
    </row>
    <row r="256" spans="1:23" hidden="1" x14ac:dyDescent="0.3">
      <c r="A256">
        <v>6372</v>
      </c>
      <c r="B256">
        <v>3</v>
      </c>
      <c r="C256" t="s">
        <v>1271</v>
      </c>
      <c r="D256">
        <v>25</v>
      </c>
      <c r="E256" t="s">
        <v>1261</v>
      </c>
      <c r="F256" t="s">
        <v>1272</v>
      </c>
      <c r="G256" t="s">
        <v>370</v>
      </c>
      <c r="H256" t="s">
        <v>1263</v>
      </c>
      <c r="I256">
        <v>25</v>
      </c>
      <c r="J256">
        <v>74213816</v>
      </c>
      <c r="K256" s="2">
        <v>45953</v>
      </c>
      <c r="L256" s="1">
        <v>4000</v>
      </c>
      <c r="M256" t="s">
        <v>1264</v>
      </c>
      <c r="N256" t="s">
        <v>24</v>
      </c>
      <c r="O256" t="s">
        <v>1273</v>
      </c>
      <c r="P256" s="1">
        <v>4000</v>
      </c>
      <c r="Q256">
        <v>25</v>
      </c>
      <c r="R256" t="s">
        <v>1274</v>
      </c>
      <c r="S256" s="1">
        <f>Tabla1[[#This Row],[OS-Valor Unitario]]-Tabla1[[#This Row],[costo_antes_iva]]</f>
        <v>0</v>
      </c>
      <c r="T256" s="1">
        <f>Tabla1[[#This Row],[OS-Valor Unitario]]*Tabla1[[#This Row],[OS-Cantidad]]</f>
        <v>100000</v>
      </c>
      <c r="U256" s="1">
        <f>Tabla1[[#This Row],[costo_antes_iva]]*Tabla1[[#This Row],[OS-Cantidad]]</f>
        <v>100000</v>
      </c>
      <c r="V256" s="1">
        <f>Tabla1[[#This Row],[Valor total OS]]-Tabla1[[#This Row],[valor total op]]</f>
        <v>0</v>
      </c>
      <c r="W256" s="1">
        <f>ROUNDDOWN(Tabla1[[#This Row],[Diferencia]]/200000,0)*200000</f>
        <v>0</v>
      </c>
    </row>
    <row r="257" spans="1:23" hidden="1" x14ac:dyDescent="0.3">
      <c r="A257">
        <v>6439</v>
      </c>
      <c r="B257">
        <v>6</v>
      </c>
      <c r="C257" t="s">
        <v>770</v>
      </c>
      <c r="D257">
        <v>21</v>
      </c>
      <c r="E257" t="s">
        <v>745</v>
      </c>
      <c r="F257" t="s">
        <v>771</v>
      </c>
      <c r="G257" t="s">
        <v>336</v>
      </c>
      <c r="H257" t="s">
        <v>166</v>
      </c>
      <c r="I257">
        <v>0</v>
      </c>
      <c r="J257">
        <v>76369423</v>
      </c>
      <c r="K257" s="2">
        <v>45989</v>
      </c>
      <c r="L257" s="1">
        <v>1500</v>
      </c>
      <c r="M257" t="s">
        <v>748</v>
      </c>
      <c r="N257" t="s">
        <v>51</v>
      </c>
      <c r="O257" t="s">
        <v>772</v>
      </c>
      <c r="P257" s="1">
        <v>1500</v>
      </c>
      <c r="Q257">
        <v>23</v>
      </c>
      <c r="R257" t="s">
        <v>773</v>
      </c>
      <c r="S257" s="1">
        <f>Tabla1[[#This Row],[OS-Valor Unitario]]-Tabla1[[#This Row],[costo_antes_iva]]</f>
        <v>0</v>
      </c>
      <c r="T257" s="1">
        <f>Tabla1[[#This Row],[OS-Valor Unitario]]*Tabla1[[#This Row],[OS-Cantidad]]</f>
        <v>34500</v>
      </c>
      <c r="U257" s="1">
        <f>Tabla1[[#This Row],[costo_antes_iva]]*Tabla1[[#This Row],[OS-Cantidad]]</f>
        <v>34500</v>
      </c>
      <c r="V257" s="1">
        <f>Tabla1[[#This Row],[Valor total OS]]-Tabla1[[#This Row],[valor total op]]</f>
        <v>0</v>
      </c>
      <c r="W257" s="1">
        <f>ROUNDDOWN(Tabla1[[#This Row],[Diferencia]]/200000,0)*200000</f>
        <v>0</v>
      </c>
    </row>
    <row r="258" spans="1:23" hidden="1" x14ac:dyDescent="0.3">
      <c r="A258">
        <v>6377</v>
      </c>
      <c r="B258">
        <v>2</v>
      </c>
      <c r="C258" t="s">
        <v>1172</v>
      </c>
      <c r="D258">
        <v>20</v>
      </c>
      <c r="E258" t="s">
        <v>1166</v>
      </c>
      <c r="F258" t="s">
        <v>1173</v>
      </c>
      <c r="G258" t="s">
        <v>118</v>
      </c>
      <c r="H258" t="s">
        <v>166</v>
      </c>
      <c r="I258">
        <v>1</v>
      </c>
      <c r="J258">
        <v>74399614</v>
      </c>
      <c r="K258" s="2">
        <v>45957</v>
      </c>
      <c r="L258" s="1">
        <v>12500</v>
      </c>
      <c r="M258" t="s">
        <v>1168</v>
      </c>
      <c r="N258" t="s">
        <v>51</v>
      </c>
      <c r="O258" t="s">
        <v>1174</v>
      </c>
      <c r="P258" s="1">
        <v>12500</v>
      </c>
      <c r="Q258">
        <v>20</v>
      </c>
      <c r="R258" t="s">
        <v>1175</v>
      </c>
      <c r="S258" s="1">
        <f>Tabla1[[#This Row],[OS-Valor Unitario]]-Tabla1[[#This Row],[costo_antes_iva]]</f>
        <v>0</v>
      </c>
      <c r="T258" s="1">
        <f>Tabla1[[#This Row],[OS-Valor Unitario]]*Tabla1[[#This Row],[OS-Cantidad]]</f>
        <v>250000</v>
      </c>
      <c r="U258" s="1">
        <f>Tabla1[[#This Row],[costo_antes_iva]]*Tabla1[[#This Row],[OS-Cantidad]]</f>
        <v>250000</v>
      </c>
      <c r="V258" s="1">
        <f>Tabla1[[#This Row],[Valor total OS]]-Tabla1[[#This Row],[valor total op]]</f>
        <v>0</v>
      </c>
      <c r="W258" s="1">
        <f>ROUNDDOWN(Tabla1[[#This Row],[Diferencia]]/200000,0)*200000</f>
        <v>0</v>
      </c>
    </row>
    <row r="259" spans="1:23" hidden="1" x14ac:dyDescent="0.3">
      <c r="A259">
        <v>6377</v>
      </c>
      <c r="B259">
        <v>3</v>
      </c>
      <c r="C259" t="s">
        <v>1177</v>
      </c>
      <c r="D259">
        <v>20</v>
      </c>
      <c r="E259" t="s">
        <v>1166</v>
      </c>
      <c r="F259" t="s">
        <v>1178</v>
      </c>
      <c r="G259" t="s">
        <v>118</v>
      </c>
      <c r="H259" t="s">
        <v>166</v>
      </c>
      <c r="I259">
        <v>1</v>
      </c>
      <c r="J259">
        <v>74399620</v>
      </c>
      <c r="K259" s="2">
        <v>45957</v>
      </c>
      <c r="L259" s="1">
        <v>12500</v>
      </c>
      <c r="M259" t="s">
        <v>1168</v>
      </c>
      <c r="N259" t="s">
        <v>51</v>
      </c>
      <c r="O259" t="s">
        <v>1179</v>
      </c>
      <c r="P259" s="1">
        <v>12500</v>
      </c>
      <c r="Q259">
        <v>20</v>
      </c>
      <c r="R259" t="s">
        <v>1180</v>
      </c>
      <c r="S259" s="1">
        <f>Tabla1[[#This Row],[OS-Valor Unitario]]-Tabla1[[#This Row],[costo_antes_iva]]</f>
        <v>0</v>
      </c>
      <c r="T259" s="1">
        <f>Tabla1[[#This Row],[OS-Valor Unitario]]*Tabla1[[#This Row],[OS-Cantidad]]</f>
        <v>250000</v>
      </c>
      <c r="U259" s="1">
        <f>Tabla1[[#This Row],[costo_antes_iva]]*Tabla1[[#This Row],[OS-Cantidad]]</f>
        <v>250000</v>
      </c>
      <c r="V259" s="1">
        <f>Tabla1[[#This Row],[Valor total OS]]-Tabla1[[#This Row],[valor total op]]</f>
        <v>0</v>
      </c>
      <c r="W259" s="1">
        <f>ROUNDDOWN(Tabla1[[#This Row],[Diferencia]]/200000,0)*200000</f>
        <v>0</v>
      </c>
    </row>
    <row r="260" spans="1:23" hidden="1" x14ac:dyDescent="0.3">
      <c r="A260">
        <v>6377</v>
      </c>
      <c r="B260">
        <v>3</v>
      </c>
      <c r="C260" t="s">
        <v>1177</v>
      </c>
      <c r="D260">
        <v>20</v>
      </c>
      <c r="E260" t="s">
        <v>1166</v>
      </c>
      <c r="F260" t="s">
        <v>1178</v>
      </c>
      <c r="G260" t="s">
        <v>242</v>
      </c>
      <c r="H260" t="s">
        <v>166</v>
      </c>
      <c r="I260">
        <v>1</v>
      </c>
      <c r="J260">
        <v>74403668</v>
      </c>
      <c r="K260" s="2">
        <v>45957</v>
      </c>
      <c r="L260" s="1">
        <v>12500</v>
      </c>
      <c r="M260" t="s">
        <v>1182</v>
      </c>
      <c r="N260" t="s">
        <v>51</v>
      </c>
      <c r="O260" t="s">
        <v>1179</v>
      </c>
      <c r="P260" s="1">
        <v>12500</v>
      </c>
      <c r="Q260">
        <v>20</v>
      </c>
      <c r="R260" t="s">
        <v>1180</v>
      </c>
      <c r="S260" s="1">
        <f>Tabla1[[#This Row],[OS-Valor Unitario]]-Tabla1[[#This Row],[costo_antes_iva]]</f>
        <v>0</v>
      </c>
      <c r="T260" s="1">
        <f>Tabla1[[#This Row],[OS-Valor Unitario]]*Tabla1[[#This Row],[OS-Cantidad]]</f>
        <v>250000</v>
      </c>
      <c r="U260" s="1">
        <f>Tabla1[[#This Row],[costo_antes_iva]]*Tabla1[[#This Row],[OS-Cantidad]]</f>
        <v>250000</v>
      </c>
      <c r="V260" s="1">
        <f>Tabla1[[#This Row],[Valor total OS]]-Tabla1[[#This Row],[valor total op]]</f>
        <v>0</v>
      </c>
      <c r="W260" s="1">
        <f>ROUNDDOWN(Tabla1[[#This Row],[Diferencia]]/200000,0)*200000</f>
        <v>0</v>
      </c>
    </row>
    <row r="261" spans="1:23" hidden="1" x14ac:dyDescent="0.3">
      <c r="A261">
        <v>6487</v>
      </c>
      <c r="B261">
        <v>8</v>
      </c>
      <c r="C261" t="s">
        <v>596</v>
      </c>
      <c r="D261">
        <v>18</v>
      </c>
      <c r="E261" t="s">
        <v>559</v>
      </c>
      <c r="F261" t="s">
        <v>597</v>
      </c>
      <c r="G261" t="s">
        <v>598</v>
      </c>
      <c r="H261" t="s">
        <v>166</v>
      </c>
      <c r="I261">
        <v>1</v>
      </c>
      <c r="J261">
        <v>77670440</v>
      </c>
      <c r="K261" s="2">
        <v>46014</v>
      </c>
      <c r="L261" s="1">
        <v>15000</v>
      </c>
      <c r="M261" t="s">
        <v>561</v>
      </c>
      <c r="N261" t="s">
        <v>51</v>
      </c>
      <c r="O261" t="s">
        <v>599</v>
      </c>
      <c r="P261" s="1">
        <v>15000</v>
      </c>
      <c r="Q261">
        <v>18</v>
      </c>
      <c r="R261" t="s">
        <v>600</v>
      </c>
      <c r="S261" s="1">
        <f>Tabla1[[#This Row],[OS-Valor Unitario]]-Tabla1[[#This Row],[costo_antes_iva]]</f>
        <v>0</v>
      </c>
      <c r="T261" s="1">
        <f>Tabla1[[#This Row],[OS-Valor Unitario]]*Tabla1[[#This Row],[OS-Cantidad]]</f>
        <v>270000</v>
      </c>
      <c r="U261" s="1">
        <f>Tabla1[[#This Row],[costo_antes_iva]]*Tabla1[[#This Row],[OS-Cantidad]]</f>
        <v>270000</v>
      </c>
      <c r="V261" s="1">
        <f>Tabla1[[#This Row],[Valor total OS]]-Tabla1[[#This Row],[valor total op]]</f>
        <v>0</v>
      </c>
      <c r="W261" s="1">
        <f>ROUNDDOWN(Tabla1[[#This Row],[Diferencia]]/200000,0)*200000</f>
        <v>0</v>
      </c>
    </row>
    <row r="262" spans="1:23" hidden="1" x14ac:dyDescent="0.3">
      <c r="A262">
        <v>6439</v>
      </c>
      <c r="B262">
        <v>8</v>
      </c>
      <c r="C262" t="s">
        <v>779</v>
      </c>
      <c r="D262">
        <v>18</v>
      </c>
      <c r="E262" t="s">
        <v>745</v>
      </c>
      <c r="F262" t="s">
        <v>780</v>
      </c>
      <c r="G262" t="s">
        <v>165</v>
      </c>
      <c r="H262" t="s">
        <v>166</v>
      </c>
      <c r="I262">
        <v>0</v>
      </c>
      <c r="J262">
        <v>76369558</v>
      </c>
      <c r="K262" s="2">
        <v>45989</v>
      </c>
      <c r="L262" s="1">
        <v>700</v>
      </c>
      <c r="M262" t="s">
        <v>748</v>
      </c>
      <c r="N262" t="s">
        <v>24</v>
      </c>
      <c r="O262" t="s">
        <v>781</v>
      </c>
      <c r="P262" s="1">
        <v>700</v>
      </c>
      <c r="Q262">
        <v>18</v>
      </c>
      <c r="R262" t="s">
        <v>782</v>
      </c>
      <c r="S262" s="1">
        <f>Tabla1[[#This Row],[OS-Valor Unitario]]-Tabla1[[#This Row],[costo_antes_iva]]</f>
        <v>0</v>
      </c>
      <c r="T262" s="1">
        <f>Tabla1[[#This Row],[OS-Valor Unitario]]*Tabla1[[#This Row],[OS-Cantidad]]</f>
        <v>12600</v>
      </c>
      <c r="U262" s="1">
        <f>Tabla1[[#This Row],[costo_antes_iva]]*Tabla1[[#This Row],[OS-Cantidad]]</f>
        <v>12600</v>
      </c>
      <c r="V262" s="1">
        <f>Tabla1[[#This Row],[Valor total OS]]-Tabla1[[#This Row],[valor total op]]</f>
        <v>0</v>
      </c>
      <c r="W262" s="1">
        <f>ROUNDDOWN(Tabla1[[#This Row],[Diferencia]]/200000,0)*200000</f>
        <v>0</v>
      </c>
    </row>
    <row r="263" spans="1:23" hidden="1" x14ac:dyDescent="0.3">
      <c r="A263">
        <v>6371</v>
      </c>
      <c r="B263">
        <v>2</v>
      </c>
      <c r="C263" t="s">
        <v>1282</v>
      </c>
      <c r="D263">
        <v>16</v>
      </c>
      <c r="E263" t="s">
        <v>1276</v>
      </c>
      <c r="F263" t="s">
        <v>950</v>
      </c>
      <c r="G263" t="s">
        <v>523</v>
      </c>
      <c r="H263" t="s">
        <v>317</v>
      </c>
      <c r="I263">
        <v>16</v>
      </c>
      <c r="J263">
        <v>74212668</v>
      </c>
      <c r="K263" s="2">
        <v>45953</v>
      </c>
      <c r="L263" s="1">
        <v>900</v>
      </c>
      <c r="M263" t="s">
        <v>957</v>
      </c>
      <c r="N263" t="s">
        <v>24</v>
      </c>
      <c r="O263" t="s">
        <v>1283</v>
      </c>
      <c r="P263" s="1">
        <v>900</v>
      </c>
      <c r="Q263">
        <v>16</v>
      </c>
      <c r="R263" t="s">
        <v>1285</v>
      </c>
      <c r="S263" s="1">
        <f>Tabla1[[#This Row],[OS-Valor Unitario]]-Tabla1[[#This Row],[costo_antes_iva]]</f>
        <v>0</v>
      </c>
      <c r="T263" s="1">
        <f>Tabla1[[#This Row],[OS-Valor Unitario]]*Tabla1[[#This Row],[OS-Cantidad]]</f>
        <v>14400</v>
      </c>
      <c r="U263" s="1">
        <f>Tabla1[[#This Row],[costo_antes_iva]]*Tabla1[[#This Row],[OS-Cantidad]]</f>
        <v>14400</v>
      </c>
      <c r="V263" s="1">
        <f>Tabla1[[#This Row],[Valor total OS]]-Tabla1[[#This Row],[valor total op]]</f>
        <v>0</v>
      </c>
      <c r="W263" s="1">
        <f>ROUNDDOWN(Tabla1[[#This Row],[Diferencia]]/200000,0)*200000</f>
        <v>0</v>
      </c>
    </row>
    <row r="264" spans="1:23" hidden="1" x14ac:dyDescent="0.3">
      <c r="A264">
        <v>6436</v>
      </c>
      <c r="B264">
        <v>1</v>
      </c>
      <c r="C264" t="s">
        <v>809</v>
      </c>
      <c r="D264">
        <v>15</v>
      </c>
      <c r="E264" t="s">
        <v>810</v>
      </c>
      <c r="F264" t="s">
        <v>811</v>
      </c>
      <c r="G264" t="s">
        <v>545</v>
      </c>
      <c r="H264" t="s">
        <v>166</v>
      </c>
      <c r="I264">
        <v>15</v>
      </c>
      <c r="J264">
        <v>76366653</v>
      </c>
      <c r="K264" s="2">
        <v>45989</v>
      </c>
      <c r="L264" s="1">
        <v>15000</v>
      </c>
      <c r="M264" t="s">
        <v>812</v>
      </c>
      <c r="N264" t="s">
        <v>51</v>
      </c>
      <c r="O264" t="s">
        <v>813</v>
      </c>
      <c r="P264" s="1">
        <v>15000</v>
      </c>
      <c r="Q264">
        <v>15</v>
      </c>
      <c r="R264" t="s">
        <v>814</v>
      </c>
      <c r="S264" s="1">
        <f>Tabla1[[#This Row],[OS-Valor Unitario]]-Tabla1[[#This Row],[costo_antes_iva]]</f>
        <v>0</v>
      </c>
      <c r="T264" s="1">
        <f>Tabla1[[#This Row],[OS-Valor Unitario]]*Tabla1[[#This Row],[OS-Cantidad]]</f>
        <v>225000</v>
      </c>
      <c r="U264" s="1">
        <f>Tabla1[[#This Row],[costo_antes_iva]]*Tabla1[[#This Row],[OS-Cantidad]]</f>
        <v>225000</v>
      </c>
      <c r="V264" s="1">
        <f>Tabla1[[#This Row],[Valor total OS]]-Tabla1[[#This Row],[valor total op]]</f>
        <v>0</v>
      </c>
      <c r="W264" s="1">
        <f>ROUNDDOWN(Tabla1[[#This Row],[Diferencia]]/200000,0)*200000</f>
        <v>0</v>
      </c>
    </row>
    <row r="265" spans="1:23" hidden="1" x14ac:dyDescent="0.3">
      <c r="A265">
        <v>6383</v>
      </c>
      <c r="B265">
        <v>7</v>
      </c>
      <c r="C265" t="s">
        <v>1007</v>
      </c>
      <c r="D265">
        <v>15</v>
      </c>
      <c r="E265" t="s">
        <v>978</v>
      </c>
      <c r="F265" t="s">
        <v>1008</v>
      </c>
      <c r="G265" t="s">
        <v>268</v>
      </c>
      <c r="H265" t="s">
        <v>961</v>
      </c>
      <c r="I265">
        <v>1</v>
      </c>
      <c r="J265">
        <v>74549355</v>
      </c>
      <c r="K265" s="2">
        <v>45959</v>
      </c>
      <c r="L265" s="1">
        <v>11000</v>
      </c>
      <c r="M265" t="s">
        <v>980</v>
      </c>
      <c r="N265" t="s">
        <v>51</v>
      </c>
      <c r="O265" t="s">
        <v>1009</v>
      </c>
      <c r="P265" s="1">
        <v>11000</v>
      </c>
      <c r="Q265">
        <v>15</v>
      </c>
      <c r="R265" t="s">
        <v>1010</v>
      </c>
      <c r="S265" s="1">
        <f>Tabla1[[#This Row],[OS-Valor Unitario]]-Tabla1[[#This Row],[costo_antes_iva]]</f>
        <v>0</v>
      </c>
      <c r="T265" s="1">
        <f>Tabla1[[#This Row],[OS-Valor Unitario]]*Tabla1[[#This Row],[OS-Cantidad]]</f>
        <v>165000</v>
      </c>
      <c r="U265" s="1">
        <f>Tabla1[[#This Row],[costo_antes_iva]]*Tabla1[[#This Row],[OS-Cantidad]]</f>
        <v>165000</v>
      </c>
      <c r="V265" s="1">
        <f>Tabla1[[#This Row],[Valor total OS]]-Tabla1[[#This Row],[valor total op]]</f>
        <v>0</v>
      </c>
      <c r="W265" s="1">
        <f>ROUNDDOWN(Tabla1[[#This Row],[Diferencia]]/200000,0)*200000</f>
        <v>0</v>
      </c>
    </row>
    <row r="266" spans="1:23" hidden="1" x14ac:dyDescent="0.3">
      <c r="A266">
        <v>6383</v>
      </c>
      <c r="B266">
        <v>13</v>
      </c>
      <c r="C266" t="s">
        <v>1023</v>
      </c>
      <c r="D266">
        <v>15</v>
      </c>
      <c r="E266" t="s">
        <v>978</v>
      </c>
      <c r="F266" t="s">
        <v>1024</v>
      </c>
      <c r="G266" t="s">
        <v>1380</v>
      </c>
      <c r="H266" t="s">
        <v>961</v>
      </c>
      <c r="I266">
        <v>1</v>
      </c>
      <c r="J266">
        <v>74549416</v>
      </c>
      <c r="K266" s="2">
        <v>45959</v>
      </c>
      <c r="L266" s="1">
        <v>1100</v>
      </c>
      <c r="M266" t="s">
        <v>980</v>
      </c>
      <c r="N266" t="s">
        <v>24</v>
      </c>
      <c r="O266" t="s">
        <v>1025</v>
      </c>
      <c r="P266" s="1">
        <v>1100</v>
      </c>
      <c r="Q266">
        <v>15</v>
      </c>
      <c r="R266" t="s">
        <v>1026</v>
      </c>
      <c r="S266" s="1">
        <f>Tabla1[[#This Row],[OS-Valor Unitario]]-Tabla1[[#This Row],[costo_antes_iva]]</f>
        <v>0</v>
      </c>
      <c r="T266" s="1">
        <f>Tabla1[[#This Row],[OS-Valor Unitario]]*Tabla1[[#This Row],[OS-Cantidad]]</f>
        <v>16500</v>
      </c>
      <c r="U266" s="1">
        <f>Tabla1[[#This Row],[costo_antes_iva]]*Tabla1[[#This Row],[OS-Cantidad]]</f>
        <v>16500</v>
      </c>
      <c r="V266" s="1">
        <f>Tabla1[[#This Row],[Valor total OS]]-Tabla1[[#This Row],[valor total op]]</f>
        <v>0</v>
      </c>
      <c r="W266" s="1">
        <f>ROUNDDOWN(Tabla1[[#This Row],[Diferencia]]/200000,0)*200000</f>
        <v>0</v>
      </c>
    </row>
    <row r="267" spans="1:23" hidden="1" x14ac:dyDescent="0.3">
      <c r="A267">
        <v>6492</v>
      </c>
      <c r="B267">
        <v>22</v>
      </c>
      <c r="C267" t="s">
        <v>515</v>
      </c>
      <c r="D267">
        <v>12</v>
      </c>
      <c r="E267" t="s">
        <v>418</v>
      </c>
      <c r="F267" t="s">
        <v>516</v>
      </c>
      <c r="G267" t="s">
        <v>447</v>
      </c>
      <c r="H267" t="s">
        <v>317</v>
      </c>
      <c r="I267">
        <v>12</v>
      </c>
      <c r="J267">
        <v>77864131</v>
      </c>
      <c r="K267" s="2">
        <v>46020</v>
      </c>
      <c r="L267" s="1">
        <v>11500</v>
      </c>
      <c r="M267" t="s">
        <v>517</v>
      </c>
      <c r="N267" t="s">
        <v>51</v>
      </c>
      <c r="O267" t="s">
        <v>518</v>
      </c>
      <c r="P267" s="1">
        <v>11500</v>
      </c>
      <c r="Q267">
        <v>12</v>
      </c>
      <c r="R267" t="s">
        <v>520</v>
      </c>
      <c r="S267" s="1">
        <f>Tabla1[[#This Row],[OS-Valor Unitario]]-Tabla1[[#This Row],[costo_antes_iva]]</f>
        <v>0</v>
      </c>
      <c r="T267" s="1">
        <f>Tabla1[[#This Row],[OS-Valor Unitario]]*Tabla1[[#This Row],[OS-Cantidad]]</f>
        <v>138000</v>
      </c>
      <c r="U267" s="1">
        <f>Tabla1[[#This Row],[costo_antes_iva]]*Tabla1[[#This Row],[OS-Cantidad]]</f>
        <v>138000</v>
      </c>
      <c r="V267" s="1">
        <f>Tabla1[[#This Row],[Valor total OS]]-Tabla1[[#This Row],[valor total op]]</f>
        <v>0</v>
      </c>
      <c r="W267" s="1">
        <f>ROUNDDOWN(Tabla1[[#This Row],[Diferencia]]/200000,0)*200000</f>
        <v>0</v>
      </c>
    </row>
    <row r="268" spans="1:23" hidden="1" x14ac:dyDescent="0.3">
      <c r="A268">
        <v>6492</v>
      </c>
      <c r="B268">
        <v>22</v>
      </c>
      <c r="C268" t="s">
        <v>515</v>
      </c>
      <c r="D268">
        <v>12</v>
      </c>
      <c r="E268" t="s">
        <v>529</v>
      </c>
      <c r="F268" t="s">
        <v>516</v>
      </c>
      <c r="G268" t="s">
        <v>447</v>
      </c>
      <c r="H268" t="s">
        <v>317</v>
      </c>
      <c r="I268">
        <v>12</v>
      </c>
      <c r="J268">
        <v>77864131</v>
      </c>
      <c r="K268" s="2">
        <v>46020</v>
      </c>
      <c r="L268" s="1">
        <v>11500</v>
      </c>
      <c r="M268" t="s">
        <v>517</v>
      </c>
      <c r="N268" t="s">
        <v>51</v>
      </c>
      <c r="O268" t="s">
        <v>518</v>
      </c>
      <c r="P268" s="1">
        <v>11500</v>
      </c>
      <c r="Q268">
        <v>12</v>
      </c>
      <c r="R268" t="s">
        <v>520</v>
      </c>
      <c r="S268" s="1">
        <f>Tabla1[[#This Row],[OS-Valor Unitario]]-Tabla1[[#This Row],[costo_antes_iva]]</f>
        <v>0</v>
      </c>
      <c r="T268" s="1">
        <f>Tabla1[[#This Row],[OS-Valor Unitario]]*Tabla1[[#This Row],[OS-Cantidad]]</f>
        <v>138000</v>
      </c>
      <c r="U268" s="1">
        <f>Tabla1[[#This Row],[costo_antes_iva]]*Tabla1[[#This Row],[OS-Cantidad]]</f>
        <v>138000</v>
      </c>
      <c r="V268" s="1">
        <f>Tabla1[[#This Row],[Valor total OS]]-Tabla1[[#This Row],[valor total op]]</f>
        <v>0</v>
      </c>
      <c r="W268" s="1">
        <f>ROUNDDOWN(Tabla1[[#This Row],[Diferencia]]/200000,0)*200000</f>
        <v>0</v>
      </c>
    </row>
    <row r="269" spans="1:23" hidden="1" x14ac:dyDescent="0.3">
      <c r="A269">
        <v>6487</v>
      </c>
      <c r="B269">
        <v>5</v>
      </c>
      <c r="C269" t="s">
        <v>578</v>
      </c>
      <c r="D269">
        <v>12</v>
      </c>
      <c r="E269" t="s">
        <v>559</v>
      </c>
      <c r="F269" t="s">
        <v>579</v>
      </c>
      <c r="G269" t="s">
        <v>1376</v>
      </c>
      <c r="H269" t="s">
        <v>166</v>
      </c>
      <c r="I269">
        <v>1</v>
      </c>
      <c r="J269">
        <v>77670356</v>
      </c>
      <c r="K269" s="2">
        <v>46014</v>
      </c>
      <c r="L269" s="1">
        <v>1500</v>
      </c>
      <c r="M269" t="s">
        <v>561</v>
      </c>
      <c r="N269" t="s">
        <v>24</v>
      </c>
      <c r="O269" t="s">
        <v>580</v>
      </c>
      <c r="P269" s="1">
        <v>1500</v>
      </c>
      <c r="Q269">
        <v>12</v>
      </c>
      <c r="R269" t="s">
        <v>582</v>
      </c>
      <c r="S269" s="1">
        <f>Tabla1[[#This Row],[OS-Valor Unitario]]-Tabla1[[#This Row],[costo_antes_iva]]</f>
        <v>0</v>
      </c>
      <c r="T269" s="1">
        <f>Tabla1[[#This Row],[OS-Valor Unitario]]*Tabla1[[#This Row],[OS-Cantidad]]</f>
        <v>18000</v>
      </c>
      <c r="U269" s="1">
        <f>Tabla1[[#This Row],[costo_antes_iva]]*Tabla1[[#This Row],[OS-Cantidad]]</f>
        <v>18000</v>
      </c>
      <c r="V269" s="1">
        <f>Tabla1[[#This Row],[Valor total OS]]-Tabla1[[#This Row],[valor total op]]</f>
        <v>0</v>
      </c>
      <c r="W269" s="1">
        <f>ROUNDDOWN(Tabla1[[#This Row],[Diferencia]]/200000,0)*200000</f>
        <v>0</v>
      </c>
    </row>
    <row r="270" spans="1:23" hidden="1" x14ac:dyDescent="0.3">
      <c r="A270">
        <v>6422</v>
      </c>
      <c r="B270">
        <v>1</v>
      </c>
      <c r="C270" t="s">
        <v>914</v>
      </c>
      <c r="D270">
        <v>12</v>
      </c>
      <c r="E270" t="s">
        <v>915</v>
      </c>
      <c r="F270" t="s">
        <v>916</v>
      </c>
      <c r="G270" t="s">
        <v>183</v>
      </c>
      <c r="H270" t="s">
        <v>142</v>
      </c>
      <c r="I270">
        <v>12</v>
      </c>
      <c r="J270">
        <v>75839731</v>
      </c>
      <c r="K270" s="2">
        <v>45985</v>
      </c>
      <c r="L270" s="1">
        <v>13000</v>
      </c>
      <c r="M270" t="s">
        <v>917</v>
      </c>
      <c r="N270" t="s">
        <v>51</v>
      </c>
      <c r="O270" t="s">
        <v>918</v>
      </c>
      <c r="P270" s="1">
        <v>13000</v>
      </c>
      <c r="Q270">
        <v>12</v>
      </c>
      <c r="R270" t="s">
        <v>919</v>
      </c>
      <c r="S270" s="1">
        <f>Tabla1[[#This Row],[OS-Valor Unitario]]-Tabla1[[#This Row],[costo_antes_iva]]</f>
        <v>0</v>
      </c>
      <c r="T270" s="1">
        <f>Tabla1[[#This Row],[OS-Valor Unitario]]*Tabla1[[#This Row],[OS-Cantidad]]</f>
        <v>156000</v>
      </c>
      <c r="U270" s="1">
        <f>Tabla1[[#This Row],[costo_antes_iva]]*Tabla1[[#This Row],[OS-Cantidad]]</f>
        <v>156000</v>
      </c>
      <c r="V270" s="1">
        <f>Tabla1[[#This Row],[Valor total OS]]-Tabla1[[#This Row],[valor total op]]</f>
        <v>0</v>
      </c>
      <c r="W270" s="1">
        <f>ROUNDDOWN(Tabla1[[#This Row],[Diferencia]]/200000,0)*200000</f>
        <v>0</v>
      </c>
    </row>
    <row r="271" spans="1:23" hidden="1" x14ac:dyDescent="0.3">
      <c r="A271">
        <v>6376</v>
      </c>
      <c r="B271">
        <v>14</v>
      </c>
      <c r="C271" t="s">
        <v>1234</v>
      </c>
      <c r="D271">
        <v>12</v>
      </c>
      <c r="E271" t="s">
        <v>1188</v>
      </c>
      <c r="F271" t="s">
        <v>1235</v>
      </c>
      <c r="G271" t="s">
        <v>1236</v>
      </c>
      <c r="H271" t="s">
        <v>166</v>
      </c>
      <c r="I271">
        <v>1</v>
      </c>
      <c r="J271">
        <v>74394389</v>
      </c>
      <c r="K271" s="2">
        <v>45957</v>
      </c>
      <c r="L271" s="1">
        <v>700</v>
      </c>
      <c r="M271" t="s">
        <v>1190</v>
      </c>
      <c r="N271" t="s">
        <v>24</v>
      </c>
      <c r="O271" t="s">
        <v>1237</v>
      </c>
      <c r="P271" s="1">
        <v>700</v>
      </c>
      <c r="Q271">
        <v>12</v>
      </c>
      <c r="R271" t="s">
        <v>1239</v>
      </c>
      <c r="S271" s="1">
        <f>Tabla1[[#This Row],[OS-Valor Unitario]]-Tabla1[[#This Row],[costo_antes_iva]]</f>
        <v>0</v>
      </c>
      <c r="T271" s="1">
        <f>Tabla1[[#This Row],[OS-Valor Unitario]]*Tabla1[[#This Row],[OS-Cantidad]]</f>
        <v>8400</v>
      </c>
      <c r="U271" s="1">
        <f>Tabla1[[#This Row],[costo_antes_iva]]*Tabla1[[#This Row],[OS-Cantidad]]</f>
        <v>8400</v>
      </c>
      <c r="V271" s="1">
        <f>Tabla1[[#This Row],[Valor total OS]]-Tabla1[[#This Row],[valor total op]]</f>
        <v>0</v>
      </c>
      <c r="W271" s="1">
        <f>ROUNDDOWN(Tabla1[[#This Row],[Diferencia]]/200000,0)*200000</f>
        <v>0</v>
      </c>
    </row>
    <row r="272" spans="1:23" hidden="1" x14ac:dyDescent="0.3">
      <c r="A272">
        <v>6452</v>
      </c>
      <c r="B272">
        <v>1</v>
      </c>
      <c r="C272" t="s">
        <v>735</v>
      </c>
      <c r="D272">
        <v>11</v>
      </c>
      <c r="E272" t="s">
        <v>736</v>
      </c>
      <c r="F272" t="s">
        <v>737</v>
      </c>
      <c r="G272" t="s">
        <v>738</v>
      </c>
      <c r="H272" t="s">
        <v>739</v>
      </c>
      <c r="I272">
        <v>11</v>
      </c>
      <c r="J272">
        <v>75989815</v>
      </c>
      <c r="K272" s="2">
        <v>45986</v>
      </c>
      <c r="L272" s="1">
        <v>20000</v>
      </c>
      <c r="M272" t="s">
        <v>740</v>
      </c>
      <c r="N272" t="s">
        <v>51</v>
      </c>
      <c r="O272" t="s">
        <v>741</v>
      </c>
      <c r="P272" s="1">
        <v>20000</v>
      </c>
      <c r="Q272">
        <v>11</v>
      </c>
      <c r="R272" t="s">
        <v>742</v>
      </c>
      <c r="S272" s="1">
        <f>Tabla1[[#This Row],[OS-Valor Unitario]]-Tabla1[[#This Row],[costo_antes_iva]]</f>
        <v>0</v>
      </c>
      <c r="T272" s="1">
        <f>Tabla1[[#This Row],[OS-Valor Unitario]]*Tabla1[[#This Row],[OS-Cantidad]]</f>
        <v>220000</v>
      </c>
      <c r="U272" s="1">
        <f>Tabla1[[#This Row],[costo_antes_iva]]*Tabla1[[#This Row],[OS-Cantidad]]</f>
        <v>220000</v>
      </c>
      <c r="V272" s="1">
        <f>Tabla1[[#This Row],[Valor total OS]]-Tabla1[[#This Row],[valor total op]]</f>
        <v>0</v>
      </c>
      <c r="W272" s="1">
        <f>ROUNDDOWN(Tabla1[[#This Row],[Diferencia]]/200000,0)*200000</f>
        <v>0</v>
      </c>
    </row>
    <row r="273" spans="1:23" hidden="1" x14ac:dyDescent="0.3">
      <c r="A273">
        <v>6421</v>
      </c>
      <c r="B273">
        <v>3</v>
      </c>
      <c r="C273" t="s">
        <v>933</v>
      </c>
      <c r="D273">
        <v>11</v>
      </c>
      <c r="E273" t="s">
        <v>921</v>
      </c>
      <c r="F273" t="s">
        <v>934</v>
      </c>
      <c r="G273" t="s">
        <v>118</v>
      </c>
      <c r="H273" t="s">
        <v>923</v>
      </c>
      <c r="I273">
        <v>11</v>
      </c>
      <c r="J273">
        <v>75709153</v>
      </c>
      <c r="K273" s="2">
        <v>45982</v>
      </c>
      <c r="L273" s="1">
        <v>6600</v>
      </c>
      <c r="M273" t="s">
        <v>924</v>
      </c>
      <c r="N273" t="s">
        <v>24</v>
      </c>
      <c r="O273" t="s">
        <v>935</v>
      </c>
      <c r="P273" s="1">
        <v>6600</v>
      </c>
      <c r="Q273">
        <v>11</v>
      </c>
      <c r="R273" t="s">
        <v>937</v>
      </c>
      <c r="S273" s="1">
        <f>Tabla1[[#This Row],[OS-Valor Unitario]]-Tabla1[[#This Row],[costo_antes_iva]]</f>
        <v>0</v>
      </c>
      <c r="T273" s="1">
        <f>Tabla1[[#This Row],[OS-Valor Unitario]]*Tabla1[[#This Row],[OS-Cantidad]]</f>
        <v>72600</v>
      </c>
      <c r="U273" s="1">
        <f>Tabla1[[#This Row],[costo_antes_iva]]*Tabla1[[#This Row],[OS-Cantidad]]</f>
        <v>72600</v>
      </c>
      <c r="V273" s="1">
        <f>Tabla1[[#This Row],[Valor total OS]]-Tabla1[[#This Row],[valor total op]]</f>
        <v>0</v>
      </c>
      <c r="W273" s="1">
        <f>ROUNDDOWN(Tabla1[[#This Row],[Diferencia]]/200000,0)*200000</f>
        <v>0</v>
      </c>
    </row>
    <row r="274" spans="1:23" hidden="1" x14ac:dyDescent="0.3">
      <c r="A274">
        <v>6383</v>
      </c>
      <c r="B274">
        <v>14</v>
      </c>
      <c r="C274" t="s">
        <v>1028</v>
      </c>
      <c r="D274">
        <v>11</v>
      </c>
      <c r="E274" t="s">
        <v>978</v>
      </c>
      <c r="F274" t="s">
        <v>1029</v>
      </c>
      <c r="G274" t="s">
        <v>1380</v>
      </c>
      <c r="H274" t="s">
        <v>961</v>
      </c>
      <c r="I274">
        <v>1</v>
      </c>
      <c r="J274">
        <v>74549428</v>
      </c>
      <c r="K274" s="2">
        <v>45959</v>
      </c>
      <c r="L274" s="1">
        <v>1100</v>
      </c>
      <c r="M274" t="s">
        <v>980</v>
      </c>
      <c r="N274" t="s">
        <v>24</v>
      </c>
      <c r="O274" t="s">
        <v>1030</v>
      </c>
      <c r="P274" s="1">
        <v>1100</v>
      </c>
      <c r="Q274">
        <v>11</v>
      </c>
      <c r="R274" t="s">
        <v>1031</v>
      </c>
      <c r="S274" s="1">
        <f>Tabla1[[#This Row],[OS-Valor Unitario]]-Tabla1[[#This Row],[costo_antes_iva]]</f>
        <v>0</v>
      </c>
      <c r="T274" s="1">
        <f>Tabla1[[#This Row],[OS-Valor Unitario]]*Tabla1[[#This Row],[OS-Cantidad]]</f>
        <v>12100</v>
      </c>
      <c r="U274" s="1">
        <f>Tabla1[[#This Row],[costo_antes_iva]]*Tabla1[[#This Row],[OS-Cantidad]]</f>
        <v>12100</v>
      </c>
      <c r="V274" s="1">
        <f>Tabla1[[#This Row],[Valor total OS]]-Tabla1[[#This Row],[valor total op]]</f>
        <v>0</v>
      </c>
      <c r="W274" s="1">
        <f>ROUNDDOWN(Tabla1[[#This Row],[Diferencia]]/200000,0)*200000</f>
        <v>0</v>
      </c>
    </row>
    <row r="275" spans="1:23" hidden="1" x14ac:dyDescent="0.3">
      <c r="A275">
        <v>6362</v>
      </c>
      <c r="B275">
        <v>4</v>
      </c>
      <c r="C275" t="s">
        <v>1335</v>
      </c>
      <c r="D275">
        <v>10</v>
      </c>
      <c r="E275" t="s">
        <v>1326</v>
      </c>
      <c r="F275" t="s">
        <v>1336</v>
      </c>
      <c r="G275" t="s">
        <v>118</v>
      </c>
      <c r="H275" t="s">
        <v>1328</v>
      </c>
      <c r="I275">
        <v>10</v>
      </c>
      <c r="J275">
        <v>74073065</v>
      </c>
      <c r="K275" s="2">
        <v>45951</v>
      </c>
      <c r="L275" s="1">
        <v>4000</v>
      </c>
      <c r="M275" t="s">
        <v>1337</v>
      </c>
      <c r="N275" t="s">
        <v>24</v>
      </c>
      <c r="O275" t="s">
        <v>1338</v>
      </c>
      <c r="P275" s="1">
        <v>4000</v>
      </c>
      <c r="Q275">
        <v>10</v>
      </c>
      <c r="R275" t="s">
        <v>1339</v>
      </c>
      <c r="S275" s="1">
        <f>Tabla1[[#This Row],[OS-Valor Unitario]]-Tabla1[[#This Row],[costo_antes_iva]]</f>
        <v>0</v>
      </c>
      <c r="T275" s="1">
        <f>Tabla1[[#This Row],[OS-Valor Unitario]]*Tabla1[[#This Row],[OS-Cantidad]]</f>
        <v>40000</v>
      </c>
      <c r="U275" s="1">
        <f>Tabla1[[#This Row],[costo_antes_iva]]*Tabla1[[#This Row],[OS-Cantidad]]</f>
        <v>40000</v>
      </c>
      <c r="V275" s="1">
        <f>Tabla1[[#This Row],[Valor total OS]]-Tabla1[[#This Row],[valor total op]]</f>
        <v>0</v>
      </c>
      <c r="W275" s="1">
        <f>ROUNDDOWN(Tabla1[[#This Row],[Diferencia]]/200000,0)*200000</f>
        <v>0</v>
      </c>
    </row>
    <row r="276" spans="1:23" hidden="1" x14ac:dyDescent="0.3">
      <c r="A276">
        <v>6540</v>
      </c>
      <c r="B276">
        <v>1</v>
      </c>
      <c r="C276" t="s">
        <v>206</v>
      </c>
      <c r="D276">
        <v>8</v>
      </c>
      <c r="E276" t="s">
        <v>207</v>
      </c>
      <c r="F276" t="s">
        <v>208</v>
      </c>
      <c r="G276" t="s">
        <v>209</v>
      </c>
      <c r="H276" t="s">
        <v>166</v>
      </c>
      <c r="I276">
        <v>1</v>
      </c>
      <c r="J276">
        <v>79234455</v>
      </c>
      <c r="K276" s="2">
        <v>46051</v>
      </c>
      <c r="L276" s="1">
        <v>1500</v>
      </c>
      <c r="M276" t="s">
        <v>210</v>
      </c>
      <c r="N276" t="s">
        <v>24</v>
      </c>
      <c r="O276" t="s">
        <v>211</v>
      </c>
      <c r="P276" s="1">
        <v>1500</v>
      </c>
      <c r="Q276">
        <v>8</v>
      </c>
      <c r="R276" t="s">
        <v>213</v>
      </c>
      <c r="S276" s="1">
        <f>Tabla1[[#This Row],[OS-Valor Unitario]]-Tabla1[[#This Row],[costo_antes_iva]]</f>
        <v>0</v>
      </c>
      <c r="T276" s="1">
        <f>Tabla1[[#This Row],[OS-Valor Unitario]]*Tabla1[[#This Row],[OS-Cantidad]]</f>
        <v>12000</v>
      </c>
      <c r="U276" s="1">
        <f>Tabla1[[#This Row],[costo_antes_iva]]*Tabla1[[#This Row],[OS-Cantidad]]</f>
        <v>12000</v>
      </c>
      <c r="V276" s="1">
        <f>Tabla1[[#This Row],[Valor total OS]]-Tabla1[[#This Row],[valor total op]]</f>
        <v>0</v>
      </c>
      <c r="W276" s="1">
        <f>ROUNDDOWN(Tabla1[[#This Row],[Diferencia]]/200000,0)*200000</f>
        <v>0</v>
      </c>
    </row>
    <row r="277" spans="1:23" hidden="1" x14ac:dyDescent="0.3">
      <c r="A277">
        <v>6540</v>
      </c>
      <c r="B277">
        <v>2</v>
      </c>
      <c r="C277" t="s">
        <v>214</v>
      </c>
      <c r="D277">
        <v>8</v>
      </c>
      <c r="E277" t="s">
        <v>207</v>
      </c>
      <c r="F277" t="s">
        <v>215</v>
      </c>
      <c r="G277" t="s">
        <v>209</v>
      </c>
      <c r="H277" t="s">
        <v>166</v>
      </c>
      <c r="I277">
        <v>1</v>
      </c>
      <c r="J277">
        <v>79234508</v>
      </c>
      <c r="K277" s="2">
        <v>46051</v>
      </c>
      <c r="L277" s="1">
        <v>1500</v>
      </c>
      <c r="M277" t="s">
        <v>210</v>
      </c>
      <c r="N277" t="s">
        <v>24</v>
      </c>
      <c r="O277" t="s">
        <v>216</v>
      </c>
      <c r="P277" s="1">
        <v>1500</v>
      </c>
      <c r="Q277">
        <v>8</v>
      </c>
      <c r="R277" t="s">
        <v>218</v>
      </c>
      <c r="S277" s="1">
        <f>Tabla1[[#This Row],[OS-Valor Unitario]]-Tabla1[[#This Row],[costo_antes_iva]]</f>
        <v>0</v>
      </c>
      <c r="T277" s="1">
        <f>Tabla1[[#This Row],[OS-Valor Unitario]]*Tabla1[[#This Row],[OS-Cantidad]]</f>
        <v>12000</v>
      </c>
      <c r="U277" s="1">
        <f>Tabla1[[#This Row],[costo_antes_iva]]*Tabla1[[#This Row],[OS-Cantidad]]</f>
        <v>12000</v>
      </c>
      <c r="V277" s="1">
        <f>Tabla1[[#This Row],[Valor total OS]]-Tabla1[[#This Row],[valor total op]]</f>
        <v>0</v>
      </c>
      <c r="W277" s="1">
        <f>ROUNDDOWN(Tabla1[[#This Row],[Diferencia]]/200000,0)*200000</f>
        <v>0</v>
      </c>
    </row>
    <row r="278" spans="1:23" hidden="1" x14ac:dyDescent="0.3">
      <c r="A278">
        <v>6540</v>
      </c>
      <c r="B278">
        <v>3</v>
      </c>
      <c r="C278" t="s">
        <v>219</v>
      </c>
      <c r="D278">
        <v>8</v>
      </c>
      <c r="E278" t="s">
        <v>207</v>
      </c>
      <c r="F278" t="s">
        <v>220</v>
      </c>
      <c r="G278" t="s">
        <v>209</v>
      </c>
      <c r="H278" t="s">
        <v>166</v>
      </c>
      <c r="I278">
        <v>1</v>
      </c>
      <c r="J278">
        <v>79234568</v>
      </c>
      <c r="K278" s="2">
        <v>46051</v>
      </c>
      <c r="L278" s="1">
        <v>1500</v>
      </c>
      <c r="M278" t="s">
        <v>210</v>
      </c>
      <c r="N278" t="s">
        <v>24</v>
      </c>
      <c r="O278" t="s">
        <v>221</v>
      </c>
      <c r="P278" s="1">
        <v>1500</v>
      </c>
      <c r="Q278">
        <v>8</v>
      </c>
      <c r="R278" t="s">
        <v>223</v>
      </c>
      <c r="S278" s="1">
        <f>Tabla1[[#This Row],[OS-Valor Unitario]]-Tabla1[[#This Row],[costo_antes_iva]]</f>
        <v>0</v>
      </c>
      <c r="T278" s="1">
        <f>Tabla1[[#This Row],[OS-Valor Unitario]]*Tabla1[[#This Row],[OS-Cantidad]]</f>
        <v>12000</v>
      </c>
      <c r="U278" s="1">
        <f>Tabla1[[#This Row],[costo_antes_iva]]*Tabla1[[#This Row],[OS-Cantidad]]</f>
        <v>12000</v>
      </c>
      <c r="V278" s="1">
        <f>Tabla1[[#This Row],[Valor total OS]]-Tabla1[[#This Row],[valor total op]]</f>
        <v>0</v>
      </c>
      <c r="W278" s="1">
        <f>ROUNDDOWN(Tabla1[[#This Row],[Diferencia]]/200000,0)*200000</f>
        <v>0</v>
      </c>
    </row>
    <row r="279" spans="1:23" hidden="1" x14ac:dyDescent="0.3">
      <c r="A279">
        <v>6488</v>
      </c>
      <c r="B279">
        <v>1</v>
      </c>
      <c r="C279" t="s">
        <v>551</v>
      </c>
      <c r="D279">
        <v>8</v>
      </c>
      <c r="E279" t="s">
        <v>552</v>
      </c>
      <c r="F279" t="s">
        <v>553</v>
      </c>
      <c r="G279" t="s">
        <v>1381</v>
      </c>
      <c r="H279" t="s">
        <v>554</v>
      </c>
      <c r="I279">
        <v>8</v>
      </c>
      <c r="J279">
        <v>77702997</v>
      </c>
      <c r="K279" s="2">
        <v>46015</v>
      </c>
      <c r="L279" s="1">
        <v>23500</v>
      </c>
      <c r="M279" t="s">
        <v>555</v>
      </c>
      <c r="N279" t="s">
        <v>51</v>
      </c>
      <c r="O279" t="s">
        <v>556</v>
      </c>
      <c r="P279" s="1">
        <v>23500</v>
      </c>
      <c r="Q279">
        <v>8</v>
      </c>
      <c r="R279" t="s">
        <v>557</v>
      </c>
      <c r="S279" s="1">
        <f>Tabla1[[#This Row],[OS-Valor Unitario]]-Tabla1[[#This Row],[costo_antes_iva]]</f>
        <v>0</v>
      </c>
      <c r="T279" s="1">
        <f>Tabla1[[#This Row],[OS-Valor Unitario]]*Tabla1[[#This Row],[OS-Cantidad]]</f>
        <v>188000</v>
      </c>
      <c r="U279" s="1">
        <f>Tabla1[[#This Row],[costo_antes_iva]]*Tabla1[[#This Row],[OS-Cantidad]]</f>
        <v>188000</v>
      </c>
      <c r="V279" s="1">
        <f>Tabla1[[#This Row],[Valor total OS]]-Tabla1[[#This Row],[valor total op]]</f>
        <v>0</v>
      </c>
      <c r="W279" s="1">
        <f>ROUNDDOWN(Tabla1[[#This Row],[Diferencia]]/200000,0)*200000</f>
        <v>0</v>
      </c>
    </row>
    <row r="280" spans="1:23" hidden="1" x14ac:dyDescent="0.3">
      <c r="A280">
        <v>6421</v>
      </c>
      <c r="B280">
        <v>2</v>
      </c>
      <c r="C280" t="s">
        <v>928</v>
      </c>
      <c r="D280">
        <v>8</v>
      </c>
      <c r="E280" t="s">
        <v>921</v>
      </c>
      <c r="F280" t="s">
        <v>929</v>
      </c>
      <c r="G280" t="s">
        <v>118</v>
      </c>
      <c r="H280" t="s">
        <v>923</v>
      </c>
      <c r="I280">
        <v>8</v>
      </c>
      <c r="J280">
        <v>75709147</v>
      </c>
      <c r="K280" s="2">
        <v>45982</v>
      </c>
      <c r="L280" s="1">
        <v>5600</v>
      </c>
      <c r="M280" t="s">
        <v>924</v>
      </c>
      <c r="N280" t="s">
        <v>24</v>
      </c>
      <c r="O280" t="s">
        <v>930</v>
      </c>
      <c r="P280" s="1">
        <v>5600</v>
      </c>
      <c r="Q280">
        <v>8</v>
      </c>
      <c r="R280" t="s">
        <v>932</v>
      </c>
      <c r="S280" s="1">
        <f>Tabla1[[#This Row],[OS-Valor Unitario]]-Tabla1[[#This Row],[costo_antes_iva]]</f>
        <v>0</v>
      </c>
      <c r="T280" s="1">
        <f>Tabla1[[#This Row],[OS-Valor Unitario]]*Tabla1[[#This Row],[OS-Cantidad]]</f>
        <v>44800</v>
      </c>
      <c r="U280" s="1">
        <f>Tabla1[[#This Row],[costo_antes_iva]]*Tabla1[[#This Row],[OS-Cantidad]]</f>
        <v>44800</v>
      </c>
      <c r="V280" s="1">
        <f>Tabla1[[#This Row],[Valor total OS]]-Tabla1[[#This Row],[valor total op]]</f>
        <v>0</v>
      </c>
      <c r="W280" s="1">
        <f>ROUNDDOWN(Tabla1[[#This Row],[Diferencia]]/200000,0)*200000</f>
        <v>0</v>
      </c>
    </row>
    <row r="281" spans="1:23" hidden="1" x14ac:dyDescent="0.3">
      <c r="A281">
        <v>6382</v>
      </c>
      <c r="B281">
        <v>1</v>
      </c>
      <c r="C281" t="s">
        <v>1033</v>
      </c>
      <c r="D281">
        <v>8</v>
      </c>
      <c r="E281" t="s">
        <v>1034</v>
      </c>
      <c r="F281" t="s">
        <v>1035</v>
      </c>
      <c r="G281" t="s">
        <v>209</v>
      </c>
      <c r="H281" t="s">
        <v>166</v>
      </c>
      <c r="I281">
        <v>1</v>
      </c>
      <c r="J281">
        <v>74603513</v>
      </c>
      <c r="K281" s="2">
        <v>45960</v>
      </c>
      <c r="L281" s="1">
        <v>1500</v>
      </c>
      <c r="M281" t="s">
        <v>1036</v>
      </c>
      <c r="N281" t="s">
        <v>24</v>
      </c>
      <c r="O281" t="s">
        <v>1037</v>
      </c>
      <c r="P281" s="1">
        <v>1500</v>
      </c>
      <c r="Q281">
        <v>8</v>
      </c>
      <c r="R281" t="s">
        <v>1039</v>
      </c>
      <c r="S281" s="1">
        <f>Tabla1[[#This Row],[OS-Valor Unitario]]-Tabla1[[#This Row],[costo_antes_iva]]</f>
        <v>0</v>
      </c>
      <c r="T281" s="1">
        <f>Tabla1[[#This Row],[OS-Valor Unitario]]*Tabla1[[#This Row],[OS-Cantidad]]</f>
        <v>12000</v>
      </c>
      <c r="U281" s="1">
        <f>Tabla1[[#This Row],[costo_antes_iva]]*Tabla1[[#This Row],[OS-Cantidad]]</f>
        <v>12000</v>
      </c>
      <c r="V281" s="1">
        <f>Tabla1[[#This Row],[Valor total OS]]-Tabla1[[#This Row],[valor total op]]</f>
        <v>0</v>
      </c>
      <c r="W281" s="1">
        <f>ROUNDDOWN(Tabla1[[#This Row],[Diferencia]]/200000,0)*200000</f>
        <v>0</v>
      </c>
    </row>
    <row r="282" spans="1:23" hidden="1" x14ac:dyDescent="0.3">
      <c r="A282">
        <v>6382</v>
      </c>
      <c r="B282">
        <v>1</v>
      </c>
      <c r="C282" t="s">
        <v>1033</v>
      </c>
      <c r="D282">
        <v>8</v>
      </c>
      <c r="E282" t="s">
        <v>1034</v>
      </c>
      <c r="F282" t="s">
        <v>1035</v>
      </c>
      <c r="G282" t="s">
        <v>209</v>
      </c>
      <c r="H282" t="s">
        <v>166</v>
      </c>
      <c r="I282">
        <v>1</v>
      </c>
      <c r="J282">
        <v>74604467</v>
      </c>
      <c r="K282" s="2">
        <v>45960</v>
      </c>
      <c r="L282" s="1">
        <v>1500</v>
      </c>
      <c r="M282" t="s">
        <v>1040</v>
      </c>
      <c r="N282" t="s">
        <v>24</v>
      </c>
      <c r="O282" t="s">
        <v>1037</v>
      </c>
      <c r="P282" s="1">
        <v>1500</v>
      </c>
      <c r="Q282">
        <v>8</v>
      </c>
      <c r="R282" t="s">
        <v>1039</v>
      </c>
      <c r="S282" s="1">
        <f>Tabla1[[#This Row],[OS-Valor Unitario]]-Tabla1[[#This Row],[costo_antes_iva]]</f>
        <v>0</v>
      </c>
      <c r="T282" s="1">
        <f>Tabla1[[#This Row],[OS-Valor Unitario]]*Tabla1[[#This Row],[OS-Cantidad]]</f>
        <v>12000</v>
      </c>
      <c r="U282" s="1">
        <f>Tabla1[[#This Row],[costo_antes_iva]]*Tabla1[[#This Row],[OS-Cantidad]]</f>
        <v>12000</v>
      </c>
      <c r="V282" s="1">
        <f>Tabla1[[#This Row],[Valor total OS]]-Tabla1[[#This Row],[valor total op]]</f>
        <v>0</v>
      </c>
      <c r="W282" s="1">
        <f>ROUNDDOWN(Tabla1[[#This Row],[Diferencia]]/200000,0)*200000</f>
        <v>0</v>
      </c>
    </row>
    <row r="283" spans="1:23" hidden="1" x14ac:dyDescent="0.3">
      <c r="A283">
        <v>6382</v>
      </c>
      <c r="B283">
        <v>2</v>
      </c>
      <c r="C283" t="s">
        <v>1041</v>
      </c>
      <c r="D283">
        <v>8</v>
      </c>
      <c r="E283" t="s">
        <v>1034</v>
      </c>
      <c r="F283" t="s">
        <v>1042</v>
      </c>
      <c r="G283" t="s">
        <v>209</v>
      </c>
      <c r="H283" t="s">
        <v>166</v>
      </c>
      <c r="I283">
        <v>1</v>
      </c>
      <c r="J283">
        <v>74603520</v>
      </c>
      <c r="K283" s="2">
        <v>45960</v>
      </c>
      <c r="L283" s="1">
        <v>1500</v>
      </c>
      <c r="M283" t="s">
        <v>1036</v>
      </c>
      <c r="N283" t="s">
        <v>24</v>
      </c>
      <c r="O283" t="s">
        <v>1043</v>
      </c>
      <c r="P283" s="1">
        <v>1500</v>
      </c>
      <c r="Q283">
        <v>8</v>
      </c>
      <c r="R283" t="s">
        <v>1045</v>
      </c>
      <c r="S283" s="1">
        <f>Tabla1[[#This Row],[OS-Valor Unitario]]-Tabla1[[#This Row],[costo_antes_iva]]</f>
        <v>0</v>
      </c>
      <c r="T283" s="1">
        <f>Tabla1[[#This Row],[OS-Valor Unitario]]*Tabla1[[#This Row],[OS-Cantidad]]</f>
        <v>12000</v>
      </c>
      <c r="U283" s="1">
        <f>Tabla1[[#This Row],[costo_antes_iva]]*Tabla1[[#This Row],[OS-Cantidad]]</f>
        <v>12000</v>
      </c>
      <c r="V283" s="1">
        <f>Tabla1[[#This Row],[Valor total OS]]-Tabla1[[#This Row],[valor total op]]</f>
        <v>0</v>
      </c>
      <c r="W283" s="1">
        <f>ROUNDDOWN(Tabla1[[#This Row],[Diferencia]]/200000,0)*200000</f>
        <v>0</v>
      </c>
    </row>
    <row r="284" spans="1:23" hidden="1" x14ac:dyDescent="0.3">
      <c r="A284">
        <v>6382</v>
      </c>
      <c r="B284">
        <v>3</v>
      </c>
      <c r="C284" t="s">
        <v>1046</v>
      </c>
      <c r="D284">
        <v>8</v>
      </c>
      <c r="E284" t="s">
        <v>1034</v>
      </c>
      <c r="F284" t="s">
        <v>1047</v>
      </c>
      <c r="G284" t="s">
        <v>209</v>
      </c>
      <c r="H284" t="s">
        <v>166</v>
      </c>
      <c r="I284">
        <v>1</v>
      </c>
      <c r="J284">
        <v>74603527</v>
      </c>
      <c r="K284" s="2">
        <v>45960</v>
      </c>
      <c r="L284" s="1">
        <v>1500</v>
      </c>
      <c r="M284" t="s">
        <v>1036</v>
      </c>
      <c r="N284" t="s">
        <v>24</v>
      </c>
      <c r="O284" t="s">
        <v>1048</v>
      </c>
      <c r="P284" s="1">
        <v>1500</v>
      </c>
      <c r="Q284">
        <v>8</v>
      </c>
      <c r="R284" t="s">
        <v>1050</v>
      </c>
      <c r="S284" s="1">
        <f>Tabla1[[#This Row],[OS-Valor Unitario]]-Tabla1[[#This Row],[costo_antes_iva]]</f>
        <v>0</v>
      </c>
      <c r="T284" s="1">
        <f>Tabla1[[#This Row],[OS-Valor Unitario]]*Tabla1[[#This Row],[OS-Cantidad]]</f>
        <v>12000</v>
      </c>
      <c r="U284" s="1">
        <f>Tabla1[[#This Row],[costo_antes_iva]]*Tabla1[[#This Row],[OS-Cantidad]]</f>
        <v>12000</v>
      </c>
      <c r="V284" s="1">
        <f>Tabla1[[#This Row],[Valor total OS]]-Tabla1[[#This Row],[valor total op]]</f>
        <v>0</v>
      </c>
      <c r="W284" s="1">
        <f>ROUNDDOWN(Tabla1[[#This Row],[Diferencia]]/200000,0)*200000</f>
        <v>0</v>
      </c>
    </row>
    <row r="285" spans="1:23" hidden="1" x14ac:dyDescent="0.3">
      <c r="A285">
        <v>6362</v>
      </c>
      <c r="B285">
        <v>2</v>
      </c>
      <c r="C285" t="s">
        <v>1325</v>
      </c>
      <c r="D285">
        <v>8</v>
      </c>
      <c r="E285" t="s">
        <v>1326</v>
      </c>
      <c r="F285" t="s">
        <v>1327</v>
      </c>
      <c r="G285" t="s">
        <v>118</v>
      </c>
      <c r="H285" t="s">
        <v>1328</v>
      </c>
      <c r="I285">
        <v>6</v>
      </c>
      <c r="J285">
        <v>74072922</v>
      </c>
      <c r="K285" s="2">
        <v>45951</v>
      </c>
      <c r="L285" s="1">
        <v>4000</v>
      </c>
      <c r="M285" t="s">
        <v>1329</v>
      </c>
      <c r="N285" t="s">
        <v>24</v>
      </c>
      <c r="O285" t="s">
        <v>1330</v>
      </c>
      <c r="P285" s="1">
        <v>4000</v>
      </c>
      <c r="Q285">
        <v>8</v>
      </c>
      <c r="R285" t="s">
        <v>1331</v>
      </c>
      <c r="S285" s="1">
        <f>Tabla1[[#This Row],[OS-Valor Unitario]]-Tabla1[[#This Row],[costo_antes_iva]]</f>
        <v>0</v>
      </c>
      <c r="T285" s="1">
        <f>Tabla1[[#This Row],[OS-Valor Unitario]]*Tabla1[[#This Row],[OS-Cantidad]]</f>
        <v>32000</v>
      </c>
      <c r="U285" s="1">
        <f>Tabla1[[#This Row],[costo_antes_iva]]*Tabla1[[#This Row],[OS-Cantidad]]</f>
        <v>32000</v>
      </c>
      <c r="V285" s="1">
        <f>Tabla1[[#This Row],[Valor total OS]]-Tabla1[[#This Row],[valor total op]]</f>
        <v>0</v>
      </c>
      <c r="W285" s="1">
        <f>ROUNDDOWN(Tabla1[[#This Row],[Diferencia]]/200000,0)*200000</f>
        <v>0</v>
      </c>
    </row>
    <row r="286" spans="1:23" hidden="1" x14ac:dyDescent="0.3">
      <c r="A286">
        <v>6492</v>
      </c>
      <c r="B286">
        <v>23</v>
      </c>
      <c r="C286" t="s">
        <v>521</v>
      </c>
      <c r="D286">
        <v>7</v>
      </c>
      <c r="E286" t="s">
        <v>418</v>
      </c>
      <c r="F286" t="s">
        <v>522</v>
      </c>
      <c r="G286" t="s">
        <v>523</v>
      </c>
      <c r="H286" t="s">
        <v>317</v>
      </c>
      <c r="I286">
        <v>7</v>
      </c>
      <c r="J286">
        <v>77864470</v>
      </c>
      <c r="K286" s="2">
        <v>46020</v>
      </c>
      <c r="L286" s="1">
        <v>900</v>
      </c>
      <c r="M286" t="s">
        <v>524</v>
      </c>
      <c r="N286" t="s">
        <v>24</v>
      </c>
      <c r="O286" t="s">
        <v>525</v>
      </c>
      <c r="P286" s="1">
        <v>900</v>
      </c>
      <c r="Q286">
        <v>7</v>
      </c>
      <c r="R286" t="s">
        <v>526</v>
      </c>
      <c r="S286" s="1">
        <f>Tabla1[[#This Row],[OS-Valor Unitario]]-Tabla1[[#This Row],[costo_antes_iva]]</f>
        <v>0</v>
      </c>
      <c r="T286" s="1">
        <f>Tabla1[[#This Row],[OS-Valor Unitario]]*Tabla1[[#This Row],[OS-Cantidad]]</f>
        <v>6300</v>
      </c>
      <c r="U286" s="1">
        <f>Tabla1[[#This Row],[costo_antes_iva]]*Tabla1[[#This Row],[OS-Cantidad]]</f>
        <v>6300</v>
      </c>
      <c r="V286" s="1">
        <f>Tabla1[[#This Row],[Valor total OS]]-Tabla1[[#This Row],[valor total op]]</f>
        <v>0</v>
      </c>
      <c r="W286" s="1">
        <f>ROUNDDOWN(Tabla1[[#This Row],[Diferencia]]/200000,0)*200000</f>
        <v>0</v>
      </c>
    </row>
    <row r="287" spans="1:23" hidden="1" x14ac:dyDescent="0.3">
      <c r="A287">
        <v>6492</v>
      </c>
      <c r="B287">
        <v>23</v>
      </c>
      <c r="C287" t="s">
        <v>521</v>
      </c>
      <c r="D287">
        <v>7</v>
      </c>
      <c r="E287" t="s">
        <v>418</v>
      </c>
      <c r="F287" t="s">
        <v>522</v>
      </c>
      <c r="G287" t="s">
        <v>1376</v>
      </c>
      <c r="H287" t="s">
        <v>317</v>
      </c>
      <c r="I287">
        <v>14</v>
      </c>
      <c r="J287">
        <v>77864464</v>
      </c>
      <c r="K287" s="2">
        <v>46020</v>
      </c>
      <c r="L287" s="1">
        <v>900</v>
      </c>
      <c r="M287" t="s">
        <v>528</v>
      </c>
      <c r="N287" t="s">
        <v>24</v>
      </c>
      <c r="O287" t="s">
        <v>525</v>
      </c>
      <c r="P287" s="1">
        <v>900</v>
      </c>
      <c r="Q287">
        <v>7</v>
      </c>
      <c r="R287" t="s">
        <v>526</v>
      </c>
      <c r="S287" s="1">
        <f>Tabla1[[#This Row],[OS-Valor Unitario]]-Tabla1[[#This Row],[costo_antes_iva]]</f>
        <v>0</v>
      </c>
      <c r="T287" s="1">
        <f>Tabla1[[#This Row],[OS-Valor Unitario]]*Tabla1[[#This Row],[OS-Cantidad]]</f>
        <v>6300</v>
      </c>
      <c r="U287" s="1">
        <f>Tabla1[[#This Row],[costo_antes_iva]]*Tabla1[[#This Row],[OS-Cantidad]]</f>
        <v>6300</v>
      </c>
      <c r="V287" s="1">
        <f>Tabla1[[#This Row],[Valor total OS]]-Tabla1[[#This Row],[valor total op]]</f>
        <v>0</v>
      </c>
      <c r="W287" s="1">
        <f>ROUNDDOWN(Tabla1[[#This Row],[Diferencia]]/200000,0)*200000</f>
        <v>0</v>
      </c>
    </row>
    <row r="288" spans="1:23" hidden="1" x14ac:dyDescent="0.3">
      <c r="A288">
        <v>6492</v>
      </c>
      <c r="B288">
        <v>23</v>
      </c>
      <c r="C288" t="s">
        <v>521</v>
      </c>
      <c r="D288">
        <v>7</v>
      </c>
      <c r="E288" t="s">
        <v>529</v>
      </c>
      <c r="F288" t="s">
        <v>522</v>
      </c>
      <c r="G288" t="s">
        <v>523</v>
      </c>
      <c r="H288" t="s">
        <v>317</v>
      </c>
      <c r="I288">
        <v>7</v>
      </c>
      <c r="J288">
        <v>77864470</v>
      </c>
      <c r="K288" s="2">
        <v>46020</v>
      </c>
      <c r="L288" s="1">
        <v>900</v>
      </c>
      <c r="M288" t="s">
        <v>524</v>
      </c>
      <c r="N288" t="s">
        <v>24</v>
      </c>
      <c r="O288" t="s">
        <v>525</v>
      </c>
      <c r="P288" s="1">
        <v>900</v>
      </c>
      <c r="Q288">
        <v>7</v>
      </c>
      <c r="R288" t="s">
        <v>526</v>
      </c>
      <c r="S288" s="1">
        <f>Tabla1[[#This Row],[OS-Valor Unitario]]-Tabla1[[#This Row],[costo_antes_iva]]</f>
        <v>0</v>
      </c>
      <c r="T288" s="1">
        <f>Tabla1[[#This Row],[OS-Valor Unitario]]*Tabla1[[#This Row],[OS-Cantidad]]</f>
        <v>6300</v>
      </c>
      <c r="U288" s="1">
        <f>Tabla1[[#This Row],[costo_antes_iva]]*Tabla1[[#This Row],[OS-Cantidad]]</f>
        <v>6300</v>
      </c>
      <c r="V288" s="1">
        <f>Tabla1[[#This Row],[Valor total OS]]-Tabla1[[#This Row],[valor total op]]</f>
        <v>0</v>
      </c>
      <c r="W288" s="1">
        <f>ROUNDDOWN(Tabla1[[#This Row],[Diferencia]]/200000,0)*200000</f>
        <v>0</v>
      </c>
    </row>
    <row r="289" spans="1:23" hidden="1" x14ac:dyDescent="0.3">
      <c r="A289">
        <v>6492</v>
      </c>
      <c r="B289">
        <v>23</v>
      </c>
      <c r="C289" t="s">
        <v>521</v>
      </c>
      <c r="D289">
        <v>7</v>
      </c>
      <c r="E289" t="s">
        <v>529</v>
      </c>
      <c r="F289" t="s">
        <v>522</v>
      </c>
      <c r="G289" t="s">
        <v>1376</v>
      </c>
      <c r="H289" t="s">
        <v>317</v>
      </c>
      <c r="I289">
        <v>14</v>
      </c>
      <c r="J289">
        <v>77864464</v>
      </c>
      <c r="K289" s="2">
        <v>46020</v>
      </c>
      <c r="L289" s="1">
        <v>900</v>
      </c>
      <c r="M289" t="s">
        <v>528</v>
      </c>
      <c r="N289" t="s">
        <v>24</v>
      </c>
      <c r="O289" t="s">
        <v>525</v>
      </c>
      <c r="P289" s="1">
        <v>900</v>
      </c>
      <c r="Q289">
        <v>7</v>
      </c>
      <c r="R289" t="s">
        <v>526</v>
      </c>
      <c r="S289" s="1">
        <f>Tabla1[[#This Row],[OS-Valor Unitario]]-Tabla1[[#This Row],[costo_antes_iva]]</f>
        <v>0</v>
      </c>
      <c r="T289" s="1">
        <f>Tabla1[[#This Row],[OS-Valor Unitario]]*Tabla1[[#This Row],[OS-Cantidad]]</f>
        <v>6300</v>
      </c>
      <c r="U289" s="1">
        <f>Tabla1[[#This Row],[costo_antes_iva]]*Tabla1[[#This Row],[OS-Cantidad]]</f>
        <v>6300</v>
      </c>
      <c r="V289" s="1">
        <f>Tabla1[[#This Row],[Valor total OS]]-Tabla1[[#This Row],[valor total op]]</f>
        <v>0</v>
      </c>
      <c r="W289" s="1">
        <f>ROUNDDOWN(Tabla1[[#This Row],[Diferencia]]/200000,0)*200000</f>
        <v>0</v>
      </c>
    </row>
    <row r="290" spans="1:23" hidden="1" x14ac:dyDescent="0.3">
      <c r="A290">
        <v>6433</v>
      </c>
      <c r="B290">
        <v>8</v>
      </c>
      <c r="C290" t="s">
        <v>865</v>
      </c>
      <c r="D290">
        <v>7</v>
      </c>
      <c r="E290" t="s">
        <v>834</v>
      </c>
      <c r="F290" t="s">
        <v>866</v>
      </c>
      <c r="G290" t="s">
        <v>336</v>
      </c>
      <c r="H290" t="s">
        <v>166</v>
      </c>
      <c r="I290">
        <v>0</v>
      </c>
      <c r="J290">
        <v>76289771</v>
      </c>
      <c r="K290" s="2">
        <v>45988</v>
      </c>
      <c r="L290" s="1">
        <v>1500</v>
      </c>
      <c r="M290" t="s">
        <v>837</v>
      </c>
      <c r="N290" t="s">
        <v>51</v>
      </c>
      <c r="O290" t="s">
        <v>867</v>
      </c>
      <c r="P290" s="1">
        <v>1500</v>
      </c>
      <c r="Q290">
        <v>7</v>
      </c>
      <c r="R290" t="s">
        <v>868</v>
      </c>
      <c r="S290" s="1">
        <f>Tabla1[[#This Row],[OS-Valor Unitario]]-Tabla1[[#This Row],[costo_antes_iva]]</f>
        <v>0</v>
      </c>
      <c r="T290" s="1">
        <f>Tabla1[[#This Row],[OS-Valor Unitario]]*Tabla1[[#This Row],[OS-Cantidad]]</f>
        <v>10500</v>
      </c>
      <c r="U290" s="1">
        <f>Tabla1[[#This Row],[costo_antes_iva]]*Tabla1[[#This Row],[OS-Cantidad]]</f>
        <v>10500</v>
      </c>
      <c r="V290" s="1">
        <f>Tabla1[[#This Row],[Valor total OS]]-Tabla1[[#This Row],[valor total op]]</f>
        <v>0</v>
      </c>
      <c r="W290" s="1">
        <f>ROUNDDOWN(Tabla1[[#This Row],[Diferencia]]/200000,0)*200000</f>
        <v>0</v>
      </c>
    </row>
    <row r="291" spans="1:23" hidden="1" x14ac:dyDescent="0.3">
      <c r="A291">
        <v>6381</v>
      </c>
      <c r="B291">
        <v>3</v>
      </c>
      <c r="C291" t="s">
        <v>1079</v>
      </c>
      <c r="D291">
        <v>6</v>
      </c>
      <c r="E291" t="s">
        <v>1068</v>
      </c>
      <c r="F291" t="s">
        <v>1075</v>
      </c>
      <c r="G291" t="s">
        <v>118</v>
      </c>
      <c r="H291" t="s">
        <v>294</v>
      </c>
      <c r="I291">
        <v>6</v>
      </c>
      <c r="J291">
        <v>74553143</v>
      </c>
      <c r="K291" s="2">
        <v>45959</v>
      </c>
      <c r="L291" s="1">
        <v>14000</v>
      </c>
      <c r="M291" t="s">
        <v>1078</v>
      </c>
      <c r="N291" t="s">
        <v>51</v>
      </c>
      <c r="O291" t="s">
        <v>1080</v>
      </c>
      <c r="P291" s="1">
        <v>14000</v>
      </c>
      <c r="Q291">
        <v>6</v>
      </c>
      <c r="R291" t="s">
        <v>1081</v>
      </c>
      <c r="S291" s="1">
        <f>Tabla1[[#This Row],[OS-Valor Unitario]]-Tabla1[[#This Row],[costo_antes_iva]]</f>
        <v>0</v>
      </c>
      <c r="T291" s="1">
        <f>Tabla1[[#This Row],[OS-Valor Unitario]]*Tabla1[[#This Row],[OS-Cantidad]]</f>
        <v>84000</v>
      </c>
      <c r="U291" s="1">
        <f>Tabla1[[#This Row],[costo_antes_iva]]*Tabla1[[#This Row],[OS-Cantidad]]</f>
        <v>84000</v>
      </c>
      <c r="V291" s="1">
        <f>Tabla1[[#This Row],[Valor total OS]]-Tabla1[[#This Row],[valor total op]]</f>
        <v>0</v>
      </c>
      <c r="W291" s="1">
        <f>ROUNDDOWN(Tabla1[[#This Row],[Diferencia]]/200000,0)*200000</f>
        <v>0</v>
      </c>
    </row>
    <row r="292" spans="1:23" hidden="1" x14ac:dyDescent="0.3">
      <c r="A292">
        <v>6379</v>
      </c>
      <c r="B292">
        <v>3</v>
      </c>
      <c r="C292" t="s">
        <v>1107</v>
      </c>
      <c r="D292">
        <v>6</v>
      </c>
      <c r="E292" t="s">
        <v>1095</v>
      </c>
      <c r="F292" t="s">
        <v>1108</v>
      </c>
      <c r="G292" t="s">
        <v>1376</v>
      </c>
      <c r="H292" t="s">
        <v>1097</v>
      </c>
      <c r="I292">
        <v>44</v>
      </c>
      <c r="J292">
        <v>74473763</v>
      </c>
      <c r="K292" s="2">
        <v>45958</v>
      </c>
      <c r="L292" s="1">
        <v>1400</v>
      </c>
      <c r="M292" t="s">
        <v>1098</v>
      </c>
      <c r="N292" t="s">
        <v>24</v>
      </c>
      <c r="O292" t="s">
        <v>1110</v>
      </c>
      <c r="P292" s="1">
        <v>1400</v>
      </c>
      <c r="Q292">
        <v>6</v>
      </c>
      <c r="R292" t="s">
        <v>1111</v>
      </c>
      <c r="S292" s="1">
        <f>Tabla1[[#This Row],[OS-Valor Unitario]]-Tabla1[[#This Row],[costo_antes_iva]]</f>
        <v>0</v>
      </c>
      <c r="T292" s="1">
        <f>Tabla1[[#This Row],[OS-Valor Unitario]]*Tabla1[[#This Row],[OS-Cantidad]]</f>
        <v>8400</v>
      </c>
      <c r="U292" s="1">
        <f>Tabla1[[#This Row],[costo_antes_iva]]*Tabla1[[#This Row],[OS-Cantidad]]</f>
        <v>8400</v>
      </c>
      <c r="V292" s="1">
        <f>Tabla1[[#This Row],[Valor total OS]]-Tabla1[[#This Row],[valor total op]]</f>
        <v>0</v>
      </c>
      <c r="W292" s="1">
        <f>ROUNDDOWN(Tabla1[[#This Row],[Diferencia]]/200000,0)*200000</f>
        <v>0</v>
      </c>
    </row>
    <row r="293" spans="1:23" hidden="1" x14ac:dyDescent="0.3">
      <c r="A293">
        <v>6362</v>
      </c>
      <c r="B293">
        <v>3</v>
      </c>
      <c r="C293" t="s">
        <v>1332</v>
      </c>
      <c r="D293">
        <v>6</v>
      </c>
      <c r="E293" t="s">
        <v>1326</v>
      </c>
      <c r="F293" t="s">
        <v>1327</v>
      </c>
      <c r="G293" t="s">
        <v>118</v>
      </c>
      <c r="H293" t="s">
        <v>1328</v>
      </c>
      <c r="I293">
        <v>6</v>
      </c>
      <c r="J293">
        <v>74072922</v>
      </c>
      <c r="K293" s="2">
        <v>45951</v>
      </c>
      <c r="L293" s="1">
        <v>4000</v>
      </c>
      <c r="M293" t="s">
        <v>1329</v>
      </c>
      <c r="N293" t="s">
        <v>24</v>
      </c>
      <c r="O293" t="s">
        <v>1333</v>
      </c>
      <c r="P293" s="1">
        <v>4000</v>
      </c>
      <c r="Q293">
        <v>6</v>
      </c>
      <c r="R293" t="s">
        <v>1334</v>
      </c>
      <c r="S293" s="1">
        <f>Tabla1[[#This Row],[OS-Valor Unitario]]-Tabla1[[#This Row],[costo_antes_iva]]</f>
        <v>0</v>
      </c>
      <c r="T293" s="1">
        <f>Tabla1[[#This Row],[OS-Valor Unitario]]*Tabla1[[#This Row],[OS-Cantidad]]</f>
        <v>24000</v>
      </c>
      <c r="U293" s="1">
        <f>Tabla1[[#This Row],[costo_antes_iva]]*Tabla1[[#This Row],[OS-Cantidad]]</f>
        <v>24000</v>
      </c>
      <c r="V293" s="1">
        <f>Tabla1[[#This Row],[Valor total OS]]-Tabla1[[#This Row],[valor total op]]</f>
        <v>0</v>
      </c>
      <c r="W293" s="1">
        <f>ROUNDDOWN(Tabla1[[#This Row],[Diferencia]]/200000,0)*200000</f>
        <v>0</v>
      </c>
    </row>
    <row r="294" spans="1:23" hidden="1" x14ac:dyDescent="0.3">
      <c r="A294">
        <v>6376</v>
      </c>
      <c r="B294">
        <v>6</v>
      </c>
      <c r="C294" t="s">
        <v>1209</v>
      </c>
      <c r="D294">
        <v>5</v>
      </c>
      <c r="E294" t="s">
        <v>1188</v>
      </c>
      <c r="F294" t="s">
        <v>1210</v>
      </c>
      <c r="G294" t="s">
        <v>738</v>
      </c>
      <c r="H294" t="s">
        <v>166</v>
      </c>
      <c r="I294">
        <v>1</v>
      </c>
      <c r="J294">
        <v>74394200</v>
      </c>
      <c r="K294" s="2">
        <v>45957</v>
      </c>
      <c r="L294" s="1">
        <v>16000</v>
      </c>
      <c r="M294" t="s">
        <v>1190</v>
      </c>
      <c r="N294" t="s">
        <v>51</v>
      </c>
      <c r="O294" t="s">
        <v>1211</v>
      </c>
      <c r="P294" s="1">
        <v>16000</v>
      </c>
      <c r="Q294">
        <v>5</v>
      </c>
      <c r="R294" t="s">
        <v>1212</v>
      </c>
      <c r="S294" s="1">
        <f>Tabla1[[#This Row],[OS-Valor Unitario]]-Tabla1[[#This Row],[costo_antes_iva]]</f>
        <v>0</v>
      </c>
      <c r="T294" s="1">
        <f>Tabla1[[#This Row],[OS-Valor Unitario]]*Tabla1[[#This Row],[OS-Cantidad]]</f>
        <v>80000</v>
      </c>
      <c r="U294" s="1">
        <f>Tabla1[[#This Row],[costo_antes_iva]]*Tabla1[[#This Row],[OS-Cantidad]]</f>
        <v>80000</v>
      </c>
      <c r="V294" s="1">
        <f>Tabla1[[#This Row],[Valor total OS]]-Tabla1[[#This Row],[valor total op]]</f>
        <v>0</v>
      </c>
      <c r="W294" s="1">
        <f>ROUNDDOWN(Tabla1[[#This Row],[Diferencia]]/200000,0)*200000</f>
        <v>0</v>
      </c>
    </row>
    <row r="295" spans="1:23" hidden="1" x14ac:dyDescent="0.3">
      <c r="A295">
        <v>6492</v>
      </c>
      <c r="B295">
        <v>16</v>
      </c>
      <c r="C295" t="s">
        <v>486</v>
      </c>
      <c r="D295">
        <v>4</v>
      </c>
      <c r="E295" t="s">
        <v>418</v>
      </c>
      <c r="F295" t="s">
        <v>487</v>
      </c>
      <c r="G295" t="s">
        <v>1376</v>
      </c>
      <c r="H295" t="s">
        <v>317</v>
      </c>
      <c r="I295">
        <v>4</v>
      </c>
      <c r="J295">
        <v>77864662</v>
      </c>
      <c r="K295" s="2">
        <v>46020</v>
      </c>
      <c r="L295" s="1">
        <v>900</v>
      </c>
      <c r="M295" t="s">
        <v>420</v>
      </c>
      <c r="N295" t="s">
        <v>24</v>
      </c>
      <c r="O295" t="s">
        <v>488</v>
      </c>
      <c r="P295" s="1">
        <v>900</v>
      </c>
      <c r="Q295">
        <v>4</v>
      </c>
      <c r="R295" t="s">
        <v>490</v>
      </c>
      <c r="S295" s="1">
        <f>Tabla1[[#This Row],[OS-Valor Unitario]]-Tabla1[[#This Row],[costo_antes_iva]]</f>
        <v>0</v>
      </c>
      <c r="T295" s="1">
        <f>Tabla1[[#This Row],[OS-Valor Unitario]]*Tabla1[[#This Row],[OS-Cantidad]]</f>
        <v>3600</v>
      </c>
      <c r="U295" s="1">
        <f>Tabla1[[#This Row],[costo_antes_iva]]*Tabla1[[#This Row],[OS-Cantidad]]</f>
        <v>3600</v>
      </c>
      <c r="V295" s="1">
        <f>Tabla1[[#This Row],[Valor total OS]]-Tabla1[[#This Row],[valor total op]]</f>
        <v>0</v>
      </c>
      <c r="W295" s="1">
        <f>ROUNDDOWN(Tabla1[[#This Row],[Diferencia]]/200000,0)*200000</f>
        <v>0</v>
      </c>
    </row>
    <row r="296" spans="1:23" hidden="1" x14ac:dyDescent="0.3">
      <c r="A296">
        <v>6492</v>
      </c>
      <c r="B296">
        <v>16</v>
      </c>
      <c r="C296" t="s">
        <v>486</v>
      </c>
      <c r="D296">
        <v>4</v>
      </c>
      <c r="E296" t="s">
        <v>529</v>
      </c>
      <c r="F296" t="s">
        <v>487</v>
      </c>
      <c r="G296" t="s">
        <v>1376</v>
      </c>
      <c r="H296" t="s">
        <v>317</v>
      </c>
      <c r="I296">
        <v>4</v>
      </c>
      <c r="J296">
        <v>77864662</v>
      </c>
      <c r="K296" s="2">
        <v>46020</v>
      </c>
      <c r="L296" s="1">
        <v>900</v>
      </c>
      <c r="M296" t="s">
        <v>420</v>
      </c>
      <c r="N296" t="s">
        <v>24</v>
      </c>
      <c r="O296" t="s">
        <v>488</v>
      </c>
      <c r="P296" s="1">
        <v>900</v>
      </c>
      <c r="Q296">
        <v>4</v>
      </c>
      <c r="R296" t="s">
        <v>490</v>
      </c>
      <c r="S296" s="1">
        <f>Tabla1[[#This Row],[OS-Valor Unitario]]-Tabla1[[#This Row],[costo_antes_iva]]</f>
        <v>0</v>
      </c>
      <c r="T296" s="1">
        <f>Tabla1[[#This Row],[OS-Valor Unitario]]*Tabla1[[#This Row],[OS-Cantidad]]</f>
        <v>3600</v>
      </c>
      <c r="U296" s="1">
        <f>Tabla1[[#This Row],[costo_antes_iva]]*Tabla1[[#This Row],[OS-Cantidad]]</f>
        <v>3600</v>
      </c>
      <c r="V296" s="1">
        <f>Tabla1[[#This Row],[Valor total OS]]-Tabla1[[#This Row],[valor total op]]</f>
        <v>0</v>
      </c>
      <c r="W296" s="1">
        <f>ROUNDDOWN(Tabla1[[#This Row],[Diferencia]]/200000,0)*200000</f>
        <v>0</v>
      </c>
    </row>
    <row r="297" spans="1:23" hidden="1" x14ac:dyDescent="0.3">
      <c r="A297">
        <v>6421</v>
      </c>
      <c r="B297">
        <v>5</v>
      </c>
      <c r="C297" t="s">
        <v>944</v>
      </c>
      <c r="D297">
        <v>4</v>
      </c>
      <c r="E297" t="s">
        <v>921</v>
      </c>
      <c r="F297" t="s">
        <v>939</v>
      </c>
      <c r="G297" t="s">
        <v>118</v>
      </c>
      <c r="H297" t="s">
        <v>923</v>
      </c>
      <c r="I297">
        <v>4</v>
      </c>
      <c r="J297">
        <v>75711349</v>
      </c>
      <c r="K297" s="2">
        <v>45982</v>
      </c>
      <c r="L297" s="1">
        <v>5000</v>
      </c>
      <c r="M297" t="s">
        <v>943</v>
      </c>
      <c r="N297" t="s">
        <v>24</v>
      </c>
      <c r="O297" t="s">
        <v>945</v>
      </c>
      <c r="P297" s="1">
        <v>5000</v>
      </c>
      <c r="Q297">
        <v>4</v>
      </c>
      <c r="R297" t="s">
        <v>947</v>
      </c>
      <c r="S297" s="1">
        <f>Tabla1[[#This Row],[OS-Valor Unitario]]-Tabla1[[#This Row],[costo_antes_iva]]</f>
        <v>0</v>
      </c>
      <c r="T297" s="1">
        <f>Tabla1[[#This Row],[OS-Valor Unitario]]*Tabla1[[#This Row],[OS-Cantidad]]</f>
        <v>20000</v>
      </c>
      <c r="U297" s="1">
        <f>Tabla1[[#This Row],[costo_antes_iva]]*Tabla1[[#This Row],[OS-Cantidad]]</f>
        <v>20000</v>
      </c>
      <c r="V297" s="1">
        <f>Tabla1[[#This Row],[Valor total OS]]-Tabla1[[#This Row],[valor total op]]</f>
        <v>0</v>
      </c>
      <c r="W297" s="1">
        <f>ROUNDDOWN(Tabla1[[#This Row],[Diferencia]]/200000,0)*200000</f>
        <v>0</v>
      </c>
    </row>
    <row r="298" spans="1:23" hidden="1" x14ac:dyDescent="0.3">
      <c r="A298">
        <v>6378</v>
      </c>
      <c r="B298">
        <v>3</v>
      </c>
      <c r="C298" t="s">
        <v>1153</v>
      </c>
      <c r="D298">
        <v>4</v>
      </c>
      <c r="E298" t="s">
        <v>1141</v>
      </c>
      <c r="F298" t="s">
        <v>1154</v>
      </c>
      <c r="G298" t="s">
        <v>1143</v>
      </c>
      <c r="H298" t="s">
        <v>166</v>
      </c>
      <c r="I298">
        <v>1</v>
      </c>
      <c r="J298">
        <v>74463519</v>
      </c>
      <c r="K298" s="2">
        <v>45958</v>
      </c>
      <c r="L298" s="1">
        <v>9500</v>
      </c>
      <c r="M298" t="s">
        <v>1155</v>
      </c>
      <c r="N298" t="s">
        <v>51</v>
      </c>
      <c r="O298" t="s">
        <v>1156</v>
      </c>
      <c r="P298" s="1">
        <v>9500</v>
      </c>
      <c r="Q298">
        <v>4</v>
      </c>
      <c r="R298" t="s">
        <v>1157</v>
      </c>
      <c r="S298" s="1">
        <f>Tabla1[[#This Row],[OS-Valor Unitario]]-Tabla1[[#This Row],[costo_antes_iva]]</f>
        <v>0</v>
      </c>
      <c r="T298" s="1">
        <f>Tabla1[[#This Row],[OS-Valor Unitario]]*Tabla1[[#This Row],[OS-Cantidad]]</f>
        <v>38000</v>
      </c>
      <c r="U298" s="1">
        <f>Tabla1[[#This Row],[costo_antes_iva]]*Tabla1[[#This Row],[OS-Cantidad]]</f>
        <v>38000</v>
      </c>
      <c r="V298" s="1">
        <f>Tabla1[[#This Row],[Valor total OS]]-Tabla1[[#This Row],[valor total op]]</f>
        <v>0</v>
      </c>
      <c r="W298" s="1">
        <f>ROUNDDOWN(Tabla1[[#This Row],[Diferencia]]/200000,0)*200000</f>
        <v>0</v>
      </c>
    </row>
    <row r="299" spans="1:23" hidden="1" x14ac:dyDescent="0.3">
      <c r="A299">
        <v>6376</v>
      </c>
      <c r="B299">
        <v>11</v>
      </c>
      <c r="C299" t="s">
        <v>1222</v>
      </c>
      <c r="D299">
        <v>4</v>
      </c>
      <c r="E299" t="s">
        <v>1188</v>
      </c>
      <c r="F299" t="s">
        <v>1223</v>
      </c>
      <c r="G299" t="s">
        <v>165</v>
      </c>
      <c r="H299" t="s">
        <v>166</v>
      </c>
      <c r="I299">
        <v>1</v>
      </c>
      <c r="J299">
        <v>74394291</v>
      </c>
      <c r="K299" s="2">
        <v>45957</v>
      </c>
      <c r="L299" s="1">
        <v>10000</v>
      </c>
      <c r="M299" t="s">
        <v>1190</v>
      </c>
      <c r="N299" t="s">
        <v>51</v>
      </c>
      <c r="O299" t="s">
        <v>1224</v>
      </c>
      <c r="P299" s="1">
        <v>10000</v>
      </c>
      <c r="Q299">
        <v>4</v>
      </c>
      <c r="R299" t="s">
        <v>1225</v>
      </c>
      <c r="S299" s="1">
        <f>Tabla1[[#This Row],[OS-Valor Unitario]]-Tabla1[[#This Row],[costo_antes_iva]]</f>
        <v>0</v>
      </c>
      <c r="T299" s="1">
        <f>Tabla1[[#This Row],[OS-Valor Unitario]]*Tabla1[[#This Row],[OS-Cantidad]]</f>
        <v>40000</v>
      </c>
      <c r="U299" s="1">
        <f>Tabla1[[#This Row],[costo_antes_iva]]*Tabla1[[#This Row],[OS-Cantidad]]</f>
        <v>40000</v>
      </c>
      <c r="V299" s="1">
        <f>Tabla1[[#This Row],[Valor total OS]]-Tabla1[[#This Row],[valor total op]]</f>
        <v>0</v>
      </c>
      <c r="W299" s="1">
        <f>ROUNDDOWN(Tabla1[[#This Row],[Diferencia]]/200000,0)*200000</f>
        <v>0</v>
      </c>
    </row>
    <row r="300" spans="1:23" hidden="1" x14ac:dyDescent="0.3">
      <c r="A300">
        <v>6376</v>
      </c>
      <c r="B300">
        <v>12</v>
      </c>
      <c r="C300" t="s">
        <v>1226</v>
      </c>
      <c r="D300">
        <v>4</v>
      </c>
      <c r="E300" t="s">
        <v>1188</v>
      </c>
      <c r="F300" t="s">
        <v>1227</v>
      </c>
      <c r="G300" t="s">
        <v>165</v>
      </c>
      <c r="H300" t="s">
        <v>166</v>
      </c>
      <c r="I300">
        <v>1</v>
      </c>
      <c r="J300">
        <v>74394496</v>
      </c>
      <c r="K300" s="2">
        <v>45957</v>
      </c>
      <c r="L300" s="1">
        <v>10000</v>
      </c>
      <c r="M300" t="s">
        <v>1190</v>
      </c>
      <c r="N300" t="s">
        <v>51</v>
      </c>
      <c r="O300" t="s">
        <v>1228</v>
      </c>
      <c r="P300" s="1">
        <v>10000</v>
      </c>
      <c r="Q300">
        <v>4</v>
      </c>
      <c r="R300" t="s">
        <v>1229</v>
      </c>
      <c r="S300" s="1">
        <f>Tabla1[[#This Row],[OS-Valor Unitario]]-Tabla1[[#This Row],[costo_antes_iva]]</f>
        <v>0</v>
      </c>
      <c r="T300" s="1">
        <f>Tabla1[[#This Row],[OS-Valor Unitario]]*Tabla1[[#This Row],[OS-Cantidad]]</f>
        <v>40000</v>
      </c>
      <c r="U300" s="1">
        <f>Tabla1[[#This Row],[costo_antes_iva]]*Tabla1[[#This Row],[OS-Cantidad]]</f>
        <v>40000</v>
      </c>
      <c r="V300" s="1">
        <f>Tabla1[[#This Row],[Valor total OS]]-Tabla1[[#This Row],[valor total op]]</f>
        <v>0</v>
      </c>
      <c r="W300" s="1">
        <f>ROUNDDOWN(Tabla1[[#This Row],[Diferencia]]/200000,0)*200000</f>
        <v>0</v>
      </c>
    </row>
    <row r="301" spans="1:23" hidden="1" x14ac:dyDescent="0.3">
      <c r="A301">
        <v>6376</v>
      </c>
      <c r="B301">
        <v>13</v>
      </c>
      <c r="C301" t="s">
        <v>1230</v>
      </c>
      <c r="D301">
        <v>4</v>
      </c>
      <c r="E301" t="s">
        <v>1188</v>
      </c>
      <c r="F301" t="s">
        <v>1231</v>
      </c>
      <c r="G301" t="s">
        <v>165</v>
      </c>
      <c r="H301" t="s">
        <v>166</v>
      </c>
      <c r="I301">
        <v>1</v>
      </c>
      <c r="J301">
        <v>74394506</v>
      </c>
      <c r="K301" s="2">
        <v>45957</v>
      </c>
      <c r="L301" s="1">
        <v>10000</v>
      </c>
      <c r="M301" t="s">
        <v>1190</v>
      </c>
      <c r="N301" t="s">
        <v>51</v>
      </c>
      <c r="O301" t="s">
        <v>1232</v>
      </c>
      <c r="P301" s="1">
        <v>10000</v>
      </c>
      <c r="Q301">
        <v>4</v>
      </c>
      <c r="R301" t="s">
        <v>1233</v>
      </c>
      <c r="S301" s="1">
        <f>Tabla1[[#This Row],[OS-Valor Unitario]]-Tabla1[[#This Row],[costo_antes_iva]]</f>
        <v>0</v>
      </c>
      <c r="T301" s="1">
        <f>Tabla1[[#This Row],[OS-Valor Unitario]]*Tabla1[[#This Row],[OS-Cantidad]]</f>
        <v>40000</v>
      </c>
      <c r="U301" s="1">
        <f>Tabla1[[#This Row],[costo_antes_iva]]*Tabla1[[#This Row],[OS-Cantidad]]</f>
        <v>40000</v>
      </c>
      <c r="V301" s="1">
        <f>Tabla1[[#This Row],[Valor total OS]]-Tabla1[[#This Row],[valor total op]]</f>
        <v>0</v>
      </c>
      <c r="W301" s="1">
        <f>ROUNDDOWN(Tabla1[[#This Row],[Diferencia]]/200000,0)*200000</f>
        <v>0</v>
      </c>
    </row>
    <row r="302" spans="1:23" hidden="1" x14ac:dyDescent="0.3">
      <c r="A302">
        <v>6540</v>
      </c>
      <c r="B302">
        <v>4</v>
      </c>
      <c r="C302" t="s">
        <v>224</v>
      </c>
      <c r="D302">
        <v>3</v>
      </c>
      <c r="E302" t="s">
        <v>207</v>
      </c>
      <c r="F302" t="s">
        <v>225</v>
      </c>
      <c r="G302" t="s">
        <v>209</v>
      </c>
      <c r="H302" t="s">
        <v>166</v>
      </c>
      <c r="I302">
        <v>1</v>
      </c>
      <c r="J302">
        <v>79234576</v>
      </c>
      <c r="K302" s="2">
        <v>46051</v>
      </c>
      <c r="L302" s="1">
        <v>1500</v>
      </c>
      <c r="M302" t="s">
        <v>210</v>
      </c>
      <c r="N302" t="s">
        <v>24</v>
      </c>
      <c r="O302" t="s">
        <v>226</v>
      </c>
      <c r="P302" s="1">
        <v>1500</v>
      </c>
      <c r="Q302">
        <v>3</v>
      </c>
      <c r="R302" t="s">
        <v>228</v>
      </c>
      <c r="S302" s="1">
        <f>Tabla1[[#This Row],[OS-Valor Unitario]]-Tabla1[[#This Row],[costo_antes_iva]]</f>
        <v>0</v>
      </c>
      <c r="T302" s="1">
        <f>Tabla1[[#This Row],[OS-Valor Unitario]]*Tabla1[[#This Row],[OS-Cantidad]]</f>
        <v>4500</v>
      </c>
      <c r="U302" s="1">
        <f>Tabla1[[#This Row],[costo_antes_iva]]*Tabla1[[#This Row],[OS-Cantidad]]</f>
        <v>4500</v>
      </c>
      <c r="V302" s="1">
        <f>Tabla1[[#This Row],[Valor total OS]]-Tabla1[[#This Row],[valor total op]]</f>
        <v>0</v>
      </c>
      <c r="W302" s="1">
        <f>ROUNDDOWN(Tabla1[[#This Row],[Diferencia]]/200000,0)*200000</f>
        <v>0</v>
      </c>
    </row>
    <row r="303" spans="1:23" hidden="1" x14ac:dyDescent="0.3">
      <c r="A303">
        <v>6540</v>
      </c>
      <c r="B303">
        <v>5</v>
      </c>
      <c r="C303" t="s">
        <v>229</v>
      </c>
      <c r="D303">
        <v>3</v>
      </c>
      <c r="E303" t="s">
        <v>207</v>
      </c>
      <c r="F303" t="s">
        <v>230</v>
      </c>
      <c r="G303" t="s">
        <v>209</v>
      </c>
      <c r="H303" t="s">
        <v>166</v>
      </c>
      <c r="I303">
        <v>1</v>
      </c>
      <c r="J303">
        <v>79234584</v>
      </c>
      <c r="K303" s="2">
        <v>46051</v>
      </c>
      <c r="L303" s="1">
        <v>1500</v>
      </c>
      <c r="M303" t="s">
        <v>210</v>
      </c>
      <c r="N303" t="s">
        <v>24</v>
      </c>
      <c r="O303" t="s">
        <v>231</v>
      </c>
      <c r="P303" s="1">
        <v>1500</v>
      </c>
      <c r="Q303">
        <v>3</v>
      </c>
      <c r="R303" t="s">
        <v>233</v>
      </c>
      <c r="S303" s="1">
        <f>Tabla1[[#This Row],[OS-Valor Unitario]]-Tabla1[[#This Row],[costo_antes_iva]]</f>
        <v>0</v>
      </c>
      <c r="T303" s="1">
        <f>Tabla1[[#This Row],[OS-Valor Unitario]]*Tabla1[[#This Row],[OS-Cantidad]]</f>
        <v>4500</v>
      </c>
      <c r="U303" s="1">
        <f>Tabla1[[#This Row],[costo_antes_iva]]*Tabla1[[#This Row],[OS-Cantidad]]</f>
        <v>4500</v>
      </c>
      <c r="V303" s="1">
        <f>Tabla1[[#This Row],[Valor total OS]]-Tabla1[[#This Row],[valor total op]]</f>
        <v>0</v>
      </c>
      <c r="W303" s="1">
        <f>ROUNDDOWN(Tabla1[[#This Row],[Diferencia]]/200000,0)*200000</f>
        <v>0</v>
      </c>
    </row>
    <row r="304" spans="1:23" hidden="1" x14ac:dyDescent="0.3">
      <c r="A304">
        <v>6540</v>
      </c>
      <c r="B304">
        <v>6</v>
      </c>
      <c r="C304" t="s">
        <v>234</v>
      </c>
      <c r="D304">
        <v>3</v>
      </c>
      <c r="E304" t="s">
        <v>207</v>
      </c>
      <c r="F304" t="s">
        <v>235</v>
      </c>
      <c r="G304" t="s">
        <v>209</v>
      </c>
      <c r="H304" t="s">
        <v>166</v>
      </c>
      <c r="I304">
        <v>1</v>
      </c>
      <c r="J304">
        <v>79234591</v>
      </c>
      <c r="K304" s="2">
        <v>46051</v>
      </c>
      <c r="L304" s="1">
        <v>1500</v>
      </c>
      <c r="M304" t="s">
        <v>210</v>
      </c>
      <c r="N304" t="s">
        <v>24</v>
      </c>
      <c r="O304" t="s">
        <v>236</v>
      </c>
      <c r="P304" s="1">
        <v>1500</v>
      </c>
      <c r="Q304">
        <v>3</v>
      </c>
      <c r="R304" t="s">
        <v>238</v>
      </c>
      <c r="S304" s="1">
        <f>Tabla1[[#This Row],[OS-Valor Unitario]]-Tabla1[[#This Row],[costo_antes_iva]]</f>
        <v>0</v>
      </c>
      <c r="T304" s="1">
        <f>Tabla1[[#This Row],[OS-Valor Unitario]]*Tabla1[[#This Row],[OS-Cantidad]]</f>
        <v>4500</v>
      </c>
      <c r="U304" s="1">
        <f>Tabla1[[#This Row],[costo_antes_iva]]*Tabla1[[#This Row],[OS-Cantidad]]</f>
        <v>4500</v>
      </c>
      <c r="V304" s="1">
        <f>Tabla1[[#This Row],[Valor total OS]]-Tabla1[[#This Row],[valor total op]]</f>
        <v>0</v>
      </c>
      <c r="W304" s="1">
        <f>ROUNDDOWN(Tabla1[[#This Row],[Diferencia]]/200000,0)*200000</f>
        <v>0</v>
      </c>
    </row>
    <row r="305" spans="1:23" hidden="1" x14ac:dyDescent="0.3">
      <c r="A305">
        <v>6382</v>
      </c>
      <c r="B305">
        <v>4</v>
      </c>
      <c r="C305" t="s">
        <v>1051</v>
      </c>
      <c r="D305">
        <v>2</v>
      </c>
      <c r="E305" t="s">
        <v>1034</v>
      </c>
      <c r="F305" t="s">
        <v>1052</v>
      </c>
      <c r="G305" t="s">
        <v>209</v>
      </c>
      <c r="H305" t="s">
        <v>166</v>
      </c>
      <c r="I305">
        <v>1</v>
      </c>
      <c r="J305">
        <v>74604447</v>
      </c>
      <c r="K305" s="2">
        <v>45960</v>
      </c>
      <c r="L305" s="1">
        <v>1500</v>
      </c>
      <c r="M305" t="s">
        <v>1053</v>
      </c>
      <c r="N305" t="s">
        <v>24</v>
      </c>
      <c r="O305" t="s">
        <v>1054</v>
      </c>
      <c r="P305" s="1">
        <v>1500</v>
      </c>
      <c r="Q305">
        <v>2</v>
      </c>
      <c r="R305" t="s">
        <v>1056</v>
      </c>
      <c r="S305" s="1">
        <f>Tabla1[[#This Row],[OS-Valor Unitario]]-Tabla1[[#This Row],[costo_antes_iva]]</f>
        <v>0</v>
      </c>
      <c r="T305" s="1">
        <f>Tabla1[[#This Row],[OS-Valor Unitario]]*Tabla1[[#This Row],[OS-Cantidad]]</f>
        <v>3000</v>
      </c>
      <c r="U305" s="1">
        <f>Tabla1[[#This Row],[costo_antes_iva]]*Tabla1[[#This Row],[OS-Cantidad]]</f>
        <v>3000</v>
      </c>
      <c r="V305" s="1">
        <f>Tabla1[[#This Row],[Valor total OS]]-Tabla1[[#This Row],[valor total op]]</f>
        <v>0</v>
      </c>
      <c r="W305" s="1">
        <f>ROUNDDOWN(Tabla1[[#This Row],[Diferencia]]/200000,0)*200000</f>
        <v>0</v>
      </c>
    </row>
    <row r="306" spans="1:23" hidden="1" x14ac:dyDescent="0.3">
      <c r="A306">
        <v>6382</v>
      </c>
      <c r="B306">
        <v>5</v>
      </c>
      <c r="C306" t="s">
        <v>1057</v>
      </c>
      <c r="D306">
        <v>2</v>
      </c>
      <c r="E306" t="s">
        <v>1034</v>
      </c>
      <c r="F306" t="s">
        <v>1058</v>
      </c>
      <c r="G306" t="s">
        <v>209</v>
      </c>
      <c r="H306" t="s">
        <v>166</v>
      </c>
      <c r="I306">
        <v>1</v>
      </c>
      <c r="J306">
        <v>74604459</v>
      </c>
      <c r="K306" s="2">
        <v>45960</v>
      </c>
      <c r="L306" s="1">
        <v>1500</v>
      </c>
      <c r="M306" t="s">
        <v>1059</v>
      </c>
      <c r="N306" t="s">
        <v>24</v>
      </c>
      <c r="O306" t="s">
        <v>1060</v>
      </c>
      <c r="P306" s="1">
        <v>1500</v>
      </c>
      <c r="Q306">
        <v>2</v>
      </c>
      <c r="R306" t="s">
        <v>1062</v>
      </c>
      <c r="S306" s="1">
        <f>Tabla1[[#This Row],[OS-Valor Unitario]]-Tabla1[[#This Row],[costo_antes_iva]]</f>
        <v>0</v>
      </c>
      <c r="T306" s="1">
        <f>Tabla1[[#This Row],[OS-Valor Unitario]]*Tabla1[[#This Row],[OS-Cantidad]]</f>
        <v>3000</v>
      </c>
      <c r="U306" s="1">
        <f>Tabla1[[#This Row],[costo_antes_iva]]*Tabla1[[#This Row],[OS-Cantidad]]</f>
        <v>3000</v>
      </c>
      <c r="V306" s="1">
        <f>Tabla1[[#This Row],[Valor total OS]]-Tabla1[[#This Row],[valor total op]]</f>
        <v>0</v>
      </c>
      <c r="W306" s="1">
        <f>ROUNDDOWN(Tabla1[[#This Row],[Diferencia]]/200000,0)*200000</f>
        <v>0</v>
      </c>
    </row>
    <row r="307" spans="1:23" hidden="1" x14ac:dyDescent="0.3">
      <c r="A307">
        <v>6382</v>
      </c>
      <c r="B307">
        <v>6</v>
      </c>
      <c r="C307" t="s">
        <v>1063</v>
      </c>
      <c r="D307">
        <v>2</v>
      </c>
      <c r="E307" t="s">
        <v>1034</v>
      </c>
      <c r="F307" t="s">
        <v>1035</v>
      </c>
      <c r="G307" t="s">
        <v>209</v>
      </c>
      <c r="H307" t="s">
        <v>166</v>
      </c>
      <c r="I307">
        <v>1</v>
      </c>
      <c r="J307">
        <v>74603513</v>
      </c>
      <c r="K307" s="2">
        <v>45960</v>
      </c>
      <c r="L307" s="1">
        <v>1500</v>
      </c>
      <c r="M307" t="s">
        <v>1036</v>
      </c>
      <c r="N307" t="s">
        <v>24</v>
      </c>
      <c r="O307" t="s">
        <v>1064</v>
      </c>
      <c r="P307" s="1">
        <v>1500</v>
      </c>
      <c r="Q307">
        <v>2</v>
      </c>
      <c r="R307" t="s">
        <v>1066</v>
      </c>
      <c r="S307" s="1">
        <f>Tabla1[[#This Row],[OS-Valor Unitario]]-Tabla1[[#This Row],[costo_antes_iva]]</f>
        <v>0</v>
      </c>
      <c r="T307" s="1">
        <f>Tabla1[[#This Row],[OS-Valor Unitario]]*Tabla1[[#This Row],[OS-Cantidad]]</f>
        <v>3000</v>
      </c>
      <c r="U307" s="1">
        <f>Tabla1[[#This Row],[costo_antes_iva]]*Tabla1[[#This Row],[OS-Cantidad]]</f>
        <v>3000</v>
      </c>
      <c r="V307" s="1">
        <f>Tabla1[[#This Row],[Valor total OS]]-Tabla1[[#This Row],[valor total op]]</f>
        <v>0</v>
      </c>
      <c r="W307" s="1">
        <f>ROUNDDOWN(Tabla1[[#This Row],[Diferencia]]/200000,0)*200000</f>
        <v>0</v>
      </c>
    </row>
    <row r="308" spans="1:23" hidden="1" x14ac:dyDescent="0.3">
      <c r="A308">
        <v>6382</v>
      </c>
      <c r="B308">
        <v>6</v>
      </c>
      <c r="C308" t="s">
        <v>1063</v>
      </c>
      <c r="D308">
        <v>2</v>
      </c>
      <c r="E308" t="s">
        <v>1034</v>
      </c>
      <c r="F308" t="s">
        <v>1035</v>
      </c>
      <c r="G308" t="s">
        <v>209</v>
      </c>
      <c r="H308" t="s">
        <v>166</v>
      </c>
      <c r="I308">
        <v>1</v>
      </c>
      <c r="J308">
        <v>74604467</v>
      </c>
      <c r="K308" s="2">
        <v>45960</v>
      </c>
      <c r="L308" s="1">
        <v>1500</v>
      </c>
      <c r="M308" t="s">
        <v>1040</v>
      </c>
      <c r="N308" t="s">
        <v>24</v>
      </c>
      <c r="O308" t="s">
        <v>1064</v>
      </c>
      <c r="P308" s="1">
        <v>1500</v>
      </c>
      <c r="Q308">
        <v>2</v>
      </c>
      <c r="R308" t="s">
        <v>1066</v>
      </c>
      <c r="S308" s="1">
        <f>Tabla1[[#This Row],[OS-Valor Unitario]]-Tabla1[[#This Row],[costo_antes_iva]]</f>
        <v>0</v>
      </c>
      <c r="T308" s="1">
        <f>Tabla1[[#This Row],[OS-Valor Unitario]]*Tabla1[[#This Row],[OS-Cantidad]]</f>
        <v>3000</v>
      </c>
      <c r="U308" s="1">
        <f>Tabla1[[#This Row],[costo_antes_iva]]*Tabla1[[#This Row],[OS-Cantidad]]</f>
        <v>3000</v>
      </c>
      <c r="V308" s="1">
        <f>Tabla1[[#This Row],[Valor total OS]]-Tabla1[[#This Row],[valor total op]]</f>
        <v>0</v>
      </c>
      <c r="W308" s="1">
        <f>ROUNDDOWN(Tabla1[[#This Row],[Diferencia]]/200000,0)*200000</f>
        <v>0</v>
      </c>
    </row>
    <row r="309" spans="1:23" hidden="1" x14ac:dyDescent="0.3">
      <c r="A309">
        <v>6379</v>
      </c>
      <c r="B309">
        <v>6</v>
      </c>
      <c r="C309" t="s">
        <v>1123</v>
      </c>
      <c r="D309">
        <v>2</v>
      </c>
      <c r="E309" t="s">
        <v>1095</v>
      </c>
      <c r="F309" t="s">
        <v>1124</v>
      </c>
      <c r="G309" t="s">
        <v>1376</v>
      </c>
      <c r="H309" t="s">
        <v>1097</v>
      </c>
      <c r="I309">
        <v>2</v>
      </c>
      <c r="J309">
        <v>74473757</v>
      </c>
      <c r="K309" s="2">
        <v>45958</v>
      </c>
      <c r="L309" s="1">
        <v>1400</v>
      </c>
      <c r="M309" t="s">
        <v>1098</v>
      </c>
      <c r="N309" t="s">
        <v>24</v>
      </c>
      <c r="O309" t="s">
        <v>1125</v>
      </c>
      <c r="P309" s="1">
        <v>1400</v>
      </c>
      <c r="Q309">
        <v>2</v>
      </c>
      <c r="R309" t="s">
        <v>1126</v>
      </c>
      <c r="S309" s="1">
        <f>Tabla1[[#This Row],[OS-Valor Unitario]]-Tabla1[[#This Row],[costo_antes_iva]]</f>
        <v>0</v>
      </c>
      <c r="T309" s="1">
        <f>Tabla1[[#This Row],[OS-Valor Unitario]]*Tabla1[[#This Row],[OS-Cantidad]]</f>
        <v>2800</v>
      </c>
      <c r="U309" s="1">
        <f>Tabla1[[#This Row],[costo_antes_iva]]*Tabla1[[#This Row],[OS-Cantidad]]</f>
        <v>2800</v>
      </c>
      <c r="V309" s="1">
        <f>Tabla1[[#This Row],[Valor total OS]]-Tabla1[[#This Row],[valor total op]]</f>
        <v>0</v>
      </c>
      <c r="W309" s="1">
        <f>ROUNDDOWN(Tabla1[[#This Row],[Diferencia]]/200000,0)*200000</f>
        <v>0</v>
      </c>
    </row>
    <row r="310" spans="1:23" hidden="1" x14ac:dyDescent="0.3">
      <c r="A310">
        <v>6378</v>
      </c>
      <c r="B310">
        <v>4</v>
      </c>
      <c r="C310" t="s">
        <v>1159</v>
      </c>
      <c r="D310">
        <v>2</v>
      </c>
      <c r="E310" t="s">
        <v>1141</v>
      </c>
      <c r="F310" t="s">
        <v>1160</v>
      </c>
      <c r="G310" t="s">
        <v>1143</v>
      </c>
      <c r="H310" t="s">
        <v>166</v>
      </c>
      <c r="I310">
        <v>1</v>
      </c>
      <c r="J310">
        <v>74463526</v>
      </c>
      <c r="K310" s="2">
        <v>45958</v>
      </c>
      <c r="L310" s="1">
        <v>9500</v>
      </c>
      <c r="M310" t="s">
        <v>1161</v>
      </c>
      <c r="N310" t="s">
        <v>51</v>
      </c>
      <c r="O310" t="s">
        <v>1162</v>
      </c>
      <c r="P310" s="1">
        <v>9500</v>
      </c>
      <c r="Q310">
        <v>2</v>
      </c>
      <c r="R310" t="s">
        <v>1163</v>
      </c>
      <c r="S310" s="1">
        <f>Tabla1[[#This Row],[OS-Valor Unitario]]-Tabla1[[#This Row],[costo_antes_iva]]</f>
        <v>0</v>
      </c>
      <c r="T310" s="1">
        <f>Tabla1[[#This Row],[OS-Valor Unitario]]*Tabla1[[#This Row],[OS-Cantidad]]</f>
        <v>19000</v>
      </c>
      <c r="U310" s="1">
        <f>Tabla1[[#This Row],[costo_antes_iva]]*Tabla1[[#This Row],[OS-Cantidad]]</f>
        <v>19000</v>
      </c>
      <c r="V310" s="1">
        <f>Tabla1[[#This Row],[Valor total OS]]-Tabla1[[#This Row],[valor total op]]</f>
        <v>0</v>
      </c>
      <c r="W310" s="1">
        <f>ROUNDDOWN(Tabla1[[#This Row],[Diferencia]]/200000,0)*200000</f>
        <v>0</v>
      </c>
    </row>
    <row r="311" spans="1:23" hidden="1" x14ac:dyDescent="0.3">
      <c r="A311">
        <v>6380</v>
      </c>
      <c r="B311">
        <v>2</v>
      </c>
      <c r="C311" t="s">
        <v>1088</v>
      </c>
      <c r="D311">
        <v>1</v>
      </c>
      <c r="E311" t="s">
        <v>1089</v>
      </c>
      <c r="F311" t="s">
        <v>1090</v>
      </c>
      <c r="G311" t="s">
        <v>598</v>
      </c>
      <c r="H311" t="s">
        <v>166</v>
      </c>
      <c r="I311">
        <v>1</v>
      </c>
      <c r="J311">
        <v>74551515</v>
      </c>
      <c r="K311" s="2">
        <v>45959</v>
      </c>
      <c r="L311" s="1">
        <v>15000</v>
      </c>
      <c r="M311" t="s">
        <v>1091</v>
      </c>
      <c r="N311" t="s">
        <v>51</v>
      </c>
      <c r="O311" t="s">
        <v>1092</v>
      </c>
      <c r="P311" s="1">
        <v>15000</v>
      </c>
      <c r="Q311">
        <v>1</v>
      </c>
      <c r="R311" t="s">
        <v>1093</v>
      </c>
      <c r="S311" s="1">
        <f>Tabla1[[#This Row],[OS-Valor Unitario]]-Tabla1[[#This Row],[costo_antes_iva]]</f>
        <v>0</v>
      </c>
      <c r="T311" s="1">
        <f>Tabla1[[#This Row],[OS-Valor Unitario]]*Tabla1[[#This Row],[OS-Cantidad]]</f>
        <v>15000</v>
      </c>
      <c r="U311" s="1">
        <f>Tabla1[[#This Row],[costo_antes_iva]]*Tabla1[[#This Row],[OS-Cantidad]]</f>
        <v>15000</v>
      </c>
      <c r="V311" s="1">
        <f>Tabla1[[#This Row],[Valor total OS]]-Tabla1[[#This Row],[valor total op]]</f>
        <v>0</v>
      </c>
      <c r="W311" s="1">
        <f>ROUNDDOWN(Tabla1[[#This Row],[Diferencia]]/200000,0)*200000</f>
        <v>0</v>
      </c>
    </row>
    <row r="312" spans="1:23" hidden="1" x14ac:dyDescent="0.3">
      <c r="A312">
        <v>6379</v>
      </c>
      <c r="B312">
        <v>2</v>
      </c>
      <c r="C312" t="s">
        <v>1102</v>
      </c>
      <c r="D312">
        <v>1</v>
      </c>
      <c r="E312" t="s">
        <v>1095</v>
      </c>
      <c r="F312" t="s">
        <v>1103</v>
      </c>
      <c r="G312" t="s">
        <v>242</v>
      </c>
      <c r="H312" t="s">
        <v>1097</v>
      </c>
      <c r="I312">
        <v>2</v>
      </c>
      <c r="J312">
        <v>74473752</v>
      </c>
      <c r="K312" s="2">
        <v>45958</v>
      </c>
      <c r="L312" s="1">
        <v>1400</v>
      </c>
      <c r="M312" t="s">
        <v>1098</v>
      </c>
      <c r="N312" t="s">
        <v>24</v>
      </c>
      <c r="O312" t="s">
        <v>1104</v>
      </c>
      <c r="P312" s="1">
        <v>1400</v>
      </c>
      <c r="Q312">
        <v>1</v>
      </c>
      <c r="R312" t="s">
        <v>1105</v>
      </c>
      <c r="S312" s="1">
        <f>Tabla1[[#This Row],[OS-Valor Unitario]]-Tabla1[[#This Row],[costo_antes_iva]]</f>
        <v>0</v>
      </c>
      <c r="T312" s="1">
        <f>Tabla1[[#This Row],[OS-Valor Unitario]]*Tabla1[[#This Row],[OS-Cantidad]]</f>
        <v>1400</v>
      </c>
      <c r="U312" s="1">
        <f>Tabla1[[#This Row],[costo_antes_iva]]*Tabla1[[#This Row],[OS-Cantidad]]</f>
        <v>1400</v>
      </c>
      <c r="V312" s="1">
        <f>Tabla1[[#This Row],[Valor total OS]]-Tabla1[[#This Row],[valor total op]]</f>
        <v>0</v>
      </c>
      <c r="W312" s="1">
        <f>ROUNDDOWN(Tabla1[[#This Row],[Diferencia]]/200000,0)*200000</f>
        <v>0</v>
      </c>
    </row>
    <row r="313" spans="1:23" hidden="1" x14ac:dyDescent="0.3">
      <c r="A313">
        <v>6363</v>
      </c>
      <c r="B313">
        <v>2</v>
      </c>
      <c r="C313" t="s">
        <v>1321</v>
      </c>
      <c r="D313">
        <v>2</v>
      </c>
      <c r="E313" t="s">
        <v>1313</v>
      </c>
      <c r="F313" t="s">
        <v>1322</v>
      </c>
      <c r="G313" t="s">
        <v>268</v>
      </c>
      <c r="H313" t="s">
        <v>1315</v>
      </c>
      <c r="I313">
        <v>2</v>
      </c>
      <c r="J313">
        <v>74081540</v>
      </c>
      <c r="K313" s="2">
        <v>45951</v>
      </c>
      <c r="L313" s="1">
        <v>1200</v>
      </c>
      <c r="M313" t="s">
        <v>1316</v>
      </c>
      <c r="N313" t="s">
        <v>24</v>
      </c>
      <c r="O313" t="s">
        <v>1323</v>
      </c>
      <c r="P313" s="1">
        <v>1100</v>
      </c>
      <c r="Q313">
        <v>2</v>
      </c>
      <c r="R313" t="s">
        <v>1324</v>
      </c>
      <c r="S313" s="1">
        <f>Tabla1[[#This Row],[OS-Valor Unitario]]-Tabla1[[#This Row],[costo_antes_iva]]</f>
        <v>-100</v>
      </c>
      <c r="T313" s="1">
        <f>Tabla1[[#This Row],[OS-Valor Unitario]]*Tabla1[[#This Row],[OS-Cantidad]]</f>
        <v>2200</v>
      </c>
      <c r="U313" s="1">
        <f>Tabla1[[#This Row],[costo_antes_iva]]*Tabla1[[#This Row],[OS-Cantidad]]</f>
        <v>2400</v>
      </c>
      <c r="V313" s="1">
        <f>Tabla1[[#This Row],[Valor total OS]]-Tabla1[[#This Row],[valor total op]]</f>
        <v>-200</v>
      </c>
      <c r="W313" s="1">
        <f>ROUNDDOWN(Tabla1[[#This Row],[Diferencia]]/200000,0)*200000</f>
        <v>0</v>
      </c>
    </row>
    <row r="314" spans="1:23" hidden="1" x14ac:dyDescent="0.3">
      <c r="A314">
        <v>6363</v>
      </c>
      <c r="B314">
        <v>2</v>
      </c>
      <c r="C314" t="s">
        <v>1321</v>
      </c>
      <c r="D314">
        <v>2</v>
      </c>
      <c r="E314" t="s">
        <v>1313</v>
      </c>
      <c r="F314" t="s">
        <v>1322</v>
      </c>
      <c r="G314" t="s">
        <v>268</v>
      </c>
      <c r="H314" t="s">
        <v>1315</v>
      </c>
      <c r="I314">
        <v>1</v>
      </c>
      <c r="J314">
        <v>74082073</v>
      </c>
      <c r="K314" s="2">
        <v>45951</v>
      </c>
      <c r="L314" s="1">
        <v>1200</v>
      </c>
      <c r="M314" t="s">
        <v>1320</v>
      </c>
      <c r="N314" t="s">
        <v>24</v>
      </c>
      <c r="O314" t="s">
        <v>1323</v>
      </c>
      <c r="P314" s="1">
        <v>1100</v>
      </c>
      <c r="Q314">
        <v>2</v>
      </c>
      <c r="R314" t="s">
        <v>1324</v>
      </c>
      <c r="S314" s="1">
        <f>Tabla1[[#This Row],[OS-Valor Unitario]]-Tabla1[[#This Row],[costo_antes_iva]]</f>
        <v>-100</v>
      </c>
      <c r="T314" s="1">
        <f>Tabla1[[#This Row],[OS-Valor Unitario]]*Tabla1[[#This Row],[OS-Cantidad]]</f>
        <v>2200</v>
      </c>
      <c r="U314" s="1">
        <f>Tabla1[[#This Row],[costo_antes_iva]]*Tabla1[[#This Row],[OS-Cantidad]]</f>
        <v>2400</v>
      </c>
      <c r="V314" s="1">
        <f>Tabla1[[#This Row],[Valor total OS]]-Tabla1[[#This Row],[valor total op]]</f>
        <v>-200</v>
      </c>
      <c r="W314" s="1">
        <f>ROUNDDOWN(Tabla1[[#This Row],[Diferencia]]/200000,0)*200000</f>
        <v>0</v>
      </c>
    </row>
    <row r="315" spans="1:23" hidden="1" x14ac:dyDescent="0.3">
      <c r="A315">
        <v>6623</v>
      </c>
      <c r="B315">
        <v>3</v>
      </c>
      <c r="C315" t="s">
        <v>32</v>
      </c>
      <c r="D315">
        <v>1</v>
      </c>
      <c r="E315" t="s">
        <v>19</v>
      </c>
      <c r="F315" t="s">
        <v>33</v>
      </c>
      <c r="G315" t="s">
        <v>21</v>
      </c>
      <c r="H315" t="s">
        <v>22</v>
      </c>
      <c r="I315">
        <v>1</v>
      </c>
      <c r="J315">
        <v>80773980</v>
      </c>
      <c r="K315" s="2">
        <v>46079</v>
      </c>
      <c r="L315" s="1">
        <v>1300</v>
      </c>
      <c r="M315" t="s">
        <v>23</v>
      </c>
      <c r="N315" t="s">
        <v>24</v>
      </c>
      <c r="O315" t="s">
        <v>34</v>
      </c>
      <c r="P315" s="1">
        <v>1100</v>
      </c>
      <c r="Q315">
        <v>1</v>
      </c>
      <c r="R315" t="s">
        <v>35</v>
      </c>
      <c r="S315" s="1">
        <f>Tabla1[[#This Row],[OS-Valor Unitario]]-Tabla1[[#This Row],[costo_antes_iva]]</f>
        <v>-200</v>
      </c>
      <c r="T315" s="1">
        <f>Tabla1[[#This Row],[OS-Valor Unitario]]*Tabla1[[#This Row],[OS-Cantidad]]</f>
        <v>1100</v>
      </c>
      <c r="U315" s="1">
        <f>Tabla1[[#This Row],[costo_antes_iva]]*Tabla1[[#This Row],[OS-Cantidad]]</f>
        <v>1300</v>
      </c>
      <c r="V315" s="1">
        <f>Tabla1[[#This Row],[Valor total OS]]-Tabla1[[#This Row],[valor total op]]</f>
        <v>-200</v>
      </c>
      <c r="W315" s="1">
        <f>ROUNDDOWN(Tabla1[[#This Row],[Diferencia]]/200000,0)*200000</f>
        <v>0</v>
      </c>
    </row>
    <row r="316" spans="1:23" hidden="1" x14ac:dyDescent="0.3">
      <c r="A316">
        <v>6439</v>
      </c>
      <c r="B316">
        <v>4</v>
      </c>
      <c r="C316" t="s">
        <v>760</v>
      </c>
      <c r="D316">
        <v>2</v>
      </c>
      <c r="E316" t="s">
        <v>745</v>
      </c>
      <c r="F316" t="s">
        <v>761</v>
      </c>
      <c r="G316" t="s">
        <v>762</v>
      </c>
      <c r="H316" t="s">
        <v>166</v>
      </c>
      <c r="I316">
        <v>0</v>
      </c>
      <c r="J316">
        <v>76369204</v>
      </c>
      <c r="K316" s="2">
        <v>45989</v>
      </c>
      <c r="L316" s="1">
        <v>1600</v>
      </c>
      <c r="M316" t="s">
        <v>748</v>
      </c>
      <c r="N316" t="s">
        <v>24</v>
      </c>
      <c r="O316" t="s">
        <v>763</v>
      </c>
      <c r="P316" s="1">
        <v>1400</v>
      </c>
      <c r="Q316">
        <v>2</v>
      </c>
      <c r="R316" t="s">
        <v>765</v>
      </c>
      <c r="S316" s="1">
        <f>Tabla1[[#This Row],[OS-Valor Unitario]]-Tabla1[[#This Row],[costo_antes_iva]]</f>
        <v>-200</v>
      </c>
      <c r="T316" s="1">
        <f>Tabla1[[#This Row],[OS-Valor Unitario]]*Tabla1[[#This Row],[OS-Cantidad]]</f>
        <v>2800</v>
      </c>
      <c r="U316" s="1">
        <f>Tabla1[[#This Row],[costo_antes_iva]]*Tabla1[[#This Row],[OS-Cantidad]]</f>
        <v>3200</v>
      </c>
      <c r="V316" s="1">
        <f>Tabla1[[#This Row],[Valor total OS]]-Tabla1[[#This Row],[valor total op]]</f>
        <v>-400</v>
      </c>
      <c r="W316" s="1">
        <f>ROUNDDOWN(Tabla1[[#This Row],[Diferencia]]/200000,0)*200000</f>
        <v>0</v>
      </c>
    </row>
    <row r="317" spans="1:23" hidden="1" x14ac:dyDescent="0.3">
      <c r="A317">
        <v>6439</v>
      </c>
      <c r="B317">
        <v>11</v>
      </c>
      <c r="C317" t="s">
        <v>788</v>
      </c>
      <c r="D317">
        <v>2</v>
      </c>
      <c r="E317" t="s">
        <v>745</v>
      </c>
      <c r="F317" t="s">
        <v>789</v>
      </c>
      <c r="G317" t="s">
        <v>762</v>
      </c>
      <c r="H317" t="s">
        <v>166</v>
      </c>
      <c r="I317">
        <v>0</v>
      </c>
      <c r="J317">
        <v>76369814</v>
      </c>
      <c r="K317" s="2">
        <v>45989</v>
      </c>
      <c r="L317" s="1">
        <v>1600</v>
      </c>
      <c r="M317" t="s">
        <v>748</v>
      </c>
      <c r="N317" t="s">
        <v>24</v>
      </c>
      <c r="O317" t="s">
        <v>790</v>
      </c>
      <c r="P317" s="1">
        <v>1400</v>
      </c>
      <c r="Q317">
        <v>2</v>
      </c>
      <c r="R317" t="s">
        <v>791</v>
      </c>
      <c r="S317" s="1">
        <f>Tabla1[[#This Row],[OS-Valor Unitario]]-Tabla1[[#This Row],[costo_antes_iva]]</f>
        <v>-200</v>
      </c>
      <c r="T317" s="1">
        <f>Tabla1[[#This Row],[OS-Valor Unitario]]*Tabla1[[#This Row],[OS-Cantidad]]</f>
        <v>2800</v>
      </c>
      <c r="U317" s="1">
        <f>Tabla1[[#This Row],[costo_antes_iva]]*Tabla1[[#This Row],[OS-Cantidad]]</f>
        <v>3200</v>
      </c>
      <c r="V317" s="1">
        <f>Tabla1[[#This Row],[Valor total OS]]-Tabla1[[#This Row],[valor total op]]</f>
        <v>-400</v>
      </c>
      <c r="W317" s="1">
        <f>ROUNDDOWN(Tabla1[[#This Row],[Diferencia]]/200000,0)*200000</f>
        <v>0</v>
      </c>
    </row>
    <row r="318" spans="1:23" hidden="1" x14ac:dyDescent="0.3">
      <c r="A318">
        <v>6439</v>
      </c>
      <c r="B318">
        <v>12</v>
      </c>
      <c r="C318" t="s">
        <v>792</v>
      </c>
      <c r="D318">
        <v>2</v>
      </c>
      <c r="E318" t="s">
        <v>745</v>
      </c>
      <c r="F318" t="s">
        <v>793</v>
      </c>
      <c r="G318" t="s">
        <v>762</v>
      </c>
      <c r="H318" t="s">
        <v>166</v>
      </c>
      <c r="I318">
        <v>0</v>
      </c>
      <c r="J318">
        <v>76369864</v>
      </c>
      <c r="K318" s="2">
        <v>45989</v>
      </c>
      <c r="L318" s="1">
        <v>1600</v>
      </c>
      <c r="M318" t="s">
        <v>748</v>
      </c>
      <c r="N318" t="s">
        <v>24</v>
      </c>
      <c r="O318" t="s">
        <v>794</v>
      </c>
      <c r="P318" s="1">
        <v>1400</v>
      </c>
      <c r="Q318">
        <v>2</v>
      </c>
      <c r="R318" t="s">
        <v>796</v>
      </c>
      <c r="S318" s="1">
        <f>Tabla1[[#This Row],[OS-Valor Unitario]]-Tabla1[[#This Row],[costo_antes_iva]]</f>
        <v>-200</v>
      </c>
      <c r="T318" s="1">
        <f>Tabla1[[#This Row],[OS-Valor Unitario]]*Tabla1[[#This Row],[OS-Cantidad]]</f>
        <v>2800</v>
      </c>
      <c r="U318" s="1">
        <f>Tabla1[[#This Row],[costo_antes_iva]]*Tabla1[[#This Row],[OS-Cantidad]]</f>
        <v>3200</v>
      </c>
      <c r="V318" s="1">
        <f>Tabla1[[#This Row],[Valor total OS]]-Tabla1[[#This Row],[valor total op]]</f>
        <v>-400</v>
      </c>
      <c r="W318" s="1">
        <f>ROUNDDOWN(Tabla1[[#This Row],[Diferencia]]/200000,0)*200000</f>
        <v>0</v>
      </c>
    </row>
    <row r="319" spans="1:23" hidden="1" x14ac:dyDescent="0.3">
      <c r="A319">
        <v>6379</v>
      </c>
      <c r="B319">
        <v>2</v>
      </c>
      <c r="C319" t="s">
        <v>1102</v>
      </c>
      <c r="D319">
        <v>1</v>
      </c>
      <c r="E319" t="s">
        <v>1095</v>
      </c>
      <c r="F319" t="s">
        <v>1103</v>
      </c>
      <c r="G319" t="s">
        <v>242</v>
      </c>
      <c r="H319" t="s">
        <v>1097</v>
      </c>
      <c r="I319">
        <v>2</v>
      </c>
      <c r="J319">
        <v>74473752</v>
      </c>
      <c r="K319" s="2">
        <v>45958</v>
      </c>
      <c r="L319" s="1">
        <v>12000</v>
      </c>
      <c r="M319" t="s">
        <v>1098</v>
      </c>
      <c r="N319" t="s">
        <v>51</v>
      </c>
      <c r="O319" t="s">
        <v>1104</v>
      </c>
      <c r="P319" s="1">
        <v>11500</v>
      </c>
      <c r="Q319">
        <v>1</v>
      </c>
      <c r="R319" t="s">
        <v>1106</v>
      </c>
      <c r="S319" s="1">
        <f>Tabla1[[#This Row],[OS-Valor Unitario]]-Tabla1[[#This Row],[costo_antes_iva]]</f>
        <v>-500</v>
      </c>
      <c r="T319" s="1">
        <f>Tabla1[[#This Row],[OS-Valor Unitario]]*Tabla1[[#This Row],[OS-Cantidad]]</f>
        <v>11500</v>
      </c>
      <c r="U319" s="1">
        <f>Tabla1[[#This Row],[costo_antes_iva]]*Tabla1[[#This Row],[OS-Cantidad]]</f>
        <v>12000</v>
      </c>
      <c r="V319" s="1">
        <f>Tabla1[[#This Row],[Valor total OS]]-Tabla1[[#This Row],[valor total op]]</f>
        <v>-500</v>
      </c>
      <c r="W319" s="1">
        <f>ROUNDDOWN(Tabla1[[#This Row],[Diferencia]]/200000,0)*200000</f>
        <v>0</v>
      </c>
    </row>
    <row r="320" spans="1:23" hidden="1" x14ac:dyDescent="0.3">
      <c r="A320">
        <v>6379</v>
      </c>
      <c r="B320">
        <v>4</v>
      </c>
      <c r="C320" t="s">
        <v>1113</v>
      </c>
      <c r="D320">
        <v>1</v>
      </c>
      <c r="E320" t="s">
        <v>1095</v>
      </c>
      <c r="F320" t="s">
        <v>1114</v>
      </c>
      <c r="G320" t="s">
        <v>447</v>
      </c>
      <c r="H320" t="s">
        <v>1097</v>
      </c>
      <c r="I320">
        <v>2</v>
      </c>
      <c r="J320">
        <v>74474154</v>
      </c>
      <c r="K320" s="2">
        <v>45958</v>
      </c>
      <c r="L320" s="1">
        <v>12000</v>
      </c>
      <c r="M320" t="s">
        <v>1115</v>
      </c>
      <c r="N320" t="s">
        <v>51</v>
      </c>
      <c r="O320" t="s">
        <v>1116</v>
      </c>
      <c r="P320" s="1">
        <v>11500</v>
      </c>
      <c r="Q320">
        <v>1</v>
      </c>
      <c r="R320" t="s">
        <v>1118</v>
      </c>
      <c r="S320" s="1">
        <f>Tabla1[[#This Row],[OS-Valor Unitario]]-Tabla1[[#This Row],[costo_antes_iva]]</f>
        <v>-500</v>
      </c>
      <c r="T320" s="1">
        <f>Tabla1[[#This Row],[OS-Valor Unitario]]*Tabla1[[#This Row],[OS-Cantidad]]</f>
        <v>11500</v>
      </c>
      <c r="U320" s="1">
        <f>Tabla1[[#This Row],[costo_antes_iva]]*Tabla1[[#This Row],[OS-Cantidad]]</f>
        <v>12000</v>
      </c>
      <c r="V320" s="1">
        <f>Tabla1[[#This Row],[Valor total OS]]-Tabla1[[#This Row],[valor total op]]</f>
        <v>-500</v>
      </c>
      <c r="W320" s="1">
        <f>ROUNDDOWN(Tabla1[[#This Row],[Diferencia]]/200000,0)*200000</f>
        <v>0</v>
      </c>
    </row>
    <row r="321" spans="1:23" hidden="1" x14ac:dyDescent="0.3">
      <c r="A321">
        <v>6517</v>
      </c>
      <c r="B321">
        <v>2</v>
      </c>
      <c r="C321" t="s">
        <v>368</v>
      </c>
      <c r="D321">
        <v>5</v>
      </c>
      <c r="E321" t="s">
        <v>362</v>
      </c>
      <c r="F321" t="s">
        <v>369</v>
      </c>
      <c r="G321" t="s">
        <v>370</v>
      </c>
      <c r="H321" t="s">
        <v>364</v>
      </c>
      <c r="I321">
        <v>5</v>
      </c>
      <c r="J321">
        <v>78812227</v>
      </c>
      <c r="K321" s="2">
        <v>46043</v>
      </c>
      <c r="L321" s="1">
        <v>2336</v>
      </c>
      <c r="M321" t="s">
        <v>365</v>
      </c>
      <c r="N321" t="s">
        <v>24</v>
      </c>
      <c r="O321" t="s">
        <v>371</v>
      </c>
      <c r="P321" s="1">
        <v>2200</v>
      </c>
      <c r="Q321">
        <v>5</v>
      </c>
      <c r="R321" t="s">
        <v>372</v>
      </c>
      <c r="S321" s="1">
        <f>Tabla1[[#This Row],[OS-Valor Unitario]]-Tabla1[[#This Row],[costo_antes_iva]]</f>
        <v>-136</v>
      </c>
      <c r="T321" s="1">
        <f>Tabla1[[#This Row],[OS-Valor Unitario]]*Tabla1[[#This Row],[OS-Cantidad]]</f>
        <v>11000</v>
      </c>
      <c r="U321" s="1">
        <f>Tabla1[[#This Row],[costo_antes_iva]]*Tabla1[[#This Row],[OS-Cantidad]]</f>
        <v>11680</v>
      </c>
      <c r="V321" s="1">
        <f>Tabla1[[#This Row],[Valor total OS]]-Tabla1[[#This Row],[valor total op]]</f>
        <v>-680</v>
      </c>
      <c r="W321" s="1">
        <f>ROUNDDOWN(Tabla1[[#This Row],[Diferencia]]/200000,0)*200000</f>
        <v>0</v>
      </c>
    </row>
    <row r="322" spans="1:23" hidden="1" x14ac:dyDescent="0.3">
      <c r="A322">
        <v>6376</v>
      </c>
      <c r="B322">
        <v>3</v>
      </c>
      <c r="C322" t="s">
        <v>1193</v>
      </c>
      <c r="D322">
        <v>4</v>
      </c>
      <c r="E322" t="s">
        <v>1188</v>
      </c>
      <c r="F322" t="s">
        <v>1194</v>
      </c>
      <c r="G322" t="s">
        <v>762</v>
      </c>
      <c r="H322" t="s">
        <v>166</v>
      </c>
      <c r="I322">
        <v>1</v>
      </c>
      <c r="J322">
        <v>74394176</v>
      </c>
      <c r="K322" s="2">
        <v>45957</v>
      </c>
      <c r="L322" s="1">
        <v>1600</v>
      </c>
      <c r="M322" t="s">
        <v>1190</v>
      </c>
      <c r="N322" t="s">
        <v>24</v>
      </c>
      <c r="O322" t="s">
        <v>1195</v>
      </c>
      <c r="P322" s="1">
        <v>1400</v>
      </c>
      <c r="Q322">
        <v>4</v>
      </c>
      <c r="R322" t="s">
        <v>1197</v>
      </c>
      <c r="S322" s="1">
        <f>Tabla1[[#This Row],[OS-Valor Unitario]]-Tabla1[[#This Row],[costo_antes_iva]]</f>
        <v>-200</v>
      </c>
      <c r="T322" s="1">
        <f>Tabla1[[#This Row],[OS-Valor Unitario]]*Tabla1[[#This Row],[OS-Cantidad]]</f>
        <v>5600</v>
      </c>
      <c r="U322" s="1">
        <f>Tabla1[[#This Row],[costo_antes_iva]]*Tabla1[[#This Row],[OS-Cantidad]]</f>
        <v>6400</v>
      </c>
      <c r="V322" s="1">
        <f>Tabla1[[#This Row],[Valor total OS]]-Tabla1[[#This Row],[valor total op]]</f>
        <v>-800</v>
      </c>
      <c r="W322" s="1">
        <f>ROUNDDOWN(Tabla1[[#This Row],[Diferencia]]/200000,0)*200000</f>
        <v>0</v>
      </c>
    </row>
    <row r="323" spans="1:23" hidden="1" x14ac:dyDescent="0.3">
      <c r="A323">
        <v>6376</v>
      </c>
      <c r="B323">
        <v>4</v>
      </c>
      <c r="C323" t="s">
        <v>1198</v>
      </c>
      <c r="D323">
        <v>4</v>
      </c>
      <c r="E323" t="s">
        <v>1188</v>
      </c>
      <c r="F323" t="s">
        <v>1199</v>
      </c>
      <c r="G323" t="s">
        <v>762</v>
      </c>
      <c r="H323" t="s">
        <v>166</v>
      </c>
      <c r="I323">
        <v>1</v>
      </c>
      <c r="J323">
        <v>74394188</v>
      </c>
      <c r="K323" s="2">
        <v>45957</v>
      </c>
      <c r="L323" s="1">
        <v>1600</v>
      </c>
      <c r="M323" t="s">
        <v>1190</v>
      </c>
      <c r="N323" t="s">
        <v>24</v>
      </c>
      <c r="O323" t="s">
        <v>1200</v>
      </c>
      <c r="P323" s="1">
        <v>1400</v>
      </c>
      <c r="Q323">
        <v>4</v>
      </c>
      <c r="R323" t="s">
        <v>1202</v>
      </c>
      <c r="S323" s="1">
        <f>Tabla1[[#This Row],[OS-Valor Unitario]]-Tabla1[[#This Row],[costo_antes_iva]]</f>
        <v>-200</v>
      </c>
      <c r="T323" s="1">
        <f>Tabla1[[#This Row],[OS-Valor Unitario]]*Tabla1[[#This Row],[OS-Cantidad]]</f>
        <v>5600</v>
      </c>
      <c r="U323" s="1">
        <f>Tabla1[[#This Row],[costo_antes_iva]]*Tabla1[[#This Row],[OS-Cantidad]]</f>
        <v>6400</v>
      </c>
      <c r="V323" s="1">
        <f>Tabla1[[#This Row],[Valor total OS]]-Tabla1[[#This Row],[valor total op]]</f>
        <v>-800</v>
      </c>
      <c r="W323" s="1">
        <f>ROUNDDOWN(Tabla1[[#This Row],[Diferencia]]/200000,0)*200000</f>
        <v>0</v>
      </c>
    </row>
    <row r="324" spans="1:23" hidden="1" x14ac:dyDescent="0.3">
      <c r="A324">
        <v>6376</v>
      </c>
      <c r="B324">
        <v>5</v>
      </c>
      <c r="C324" t="s">
        <v>1203</v>
      </c>
      <c r="D324">
        <v>4</v>
      </c>
      <c r="E324" t="s">
        <v>1188</v>
      </c>
      <c r="F324" t="s">
        <v>1204</v>
      </c>
      <c r="G324" t="s">
        <v>762</v>
      </c>
      <c r="H324" t="s">
        <v>166</v>
      </c>
      <c r="I324">
        <v>1</v>
      </c>
      <c r="J324">
        <v>74397403</v>
      </c>
      <c r="K324" s="2">
        <v>45957</v>
      </c>
      <c r="L324" s="1">
        <v>1600</v>
      </c>
      <c r="M324" t="s">
        <v>1205</v>
      </c>
      <c r="N324" t="s">
        <v>24</v>
      </c>
      <c r="O324" t="s">
        <v>1206</v>
      </c>
      <c r="P324" s="1">
        <v>1400</v>
      </c>
      <c r="Q324">
        <v>4</v>
      </c>
      <c r="R324" t="s">
        <v>1208</v>
      </c>
      <c r="S324" s="1">
        <f>Tabla1[[#This Row],[OS-Valor Unitario]]-Tabla1[[#This Row],[costo_antes_iva]]</f>
        <v>-200</v>
      </c>
      <c r="T324" s="1">
        <f>Tabla1[[#This Row],[OS-Valor Unitario]]*Tabla1[[#This Row],[OS-Cantidad]]</f>
        <v>5600</v>
      </c>
      <c r="U324" s="1">
        <f>Tabla1[[#This Row],[costo_antes_iva]]*Tabla1[[#This Row],[OS-Cantidad]]</f>
        <v>6400</v>
      </c>
      <c r="V324" s="1">
        <f>Tabla1[[#This Row],[Valor total OS]]-Tabla1[[#This Row],[valor total op]]</f>
        <v>-800</v>
      </c>
      <c r="W324" s="1">
        <f>ROUNDDOWN(Tabla1[[#This Row],[Diferencia]]/200000,0)*200000</f>
        <v>0</v>
      </c>
    </row>
    <row r="325" spans="1:23" hidden="1" x14ac:dyDescent="0.3">
      <c r="A325">
        <v>6378</v>
      </c>
      <c r="B325">
        <v>2</v>
      </c>
      <c r="C325" t="s">
        <v>1149</v>
      </c>
      <c r="D325">
        <v>1</v>
      </c>
      <c r="E325" t="s">
        <v>1141</v>
      </c>
      <c r="F325" t="s">
        <v>1142</v>
      </c>
      <c r="G325" t="s">
        <v>1143</v>
      </c>
      <c r="H325" t="s">
        <v>166</v>
      </c>
      <c r="I325">
        <v>1</v>
      </c>
      <c r="J325">
        <v>74463474</v>
      </c>
      <c r="K325" s="2">
        <v>45958</v>
      </c>
      <c r="L325" s="1">
        <v>12500</v>
      </c>
      <c r="M325" t="s">
        <v>1144</v>
      </c>
      <c r="N325" t="s">
        <v>24</v>
      </c>
      <c r="O325" t="s">
        <v>1150</v>
      </c>
      <c r="P325" s="1">
        <v>11700</v>
      </c>
      <c r="Q325">
        <v>1</v>
      </c>
      <c r="R325" t="s">
        <v>1152</v>
      </c>
      <c r="S325" s="1">
        <f>Tabla1[[#This Row],[OS-Valor Unitario]]-Tabla1[[#This Row],[costo_antes_iva]]</f>
        <v>-800</v>
      </c>
      <c r="T325" s="1">
        <f>Tabla1[[#This Row],[OS-Valor Unitario]]*Tabla1[[#This Row],[OS-Cantidad]]</f>
        <v>11700</v>
      </c>
      <c r="U325" s="1">
        <f>Tabla1[[#This Row],[costo_antes_iva]]*Tabla1[[#This Row],[OS-Cantidad]]</f>
        <v>12500</v>
      </c>
      <c r="V325" s="1">
        <f>Tabla1[[#This Row],[Valor total OS]]-Tabla1[[#This Row],[valor total op]]</f>
        <v>-800</v>
      </c>
      <c r="W325" s="1">
        <f>ROUNDDOWN(Tabla1[[#This Row],[Diferencia]]/200000,0)*200000</f>
        <v>0</v>
      </c>
    </row>
    <row r="326" spans="1:23" hidden="1" x14ac:dyDescent="0.3">
      <c r="A326">
        <v>6378</v>
      </c>
      <c r="B326">
        <v>2</v>
      </c>
      <c r="C326" t="s">
        <v>1149</v>
      </c>
      <c r="D326">
        <v>1</v>
      </c>
      <c r="E326" t="s">
        <v>1141</v>
      </c>
      <c r="F326" t="s">
        <v>1142</v>
      </c>
      <c r="G326" t="s">
        <v>1143</v>
      </c>
      <c r="H326" t="s">
        <v>166</v>
      </c>
      <c r="I326">
        <v>1</v>
      </c>
      <c r="J326">
        <v>74463501</v>
      </c>
      <c r="K326" s="2">
        <v>45958</v>
      </c>
      <c r="L326" s="1">
        <v>12500</v>
      </c>
      <c r="M326" t="s">
        <v>1148</v>
      </c>
      <c r="N326" t="s">
        <v>24</v>
      </c>
      <c r="O326" t="s">
        <v>1150</v>
      </c>
      <c r="P326" s="1">
        <v>11700</v>
      </c>
      <c r="Q326">
        <v>1</v>
      </c>
      <c r="R326" t="s">
        <v>1152</v>
      </c>
      <c r="S326" s="1">
        <f>Tabla1[[#This Row],[OS-Valor Unitario]]-Tabla1[[#This Row],[costo_antes_iva]]</f>
        <v>-800</v>
      </c>
      <c r="T326" s="1">
        <f>Tabla1[[#This Row],[OS-Valor Unitario]]*Tabla1[[#This Row],[OS-Cantidad]]</f>
        <v>11700</v>
      </c>
      <c r="U326" s="1">
        <f>Tabla1[[#This Row],[costo_antes_iva]]*Tabla1[[#This Row],[OS-Cantidad]]</f>
        <v>12500</v>
      </c>
      <c r="V326" s="1">
        <f>Tabla1[[#This Row],[Valor total OS]]-Tabla1[[#This Row],[valor total op]]</f>
        <v>-800</v>
      </c>
      <c r="W326" s="1">
        <f>ROUNDDOWN(Tabla1[[#This Row],[Diferencia]]/200000,0)*200000</f>
        <v>0</v>
      </c>
    </row>
    <row r="327" spans="1:23" hidden="1" x14ac:dyDescent="0.3">
      <c r="A327">
        <v>6623</v>
      </c>
      <c r="B327">
        <v>2</v>
      </c>
      <c r="C327" t="s">
        <v>27</v>
      </c>
      <c r="D327">
        <v>5</v>
      </c>
      <c r="E327" t="s">
        <v>19</v>
      </c>
      <c r="F327" t="s">
        <v>28</v>
      </c>
      <c r="G327" t="s">
        <v>29</v>
      </c>
      <c r="H327" t="s">
        <v>22</v>
      </c>
      <c r="I327">
        <v>5</v>
      </c>
      <c r="J327">
        <v>80773973</v>
      </c>
      <c r="K327" s="2">
        <v>46079</v>
      </c>
      <c r="L327" s="1">
        <v>1300</v>
      </c>
      <c r="M327" t="s">
        <v>23</v>
      </c>
      <c r="N327" t="s">
        <v>24</v>
      </c>
      <c r="O327" t="s">
        <v>30</v>
      </c>
      <c r="P327" s="1">
        <v>1100</v>
      </c>
      <c r="Q327">
        <v>5</v>
      </c>
      <c r="R327" t="s">
        <v>31</v>
      </c>
      <c r="S327" s="1">
        <f>Tabla1[[#This Row],[OS-Valor Unitario]]-Tabla1[[#This Row],[costo_antes_iva]]</f>
        <v>-200</v>
      </c>
      <c r="T327" s="1">
        <f>Tabla1[[#This Row],[OS-Valor Unitario]]*Tabla1[[#This Row],[OS-Cantidad]]</f>
        <v>5500</v>
      </c>
      <c r="U327" s="1">
        <f>Tabla1[[#This Row],[costo_antes_iva]]*Tabla1[[#This Row],[OS-Cantidad]]</f>
        <v>6500</v>
      </c>
      <c r="V327" s="1">
        <f>Tabla1[[#This Row],[Valor total OS]]-Tabla1[[#This Row],[valor total op]]</f>
        <v>-1000</v>
      </c>
      <c r="W327" s="1">
        <f>ROUNDDOWN(Tabla1[[#This Row],[Diferencia]]/200000,0)*200000</f>
        <v>0</v>
      </c>
    </row>
    <row r="328" spans="1:23" hidden="1" x14ac:dyDescent="0.3">
      <c r="A328">
        <v>6363</v>
      </c>
      <c r="B328">
        <v>1</v>
      </c>
      <c r="C328" t="s">
        <v>1312</v>
      </c>
      <c r="D328">
        <v>2</v>
      </c>
      <c r="E328" t="s">
        <v>1313</v>
      </c>
      <c r="F328" t="s">
        <v>1314</v>
      </c>
      <c r="G328" t="s">
        <v>242</v>
      </c>
      <c r="H328" t="s">
        <v>1315</v>
      </c>
      <c r="I328">
        <v>2</v>
      </c>
      <c r="J328">
        <v>74081481</v>
      </c>
      <c r="K328" s="2">
        <v>45951</v>
      </c>
      <c r="L328" s="1">
        <v>12000</v>
      </c>
      <c r="M328" t="s">
        <v>1316</v>
      </c>
      <c r="N328" t="s">
        <v>51</v>
      </c>
      <c r="O328" t="s">
        <v>1317</v>
      </c>
      <c r="P328" s="1">
        <v>11500</v>
      </c>
      <c r="Q328">
        <v>2</v>
      </c>
      <c r="R328" t="s">
        <v>1319</v>
      </c>
      <c r="S328" s="1">
        <f>Tabla1[[#This Row],[OS-Valor Unitario]]-Tabla1[[#This Row],[costo_antes_iva]]</f>
        <v>-500</v>
      </c>
      <c r="T328" s="1">
        <f>Tabla1[[#This Row],[OS-Valor Unitario]]*Tabla1[[#This Row],[OS-Cantidad]]</f>
        <v>23000</v>
      </c>
      <c r="U328" s="1">
        <f>Tabla1[[#This Row],[costo_antes_iva]]*Tabla1[[#This Row],[OS-Cantidad]]</f>
        <v>24000</v>
      </c>
      <c r="V328" s="1">
        <f>Tabla1[[#This Row],[Valor total OS]]-Tabla1[[#This Row],[valor total op]]</f>
        <v>-1000</v>
      </c>
      <c r="W328" s="1">
        <f>ROUNDDOWN(Tabla1[[#This Row],[Diferencia]]/200000,0)*200000</f>
        <v>0</v>
      </c>
    </row>
    <row r="329" spans="1:23" hidden="1" x14ac:dyDescent="0.3">
      <c r="A329">
        <v>6363</v>
      </c>
      <c r="B329">
        <v>1</v>
      </c>
      <c r="C329" t="s">
        <v>1312</v>
      </c>
      <c r="D329">
        <v>2</v>
      </c>
      <c r="E329" t="s">
        <v>1313</v>
      </c>
      <c r="F329" t="s">
        <v>1314</v>
      </c>
      <c r="G329" t="s">
        <v>242</v>
      </c>
      <c r="H329" t="s">
        <v>1315</v>
      </c>
      <c r="I329">
        <v>1</v>
      </c>
      <c r="J329">
        <v>74082023</v>
      </c>
      <c r="K329" s="2">
        <v>45951</v>
      </c>
      <c r="L329" s="1">
        <v>12000</v>
      </c>
      <c r="M329" t="s">
        <v>1320</v>
      </c>
      <c r="N329" t="s">
        <v>51</v>
      </c>
      <c r="O329" t="s">
        <v>1317</v>
      </c>
      <c r="P329" s="1">
        <v>11500</v>
      </c>
      <c r="Q329">
        <v>2</v>
      </c>
      <c r="R329" t="s">
        <v>1319</v>
      </c>
      <c r="S329" s="1">
        <f>Tabla1[[#This Row],[OS-Valor Unitario]]-Tabla1[[#This Row],[costo_antes_iva]]</f>
        <v>-500</v>
      </c>
      <c r="T329" s="1">
        <f>Tabla1[[#This Row],[OS-Valor Unitario]]*Tabla1[[#This Row],[OS-Cantidad]]</f>
        <v>23000</v>
      </c>
      <c r="U329" s="1">
        <f>Tabla1[[#This Row],[costo_antes_iva]]*Tabla1[[#This Row],[OS-Cantidad]]</f>
        <v>24000</v>
      </c>
      <c r="V329" s="1">
        <f>Tabla1[[#This Row],[Valor total OS]]-Tabla1[[#This Row],[valor total op]]</f>
        <v>-1000</v>
      </c>
      <c r="W329" s="1">
        <f>ROUNDDOWN(Tabla1[[#This Row],[Diferencia]]/200000,0)*200000</f>
        <v>0</v>
      </c>
    </row>
    <row r="330" spans="1:23" hidden="1" x14ac:dyDescent="0.3">
      <c r="A330">
        <v>6297</v>
      </c>
      <c r="B330">
        <v>17</v>
      </c>
      <c r="C330" t="s">
        <v>1346</v>
      </c>
      <c r="D330">
        <v>2</v>
      </c>
      <c r="E330" t="s">
        <v>1347</v>
      </c>
      <c r="F330" t="s">
        <v>1277</v>
      </c>
      <c r="G330" t="s">
        <v>474</v>
      </c>
      <c r="H330" t="s">
        <v>317</v>
      </c>
      <c r="I330">
        <v>48</v>
      </c>
      <c r="J330">
        <v>74212926</v>
      </c>
      <c r="K330" s="2">
        <v>45953</v>
      </c>
      <c r="L330" s="1">
        <v>12500</v>
      </c>
      <c r="M330" t="s">
        <v>1278</v>
      </c>
      <c r="N330" t="s">
        <v>51</v>
      </c>
      <c r="O330" t="s">
        <v>1348</v>
      </c>
      <c r="P330" s="1">
        <v>12000</v>
      </c>
      <c r="Q330">
        <v>2</v>
      </c>
      <c r="R330" t="s">
        <v>1349</v>
      </c>
      <c r="S330" s="1">
        <f>Tabla1[[#This Row],[OS-Valor Unitario]]-Tabla1[[#This Row],[costo_antes_iva]]</f>
        <v>-500</v>
      </c>
      <c r="T330" s="1">
        <f>Tabla1[[#This Row],[OS-Valor Unitario]]*Tabla1[[#This Row],[OS-Cantidad]]</f>
        <v>24000</v>
      </c>
      <c r="U330" s="1">
        <f>Tabla1[[#This Row],[costo_antes_iva]]*Tabla1[[#This Row],[OS-Cantidad]]</f>
        <v>25000</v>
      </c>
      <c r="V330" s="1">
        <f>Tabla1[[#This Row],[Valor total OS]]-Tabla1[[#This Row],[valor total op]]</f>
        <v>-1000</v>
      </c>
      <c r="W330" s="1">
        <f>ROUNDDOWN(Tabla1[[#This Row],[Diferencia]]/200000,0)*200000</f>
        <v>0</v>
      </c>
    </row>
    <row r="331" spans="1:23" hidden="1" x14ac:dyDescent="0.3">
      <c r="A331">
        <v>6384</v>
      </c>
      <c r="B331">
        <v>3</v>
      </c>
      <c r="C331" t="s">
        <v>971</v>
      </c>
      <c r="D331">
        <v>1</v>
      </c>
      <c r="E331" t="s">
        <v>959</v>
      </c>
      <c r="F331" t="s">
        <v>972</v>
      </c>
      <c r="G331" t="s">
        <v>973</v>
      </c>
      <c r="H331" t="s">
        <v>961</v>
      </c>
      <c r="I331">
        <v>1</v>
      </c>
      <c r="J331">
        <v>74647597</v>
      </c>
      <c r="K331" s="2">
        <v>45961</v>
      </c>
      <c r="L331" s="1">
        <v>15000</v>
      </c>
      <c r="M331" t="s">
        <v>962</v>
      </c>
      <c r="N331" t="s">
        <v>51</v>
      </c>
      <c r="O331" t="s">
        <v>974</v>
      </c>
      <c r="P331" s="1">
        <v>14000</v>
      </c>
      <c r="Q331">
        <v>1</v>
      </c>
      <c r="R331" t="s">
        <v>976</v>
      </c>
      <c r="S331" s="1">
        <f>Tabla1[[#This Row],[OS-Valor Unitario]]-Tabla1[[#This Row],[costo_antes_iva]]</f>
        <v>-1000</v>
      </c>
      <c r="T331" s="1">
        <f>Tabla1[[#This Row],[OS-Valor Unitario]]*Tabla1[[#This Row],[OS-Cantidad]]</f>
        <v>14000</v>
      </c>
      <c r="U331" s="1">
        <f>Tabla1[[#This Row],[costo_antes_iva]]*Tabla1[[#This Row],[OS-Cantidad]]</f>
        <v>15000</v>
      </c>
      <c r="V331" s="1">
        <f>Tabla1[[#This Row],[Valor total OS]]-Tabla1[[#This Row],[valor total op]]</f>
        <v>-1000</v>
      </c>
      <c r="W331" s="1">
        <f>ROUNDDOWN(Tabla1[[#This Row],[Diferencia]]/200000,0)*200000</f>
        <v>0</v>
      </c>
    </row>
    <row r="332" spans="1:23" hidden="1" x14ac:dyDescent="0.3">
      <c r="A332">
        <v>6492</v>
      </c>
      <c r="B332">
        <v>6</v>
      </c>
      <c r="C332" t="s">
        <v>441</v>
      </c>
      <c r="D332">
        <v>120</v>
      </c>
      <c r="E332" t="s">
        <v>418</v>
      </c>
      <c r="F332" t="s">
        <v>442</v>
      </c>
      <c r="G332" t="s">
        <v>21</v>
      </c>
      <c r="H332" t="s">
        <v>317</v>
      </c>
      <c r="I332">
        <v>120</v>
      </c>
      <c r="J332">
        <v>77864585</v>
      </c>
      <c r="K332" s="2">
        <v>46020</v>
      </c>
      <c r="L332" s="1">
        <v>19610</v>
      </c>
      <c r="M332" t="s">
        <v>420</v>
      </c>
      <c r="N332" t="s">
        <v>51</v>
      </c>
      <c r="O332" t="s">
        <v>443</v>
      </c>
      <c r="P332" s="1">
        <v>19600</v>
      </c>
      <c r="Q332">
        <v>120</v>
      </c>
      <c r="R332" t="s">
        <v>444</v>
      </c>
      <c r="S332" s="1">
        <f>Tabla1[[#This Row],[OS-Valor Unitario]]-Tabla1[[#This Row],[costo_antes_iva]]</f>
        <v>-10</v>
      </c>
      <c r="T332" s="1">
        <f>Tabla1[[#This Row],[OS-Valor Unitario]]*Tabla1[[#This Row],[OS-Cantidad]]</f>
        <v>2352000</v>
      </c>
      <c r="U332" s="1">
        <f>Tabla1[[#This Row],[costo_antes_iva]]*Tabla1[[#This Row],[OS-Cantidad]]</f>
        <v>2353200</v>
      </c>
      <c r="V332" s="1">
        <f>Tabla1[[#This Row],[Valor total OS]]-Tabla1[[#This Row],[valor total op]]</f>
        <v>-1200</v>
      </c>
      <c r="W332" s="1">
        <f>ROUNDDOWN(Tabla1[[#This Row],[Diferencia]]/200000,0)*200000</f>
        <v>0</v>
      </c>
    </row>
    <row r="333" spans="1:23" hidden="1" x14ac:dyDescent="0.3">
      <c r="A333">
        <v>6492</v>
      </c>
      <c r="B333">
        <v>6</v>
      </c>
      <c r="C333" t="s">
        <v>441</v>
      </c>
      <c r="D333">
        <v>120</v>
      </c>
      <c r="E333" t="s">
        <v>529</v>
      </c>
      <c r="F333" t="s">
        <v>442</v>
      </c>
      <c r="G333" t="s">
        <v>21</v>
      </c>
      <c r="H333" t="s">
        <v>317</v>
      </c>
      <c r="I333">
        <v>120</v>
      </c>
      <c r="J333">
        <v>77864585</v>
      </c>
      <c r="K333" s="2">
        <v>46020</v>
      </c>
      <c r="L333" s="1">
        <v>19610</v>
      </c>
      <c r="M333" t="s">
        <v>420</v>
      </c>
      <c r="N333" t="s">
        <v>51</v>
      </c>
      <c r="O333" t="s">
        <v>443</v>
      </c>
      <c r="P333" s="1">
        <v>19600</v>
      </c>
      <c r="Q333">
        <v>120</v>
      </c>
      <c r="R333" t="s">
        <v>444</v>
      </c>
      <c r="S333" s="1">
        <f>Tabla1[[#This Row],[OS-Valor Unitario]]-Tabla1[[#This Row],[costo_antes_iva]]</f>
        <v>-10</v>
      </c>
      <c r="T333" s="1">
        <f>Tabla1[[#This Row],[OS-Valor Unitario]]*Tabla1[[#This Row],[OS-Cantidad]]</f>
        <v>2352000</v>
      </c>
      <c r="U333" s="1">
        <f>Tabla1[[#This Row],[costo_antes_iva]]*Tabla1[[#This Row],[OS-Cantidad]]</f>
        <v>2353200</v>
      </c>
      <c r="V333" s="1">
        <f>Tabla1[[#This Row],[Valor total OS]]-Tabla1[[#This Row],[valor total op]]</f>
        <v>-1200</v>
      </c>
      <c r="W333" s="1">
        <f>ROUNDDOWN(Tabla1[[#This Row],[Diferencia]]/200000,0)*200000</f>
        <v>0</v>
      </c>
    </row>
    <row r="334" spans="1:23" hidden="1" x14ac:dyDescent="0.3">
      <c r="A334">
        <v>6492</v>
      </c>
      <c r="B334">
        <v>13</v>
      </c>
      <c r="C334" t="s">
        <v>469</v>
      </c>
      <c r="D334">
        <v>60</v>
      </c>
      <c r="E334" t="s">
        <v>418</v>
      </c>
      <c r="F334" t="s">
        <v>470</v>
      </c>
      <c r="G334" t="s">
        <v>21</v>
      </c>
      <c r="H334" t="s">
        <v>317</v>
      </c>
      <c r="I334">
        <v>60</v>
      </c>
      <c r="J334">
        <v>77869372</v>
      </c>
      <c r="K334" s="2">
        <v>46020</v>
      </c>
      <c r="L334" s="1">
        <v>39220</v>
      </c>
      <c r="M334" t="s">
        <v>471</v>
      </c>
      <c r="N334" t="s">
        <v>51</v>
      </c>
      <c r="O334" t="s">
        <v>472</v>
      </c>
      <c r="P334" s="1">
        <v>39200</v>
      </c>
      <c r="Q334">
        <v>60</v>
      </c>
      <c r="R334" t="s">
        <v>473</v>
      </c>
      <c r="S334" s="1">
        <f>Tabla1[[#This Row],[OS-Valor Unitario]]-Tabla1[[#This Row],[costo_antes_iva]]</f>
        <v>-20</v>
      </c>
      <c r="T334" s="1">
        <f>Tabla1[[#This Row],[OS-Valor Unitario]]*Tabla1[[#This Row],[OS-Cantidad]]</f>
        <v>2352000</v>
      </c>
      <c r="U334" s="1">
        <f>Tabla1[[#This Row],[costo_antes_iva]]*Tabla1[[#This Row],[OS-Cantidad]]</f>
        <v>2353200</v>
      </c>
      <c r="V334" s="1">
        <f>Tabla1[[#This Row],[Valor total OS]]-Tabla1[[#This Row],[valor total op]]</f>
        <v>-1200</v>
      </c>
      <c r="W334" s="1">
        <f>ROUNDDOWN(Tabla1[[#This Row],[Diferencia]]/200000,0)*200000</f>
        <v>0</v>
      </c>
    </row>
    <row r="335" spans="1:23" hidden="1" x14ac:dyDescent="0.3">
      <c r="A335">
        <v>6492</v>
      </c>
      <c r="B335">
        <v>13</v>
      </c>
      <c r="C335" t="s">
        <v>469</v>
      </c>
      <c r="D335">
        <v>60</v>
      </c>
      <c r="E335" t="s">
        <v>529</v>
      </c>
      <c r="F335" t="s">
        <v>470</v>
      </c>
      <c r="G335" t="s">
        <v>21</v>
      </c>
      <c r="H335" t="s">
        <v>317</v>
      </c>
      <c r="I335">
        <v>60</v>
      </c>
      <c r="J335">
        <v>77869372</v>
      </c>
      <c r="K335" s="2">
        <v>46020</v>
      </c>
      <c r="L335" s="1">
        <v>39220</v>
      </c>
      <c r="M335" t="s">
        <v>471</v>
      </c>
      <c r="N335" t="s">
        <v>51</v>
      </c>
      <c r="O335" t="s">
        <v>472</v>
      </c>
      <c r="P335" s="1">
        <v>39200</v>
      </c>
      <c r="Q335">
        <v>60</v>
      </c>
      <c r="R335" t="s">
        <v>473</v>
      </c>
      <c r="S335" s="1">
        <f>Tabla1[[#This Row],[OS-Valor Unitario]]-Tabla1[[#This Row],[costo_antes_iva]]</f>
        <v>-20</v>
      </c>
      <c r="T335" s="1">
        <f>Tabla1[[#This Row],[OS-Valor Unitario]]*Tabla1[[#This Row],[OS-Cantidad]]</f>
        <v>2352000</v>
      </c>
      <c r="U335" s="1">
        <f>Tabla1[[#This Row],[costo_antes_iva]]*Tabla1[[#This Row],[OS-Cantidad]]</f>
        <v>2353200</v>
      </c>
      <c r="V335" s="1">
        <f>Tabla1[[#This Row],[Valor total OS]]-Tabla1[[#This Row],[valor total op]]</f>
        <v>-1200</v>
      </c>
      <c r="W335" s="1">
        <f>ROUNDDOWN(Tabla1[[#This Row],[Diferencia]]/200000,0)*200000</f>
        <v>0</v>
      </c>
    </row>
    <row r="336" spans="1:23" hidden="1" x14ac:dyDescent="0.3">
      <c r="A336">
        <v>6492</v>
      </c>
      <c r="B336">
        <v>22</v>
      </c>
      <c r="C336" t="s">
        <v>515</v>
      </c>
      <c r="D336">
        <v>12</v>
      </c>
      <c r="E336" t="s">
        <v>418</v>
      </c>
      <c r="F336" t="s">
        <v>516</v>
      </c>
      <c r="G336" t="s">
        <v>447</v>
      </c>
      <c r="H336" t="s">
        <v>317</v>
      </c>
      <c r="I336">
        <v>12</v>
      </c>
      <c r="J336">
        <v>77864131</v>
      </c>
      <c r="K336" s="2">
        <v>46020</v>
      </c>
      <c r="L336" s="1">
        <v>1000</v>
      </c>
      <c r="M336" t="s">
        <v>517</v>
      </c>
      <c r="N336" t="s">
        <v>24</v>
      </c>
      <c r="O336" t="s">
        <v>518</v>
      </c>
      <c r="P336" s="1">
        <v>900</v>
      </c>
      <c r="Q336">
        <v>12</v>
      </c>
      <c r="R336" t="s">
        <v>519</v>
      </c>
      <c r="S336" s="1">
        <f>Tabla1[[#This Row],[OS-Valor Unitario]]-Tabla1[[#This Row],[costo_antes_iva]]</f>
        <v>-100</v>
      </c>
      <c r="T336" s="1">
        <f>Tabla1[[#This Row],[OS-Valor Unitario]]*Tabla1[[#This Row],[OS-Cantidad]]</f>
        <v>10800</v>
      </c>
      <c r="U336" s="1">
        <f>Tabla1[[#This Row],[costo_antes_iva]]*Tabla1[[#This Row],[OS-Cantidad]]</f>
        <v>12000</v>
      </c>
      <c r="V336" s="1">
        <f>Tabla1[[#This Row],[Valor total OS]]-Tabla1[[#This Row],[valor total op]]</f>
        <v>-1200</v>
      </c>
      <c r="W336" s="1">
        <f>ROUNDDOWN(Tabla1[[#This Row],[Diferencia]]/200000,0)*200000</f>
        <v>0</v>
      </c>
    </row>
    <row r="337" spans="1:23" hidden="1" x14ac:dyDescent="0.3">
      <c r="A337">
        <v>6492</v>
      </c>
      <c r="B337">
        <v>22</v>
      </c>
      <c r="C337" t="s">
        <v>515</v>
      </c>
      <c r="D337">
        <v>12</v>
      </c>
      <c r="E337" t="s">
        <v>529</v>
      </c>
      <c r="F337" t="s">
        <v>516</v>
      </c>
      <c r="G337" t="s">
        <v>447</v>
      </c>
      <c r="H337" t="s">
        <v>317</v>
      </c>
      <c r="I337">
        <v>12</v>
      </c>
      <c r="J337">
        <v>77864131</v>
      </c>
      <c r="K337" s="2">
        <v>46020</v>
      </c>
      <c r="L337" s="1">
        <v>1000</v>
      </c>
      <c r="M337" t="s">
        <v>517</v>
      </c>
      <c r="N337" t="s">
        <v>24</v>
      </c>
      <c r="O337" t="s">
        <v>518</v>
      </c>
      <c r="P337" s="1">
        <v>900</v>
      </c>
      <c r="Q337">
        <v>12</v>
      </c>
      <c r="R337" t="s">
        <v>519</v>
      </c>
      <c r="S337" s="1">
        <f>Tabla1[[#This Row],[OS-Valor Unitario]]-Tabla1[[#This Row],[costo_antes_iva]]</f>
        <v>-100</v>
      </c>
      <c r="T337" s="1">
        <f>Tabla1[[#This Row],[OS-Valor Unitario]]*Tabla1[[#This Row],[OS-Cantidad]]</f>
        <v>10800</v>
      </c>
      <c r="U337" s="1">
        <f>Tabla1[[#This Row],[costo_antes_iva]]*Tabla1[[#This Row],[OS-Cantidad]]</f>
        <v>12000</v>
      </c>
      <c r="V337" s="1">
        <f>Tabla1[[#This Row],[Valor total OS]]-Tabla1[[#This Row],[valor total op]]</f>
        <v>-1200</v>
      </c>
      <c r="W337" s="1">
        <f>ROUNDDOWN(Tabla1[[#This Row],[Diferencia]]/200000,0)*200000</f>
        <v>0</v>
      </c>
    </row>
    <row r="338" spans="1:23" hidden="1" x14ac:dyDescent="0.3">
      <c r="A338">
        <v>6381</v>
      </c>
      <c r="B338">
        <v>3</v>
      </c>
      <c r="C338" t="s">
        <v>1079</v>
      </c>
      <c r="D338">
        <v>6</v>
      </c>
      <c r="E338" t="s">
        <v>1068</v>
      </c>
      <c r="F338" t="s">
        <v>1075</v>
      </c>
      <c r="G338" t="s">
        <v>118</v>
      </c>
      <c r="H338" t="s">
        <v>294</v>
      </c>
      <c r="I338">
        <v>6</v>
      </c>
      <c r="J338">
        <v>74553143</v>
      </c>
      <c r="K338" s="2">
        <v>45959</v>
      </c>
      <c r="L338" s="1">
        <v>1800</v>
      </c>
      <c r="M338" t="s">
        <v>1078</v>
      </c>
      <c r="N338" t="s">
        <v>24</v>
      </c>
      <c r="O338" t="s">
        <v>1080</v>
      </c>
      <c r="P338" s="1">
        <v>1600</v>
      </c>
      <c r="Q338">
        <v>6</v>
      </c>
      <c r="R338" t="s">
        <v>1082</v>
      </c>
      <c r="S338" s="1">
        <f>Tabla1[[#This Row],[OS-Valor Unitario]]-Tabla1[[#This Row],[costo_antes_iva]]</f>
        <v>-200</v>
      </c>
      <c r="T338" s="1">
        <f>Tabla1[[#This Row],[OS-Valor Unitario]]*Tabla1[[#This Row],[OS-Cantidad]]</f>
        <v>9600</v>
      </c>
      <c r="U338" s="1">
        <f>Tabla1[[#This Row],[costo_antes_iva]]*Tabla1[[#This Row],[OS-Cantidad]]</f>
        <v>10800</v>
      </c>
      <c r="V338" s="1">
        <f>Tabla1[[#This Row],[Valor total OS]]-Tabla1[[#This Row],[valor total op]]</f>
        <v>-1200</v>
      </c>
      <c r="W338" s="1">
        <f>ROUNDDOWN(Tabla1[[#This Row],[Diferencia]]/200000,0)*200000</f>
        <v>0</v>
      </c>
    </row>
    <row r="339" spans="1:23" hidden="1" x14ac:dyDescent="0.3">
      <c r="A339">
        <v>6433</v>
      </c>
      <c r="B339">
        <v>4</v>
      </c>
      <c r="C339" t="s">
        <v>848</v>
      </c>
      <c r="D339">
        <v>7</v>
      </c>
      <c r="E339" t="s">
        <v>834</v>
      </c>
      <c r="F339" t="s">
        <v>849</v>
      </c>
      <c r="G339" t="s">
        <v>753</v>
      </c>
      <c r="H339" t="s">
        <v>166</v>
      </c>
      <c r="I339">
        <v>0</v>
      </c>
      <c r="J339">
        <v>76289390</v>
      </c>
      <c r="K339" s="2">
        <v>45988</v>
      </c>
      <c r="L339" s="1">
        <v>1600</v>
      </c>
      <c r="M339" t="s">
        <v>837</v>
      </c>
      <c r="N339" t="s">
        <v>24</v>
      </c>
      <c r="O339" t="s">
        <v>850</v>
      </c>
      <c r="P339" s="1">
        <v>1400</v>
      </c>
      <c r="Q339">
        <v>7</v>
      </c>
      <c r="R339" t="s">
        <v>852</v>
      </c>
      <c r="S339" s="1">
        <f>Tabla1[[#This Row],[OS-Valor Unitario]]-Tabla1[[#This Row],[costo_antes_iva]]</f>
        <v>-200</v>
      </c>
      <c r="T339" s="1">
        <f>Tabla1[[#This Row],[OS-Valor Unitario]]*Tabla1[[#This Row],[OS-Cantidad]]</f>
        <v>9800</v>
      </c>
      <c r="U339" s="1">
        <f>Tabla1[[#This Row],[costo_antes_iva]]*Tabla1[[#This Row],[OS-Cantidad]]</f>
        <v>11200</v>
      </c>
      <c r="V339" s="1">
        <f>Tabla1[[#This Row],[Valor total OS]]-Tabla1[[#This Row],[valor total op]]</f>
        <v>-1400</v>
      </c>
      <c r="W339" s="1">
        <f>ROUNDDOWN(Tabla1[[#This Row],[Diferencia]]/200000,0)*200000</f>
        <v>0</v>
      </c>
    </row>
    <row r="340" spans="1:23" hidden="1" x14ac:dyDescent="0.3">
      <c r="A340">
        <v>6373</v>
      </c>
      <c r="B340">
        <v>1</v>
      </c>
      <c r="C340" t="s">
        <v>1247</v>
      </c>
      <c r="D340">
        <v>1</v>
      </c>
      <c r="E340" t="s">
        <v>1248</v>
      </c>
      <c r="F340" t="s">
        <v>1249</v>
      </c>
      <c r="G340" t="s">
        <v>738</v>
      </c>
      <c r="H340" t="s">
        <v>166</v>
      </c>
      <c r="I340">
        <v>1</v>
      </c>
      <c r="J340">
        <v>74280383</v>
      </c>
      <c r="K340" s="2">
        <v>45954</v>
      </c>
      <c r="L340" s="1">
        <v>2500</v>
      </c>
      <c r="M340" t="s">
        <v>1250</v>
      </c>
      <c r="N340" t="s">
        <v>24</v>
      </c>
      <c r="O340" t="s">
        <v>1251</v>
      </c>
      <c r="P340" s="1">
        <v>1000</v>
      </c>
      <c r="Q340">
        <v>1</v>
      </c>
      <c r="R340" t="s">
        <v>1253</v>
      </c>
      <c r="S340" s="1">
        <f>Tabla1[[#This Row],[OS-Valor Unitario]]-Tabla1[[#This Row],[costo_antes_iva]]</f>
        <v>-1500</v>
      </c>
      <c r="T340" s="1">
        <f>Tabla1[[#This Row],[OS-Valor Unitario]]*Tabla1[[#This Row],[OS-Cantidad]]</f>
        <v>1000</v>
      </c>
      <c r="U340" s="1">
        <f>Tabla1[[#This Row],[costo_antes_iva]]*Tabla1[[#This Row],[OS-Cantidad]]</f>
        <v>2500</v>
      </c>
      <c r="V340" s="1">
        <f>Tabla1[[#This Row],[Valor total OS]]-Tabla1[[#This Row],[valor total op]]</f>
        <v>-1500</v>
      </c>
      <c r="W340" s="1">
        <f>ROUNDDOWN(Tabla1[[#This Row],[Diferencia]]/200000,0)*200000</f>
        <v>0</v>
      </c>
    </row>
    <row r="341" spans="1:23" hidden="1" x14ac:dyDescent="0.3">
      <c r="A341">
        <v>6378</v>
      </c>
      <c r="B341">
        <v>4</v>
      </c>
      <c r="C341" t="s">
        <v>1159</v>
      </c>
      <c r="D341">
        <v>2</v>
      </c>
      <c r="E341" t="s">
        <v>1141</v>
      </c>
      <c r="F341" t="s">
        <v>1160</v>
      </c>
      <c r="G341" t="s">
        <v>1143</v>
      </c>
      <c r="H341" t="s">
        <v>166</v>
      </c>
      <c r="I341">
        <v>1</v>
      </c>
      <c r="J341">
        <v>74463526</v>
      </c>
      <c r="K341" s="2">
        <v>45958</v>
      </c>
      <c r="L341" s="1">
        <v>12500</v>
      </c>
      <c r="M341" t="s">
        <v>1161</v>
      </c>
      <c r="N341" t="s">
        <v>24</v>
      </c>
      <c r="O341" t="s">
        <v>1162</v>
      </c>
      <c r="P341" s="1">
        <v>11700</v>
      </c>
      <c r="Q341">
        <v>2</v>
      </c>
      <c r="R341" t="s">
        <v>1164</v>
      </c>
      <c r="S341" s="1">
        <f>Tabla1[[#This Row],[OS-Valor Unitario]]-Tabla1[[#This Row],[costo_antes_iva]]</f>
        <v>-800</v>
      </c>
      <c r="T341" s="1">
        <f>Tabla1[[#This Row],[OS-Valor Unitario]]*Tabla1[[#This Row],[OS-Cantidad]]</f>
        <v>23400</v>
      </c>
      <c r="U341" s="1">
        <f>Tabla1[[#This Row],[costo_antes_iva]]*Tabla1[[#This Row],[OS-Cantidad]]</f>
        <v>25000</v>
      </c>
      <c r="V341" s="1">
        <f>Tabla1[[#This Row],[Valor total OS]]-Tabla1[[#This Row],[valor total op]]</f>
        <v>-1600</v>
      </c>
      <c r="W341" s="1">
        <f>ROUNDDOWN(Tabla1[[#This Row],[Diferencia]]/200000,0)*200000</f>
        <v>0</v>
      </c>
    </row>
    <row r="342" spans="1:23" hidden="1" x14ac:dyDescent="0.3">
      <c r="A342">
        <v>6377</v>
      </c>
      <c r="B342">
        <v>1</v>
      </c>
      <c r="C342" t="s">
        <v>1165</v>
      </c>
      <c r="D342">
        <v>11</v>
      </c>
      <c r="E342" t="s">
        <v>1166</v>
      </c>
      <c r="F342" t="s">
        <v>1167</v>
      </c>
      <c r="G342" t="s">
        <v>242</v>
      </c>
      <c r="H342" t="s">
        <v>166</v>
      </c>
      <c r="I342">
        <v>1</v>
      </c>
      <c r="J342">
        <v>74399608</v>
      </c>
      <c r="K342" s="2">
        <v>45957</v>
      </c>
      <c r="L342" s="1">
        <v>1800</v>
      </c>
      <c r="M342" t="s">
        <v>1168</v>
      </c>
      <c r="N342" t="s">
        <v>24</v>
      </c>
      <c r="O342" t="s">
        <v>1169</v>
      </c>
      <c r="P342" s="1">
        <v>1650</v>
      </c>
      <c r="Q342">
        <v>11</v>
      </c>
      <c r="R342" t="s">
        <v>1171</v>
      </c>
      <c r="S342" s="1">
        <f>Tabla1[[#This Row],[OS-Valor Unitario]]-Tabla1[[#This Row],[costo_antes_iva]]</f>
        <v>-150</v>
      </c>
      <c r="T342" s="1">
        <f>Tabla1[[#This Row],[OS-Valor Unitario]]*Tabla1[[#This Row],[OS-Cantidad]]</f>
        <v>18150</v>
      </c>
      <c r="U342" s="1">
        <f>Tabla1[[#This Row],[costo_antes_iva]]*Tabla1[[#This Row],[OS-Cantidad]]</f>
        <v>19800</v>
      </c>
      <c r="V342" s="1">
        <f>Tabla1[[#This Row],[Valor total OS]]-Tabla1[[#This Row],[valor total op]]</f>
        <v>-1650</v>
      </c>
      <c r="W342" s="1">
        <f>ROUNDDOWN(Tabla1[[#This Row],[Diferencia]]/200000,0)*200000</f>
        <v>0</v>
      </c>
    </row>
    <row r="343" spans="1:23" hidden="1" x14ac:dyDescent="0.3">
      <c r="A343">
        <v>6377</v>
      </c>
      <c r="B343">
        <v>4</v>
      </c>
      <c r="C343" t="s">
        <v>1183</v>
      </c>
      <c r="D343">
        <v>11</v>
      </c>
      <c r="E343" t="s">
        <v>1166</v>
      </c>
      <c r="F343" t="s">
        <v>1178</v>
      </c>
      <c r="G343" t="s">
        <v>118</v>
      </c>
      <c r="H343" t="s">
        <v>166</v>
      </c>
      <c r="I343">
        <v>1</v>
      </c>
      <c r="J343">
        <v>74399620</v>
      </c>
      <c r="K343" s="2">
        <v>45957</v>
      </c>
      <c r="L343" s="1">
        <v>1800</v>
      </c>
      <c r="M343" t="s">
        <v>1168</v>
      </c>
      <c r="N343" t="s">
        <v>24</v>
      </c>
      <c r="O343" t="s">
        <v>1184</v>
      </c>
      <c r="P343" s="1">
        <v>1650</v>
      </c>
      <c r="Q343">
        <v>11</v>
      </c>
      <c r="R343" t="s">
        <v>1186</v>
      </c>
      <c r="S343" s="1">
        <f>Tabla1[[#This Row],[OS-Valor Unitario]]-Tabla1[[#This Row],[costo_antes_iva]]</f>
        <v>-150</v>
      </c>
      <c r="T343" s="1">
        <f>Tabla1[[#This Row],[OS-Valor Unitario]]*Tabla1[[#This Row],[OS-Cantidad]]</f>
        <v>18150</v>
      </c>
      <c r="U343" s="1">
        <f>Tabla1[[#This Row],[costo_antes_iva]]*Tabla1[[#This Row],[OS-Cantidad]]</f>
        <v>19800</v>
      </c>
      <c r="V343" s="1">
        <f>Tabla1[[#This Row],[Valor total OS]]-Tabla1[[#This Row],[valor total op]]</f>
        <v>-1650</v>
      </c>
      <c r="W343" s="1">
        <f>ROUNDDOWN(Tabla1[[#This Row],[Diferencia]]/200000,0)*200000</f>
        <v>0</v>
      </c>
    </row>
    <row r="344" spans="1:23" hidden="1" x14ac:dyDescent="0.3">
      <c r="A344">
        <v>6377</v>
      </c>
      <c r="B344">
        <v>4</v>
      </c>
      <c r="C344" t="s">
        <v>1183</v>
      </c>
      <c r="D344">
        <v>11</v>
      </c>
      <c r="E344" t="s">
        <v>1166</v>
      </c>
      <c r="F344" t="s">
        <v>1178</v>
      </c>
      <c r="G344" t="s">
        <v>242</v>
      </c>
      <c r="H344" t="s">
        <v>166</v>
      </c>
      <c r="I344">
        <v>1</v>
      </c>
      <c r="J344">
        <v>74403668</v>
      </c>
      <c r="K344" s="2">
        <v>45957</v>
      </c>
      <c r="L344" s="1">
        <v>1800</v>
      </c>
      <c r="M344" t="s">
        <v>1182</v>
      </c>
      <c r="N344" t="s">
        <v>24</v>
      </c>
      <c r="O344" t="s">
        <v>1184</v>
      </c>
      <c r="P344" s="1">
        <v>1650</v>
      </c>
      <c r="Q344">
        <v>11</v>
      </c>
      <c r="R344" t="s">
        <v>1186</v>
      </c>
      <c r="S344" s="1">
        <f>Tabla1[[#This Row],[OS-Valor Unitario]]-Tabla1[[#This Row],[costo_antes_iva]]</f>
        <v>-150</v>
      </c>
      <c r="T344" s="1">
        <f>Tabla1[[#This Row],[OS-Valor Unitario]]*Tabla1[[#This Row],[OS-Cantidad]]</f>
        <v>18150</v>
      </c>
      <c r="U344" s="1">
        <f>Tabla1[[#This Row],[costo_antes_iva]]*Tabla1[[#This Row],[OS-Cantidad]]</f>
        <v>19800</v>
      </c>
      <c r="V344" s="1">
        <f>Tabla1[[#This Row],[Valor total OS]]-Tabla1[[#This Row],[valor total op]]</f>
        <v>-1650</v>
      </c>
      <c r="W344" s="1">
        <f>ROUNDDOWN(Tabla1[[#This Row],[Diferencia]]/200000,0)*200000</f>
        <v>0</v>
      </c>
    </row>
    <row r="345" spans="1:23" hidden="1" x14ac:dyDescent="0.3">
      <c r="A345">
        <v>6492</v>
      </c>
      <c r="B345">
        <v>1</v>
      </c>
      <c r="C345" t="s">
        <v>417</v>
      </c>
      <c r="D345">
        <v>10</v>
      </c>
      <c r="E345" t="s">
        <v>418</v>
      </c>
      <c r="F345" t="s">
        <v>419</v>
      </c>
      <c r="G345" t="s">
        <v>1375</v>
      </c>
      <c r="H345" t="s">
        <v>317</v>
      </c>
      <c r="I345">
        <v>10</v>
      </c>
      <c r="J345">
        <v>77864531</v>
      </c>
      <c r="K345" s="2">
        <v>46020</v>
      </c>
      <c r="L345" s="1">
        <v>1600</v>
      </c>
      <c r="M345" t="s">
        <v>420</v>
      </c>
      <c r="N345" t="s">
        <v>65</v>
      </c>
      <c r="O345" t="s">
        <v>421</v>
      </c>
      <c r="P345" s="1">
        <v>1400</v>
      </c>
      <c r="Q345">
        <v>10</v>
      </c>
      <c r="R345" t="s">
        <v>422</v>
      </c>
      <c r="S345" s="1">
        <f>Tabla1[[#This Row],[OS-Valor Unitario]]-Tabla1[[#This Row],[costo_antes_iva]]</f>
        <v>-200</v>
      </c>
      <c r="T345" s="1">
        <f>Tabla1[[#This Row],[OS-Valor Unitario]]*Tabla1[[#This Row],[OS-Cantidad]]</f>
        <v>14000</v>
      </c>
      <c r="U345" s="1">
        <f>Tabla1[[#This Row],[costo_antes_iva]]*Tabla1[[#This Row],[OS-Cantidad]]</f>
        <v>16000</v>
      </c>
      <c r="V345" s="1">
        <f>Tabla1[[#This Row],[Valor total OS]]-Tabla1[[#This Row],[valor total op]]</f>
        <v>-2000</v>
      </c>
      <c r="W345" s="1">
        <f>ROUNDDOWN(Tabla1[[#This Row],[Diferencia]]/200000,0)*200000</f>
        <v>0</v>
      </c>
    </row>
    <row r="346" spans="1:23" hidden="1" x14ac:dyDescent="0.3">
      <c r="A346">
        <v>6492</v>
      </c>
      <c r="B346">
        <v>1</v>
      </c>
      <c r="C346" t="s">
        <v>417</v>
      </c>
      <c r="D346">
        <v>10</v>
      </c>
      <c r="E346" t="s">
        <v>529</v>
      </c>
      <c r="F346" t="s">
        <v>419</v>
      </c>
      <c r="G346" t="s">
        <v>1375</v>
      </c>
      <c r="H346" t="s">
        <v>317</v>
      </c>
      <c r="I346">
        <v>10</v>
      </c>
      <c r="J346">
        <v>77864531</v>
      </c>
      <c r="K346" s="2">
        <v>46020</v>
      </c>
      <c r="L346" s="1">
        <v>1600</v>
      </c>
      <c r="M346" t="s">
        <v>420</v>
      </c>
      <c r="N346" t="s">
        <v>65</v>
      </c>
      <c r="O346" t="s">
        <v>421</v>
      </c>
      <c r="P346" s="1">
        <v>1400</v>
      </c>
      <c r="Q346">
        <v>10</v>
      </c>
      <c r="R346" t="s">
        <v>422</v>
      </c>
      <c r="S346" s="1">
        <f>Tabla1[[#This Row],[OS-Valor Unitario]]-Tabla1[[#This Row],[costo_antes_iva]]</f>
        <v>-200</v>
      </c>
      <c r="T346" s="1">
        <f>Tabla1[[#This Row],[OS-Valor Unitario]]*Tabla1[[#This Row],[OS-Cantidad]]</f>
        <v>14000</v>
      </c>
      <c r="U346" s="1">
        <f>Tabla1[[#This Row],[costo_antes_iva]]*Tabla1[[#This Row],[OS-Cantidad]]</f>
        <v>16000</v>
      </c>
      <c r="V346" s="1">
        <f>Tabla1[[#This Row],[Valor total OS]]-Tabla1[[#This Row],[valor total op]]</f>
        <v>-2000</v>
      </c>
      <c r="W346" s="1">
        <f>ROUNDDOWN(Tabla1[[#This Row],[Diferencia]]/200000,0)*200000</f>
        <v>0</v>
      </c>
    </row>
    <row r="347" spans="1:23" hidden="1" x14ac:dyDescent="0.3">
      <c r="A347">
        <v>6376</v>
      </c>
      <c r="B347">
        <v>6</v>
      </c>
      <c r="C347" t="s">
        <v>1209</v>
      </c>
      <c r="D347">
        <v>5</v>
      </c>
      <c r="E347" t="s">
        <v>1188</v>
      </c>
      <c r="F347" t="s">
        <v>1210</v>
      </c>
      <c r="G347" t="s">
        <v>738</v>
      </c>
      <c r="H347" t="s">
        <v>166</v>
      </c>
      <c r="I347">
        <v>1</v>
      </c>
      <c r="J347">
        <v>74394200</v>
      </c>
      <c r="K347" s="2">
        <v>45957</v>
      </c>
      <c r="L347" s="1">
        <v>1600</v>
      </c>
      <c r="M347" t="s">
        <v>1190</v>
      </c>
      <c r="N347" t="s">
        <v>24</v>
      </c>
      <c r="O347" t="s">
        <v>1211</v>
      </c>
      <c r="P347" s="1">
        <v>1400</v>
      </c>
      <c r="Q347">
        <v>10</v>
      </c>
      <c r="R347" t="s">
        <v>1213</v>
      </c>
      <c r="S347" s="1">
        <f>Tabla1[[#This Row],[OS-Valor Unitario]]-Tabla1[[#This Row],[costo_antes_iva]]</f>
        <v>-200</v>
      </c>
      <c r="T347" s="1">
        <f>Tabla1[[#This Row],[OS-Valor Unitario]]*Tabla1[[#This Row],[OS-Cantidad]]</f>
        <v>14000</v>
      </c>
      <c r="U347" s="1">
        <f>Tabla1[[#This Row],[costo_antes_iva]]*Tabla1[[#This Row],[OS-Cantidad]]</f>
        <v>16000</v>
      </c>
      <c r="V347" s="1">
        <f>Tabla1[[#This Row],[Valor total OS]]-Tabla1[[#This Row],[valor total op]]</f>
        <v>-2000</v>
      </c>
      <c r="W347" s="1">
        <f>ROUNDDOWN(Tabla1[[#This Row],[Diferencia]]/200000,0)*200000</f>
        <v>0</v>
      </c>
    </row>
    <row r="348" spans="1:23" hidden="1" x14ac:dyDescent="0.3">
      <c r="A348">
        <v>6373</v>
      </c>
      <c r="B348">
        <v>1</v>
      </c>
      <c r="C348" t="s">
        <v>1247</v>
      </c>
      <c r="D348">
        <v>1</v>
      </c>
      <c r="E348" t="s">
        <v>1248</v>
      </c>
      <c r="F348" t="s">
        <v>1249</v>
      </c>
      <c r="G348" t="s">
        <v>738</v>
      </c>
      <c r="H348" t="s">
        <v>166</v>
      </c>
      <c r="I348">
        <v>1</v>
      </c>
      <c r="J348">
        <v>74280383</v>
      </c>
      <c r="K348" s="2">
        <v>45954</v>
      </c>
      <c r="L348" s="1">
        <v>17000</v>
      </c>
      <c r="M348" t="s">
        <v>1250</v>
      </c>
      <c r="N348" t="s">
        <v>51</v>
      </c>
      <c r="O348" t="s">
        <v>1251</v>
      </c>
      <c r="P348" s="1">
        <v>15000</v>
      </c>
      <c r="Q348">
        <v>1</v>
      </c>
      <c r="R348" t="s">
        <v>1252</v>
      </c>
      <c r="S348" s="1">
        <f>Tabla1[[#This Row],[OS-Valor Unitario]]-Tabla1[[#This Row],[costo_antes_iva]]</f>
        <v>-2000</v>
      </c>
      <c r="T348" s="1">
        <f>Tabla1[[#This Row],[OS-Valor Unitario]]*Tabla1[[#This Row],[OS-Cantidad]]</f>
        <v>15000</v>
      </c>
      <c r="U348" s="1">
        <f>Tabla1[[#This Row],[costo_antes_iva]]*Tabla1[[#This Row],[OS-Cantidad]]</f>
        <v>17000</v>
      </c>
      <c r="V348" s="1">
        <f>Tabla1[[#This Row],[Valor total OS]]-Tabla1[[#This Row],[valor total op]]</f>
        <v>-2000</v>
      </c>
      <c r="W348" s="1">
        <f>ROUNDDOWN(Tabla1[[#This Row],[Diferencia]]/200000,0)*200000</f>
        <v>0</v>
      </c>
    </row>
    <row r="349" spans="1:23" hidden="1" x14ac:dyDescent="0.3">
      <c r="A349">
        <v>6436</v>
      </c>
      <c r="B349">
        <v>1</v>
      </c>
      <c r="C349" t="s">
        <v>809</v>
      </c>
      <c r="D349">
        <v>15</v>
      </c>
      <c r="E349" t="s">
        <v>810</v>
      </c>
      <c r="F349" t="s">
        <v>811</v>
      </c>
      <c r="G349" t="s">
        <v>545</v>
      </c>
      <c r="H349" t="s">
        <v>166</v>
      </c>
      <c r="I349">
        <v>15</v>
      </c>
      <c r="J349">
        <v>76366653</v>
      </c>
      <c r="K349" s="2">
        <v>45989</v>
      </c>
      <c r="L349" s="1">
        <v>1800</v>
      </c>
      <c r="M349" t="s">
        <v>812</v>
      </c>
      <c r="N349" t="s">
        <v>24</v>
      </c>
      <c r="O349" t="s">
        <v>813</v>
      </c>
      <c r="P349" s="1">
        <v>1650</v>
      </c>
      <c r="Q349">
        <v>15</v>
      </c>
      <c r="R349" t="s">
        <v>815</v>
      </c>
      <c r="S349" s="1">
        <f>Tabla1[[#This Row],[OS-Valor Unitario]]-Tabla1[[#This Row],[costo_antes_iva]]</f>
        <v>-150</v>
      </c>
      <c r="T349" s="1">
        <f>Tabla1[[#This Row],[OS-Valor Unitario]]*Tabla1[[#This Row],[OS-Cantidad]]</f>
        <v>24750</v>
      </c>
      <c r="U349" s="1">
        <f>Tabla1[[#This Row],[costo_antes_iva]]*Tabla1[[#This Row],[OS-Cantidad]]</f>
        <v>27000</v>
      </c>
      <c r="V349" s="1">
        <f>Tabla1[[#This Row],[Valor total OS]]-Tabla1[[#This Row],[valor total op]]</f>
        <v>-2250</v>
      </c>
      <c r="W349" s="1">
        <f>ROUNDDOWN(Tabla1[[#This Row],[Diferencia]]/200000,0)*200000</f>
        <v>0</v>
      </c>
    </row>
    <row r="350" spans="1:23" hidden="1" x14ac:dyDescent="0.3">
      <c r="A350">
        <v>6421</v>
      </c>
      <c r="B350">
        <v>5</v>
      </c>
      <c r="C350" t="s">
        <v>944</v>
      </c>
      <c r="D350">
        <v>4</v>
      </c>
      <c r="E350" t="s">
        <v>921</v>
      </c>
      <c r="F350" t="s">
        <v>939</v>
      </c>
      <c r="G350" t="s">
        <v>118</v>
      </c>
      <c r="H350" t="s">
        <v>923</v>
      </c>
      <c r="I350">
        <v>26</v>
      </c>
      <c r="J350">
        <v>75709159</v>
      </c>
      <c r="K350" s="2">
        <v>45982</v>
      </c>
      <c r="L350" s="1">
        <v>5600</v>
      </c>
      <c r="M350" t="s">
        <v>924</v>
      </c>
      <c r="N350" t="s">
        <v>24</v>
      </c>
      <c r="O350" t="s">
        <v>945</v>
      </c>
      <c r="P350" s="1">
        <v>5000</v>
      </c>
      <c r="Q350">
        <v>4</v>
      </c>
      <c r="R350" t="s">
        <v>947</v>
      </c>
      <c r="S350" s="1">
        <f>Tabla1[[#This Row],[OS-Valor Unitario]]-Tabla1[[#This Row],[costo_antes_iva]]</f>
        <v>-600</v>
      </c>
      <c r="T350" s="1">
        <f>Tabla1[[#This Row],[OS-Valor Unitario]]*Tabla1[[#This Row],[OS-Cantidad]]</f>
        <v>20000</v>
      </c>
      <c r="U350" s="1">
        <f>Tabla1[[#This Row],[costo_antes_iva]]*Tabla1[[#This Row],[OS-Cantidad]]</f>
        <v>22400</v>
      </c>
      <c r="V350" s="1">
        <f>Tabla1[[#This Row],[Valor total OS]]-Tabla1[[#This Row],[valor total op]]</f>
        <v>-2400</v>
      </c>
      <c r="W350" s="1">
        <f>ROUNDDOWN(Tabla1[[#This Row],[Diferencia]]/200000,0)*200000</f>
        <v>0</v>
      </c>
    </row>
    <row r="351" spans="1:23" hidden="1" x14ac:dyDescent="0.3">
      <c r="A351">
        <v>6492</v>
      </c>
      <c r="B351">
        <v>19</v>
      </c>
      <c r="C351" t="s">
        <v>501</v>
      </c>
      <c r="D351">
        <v>30</v>
      </c>
      <c r="E351" t="s">
        <v>418</v>
      </c>
      <c r="F351" t="s">
        <v>502</v>
      </c>
      <c r="G351" t="s">
        <v>394</v>
      </c>
      <c r="H351" t="s">
        <v>317</v>
      </c>
      <c r="I351">
        <v>30</v>
      </c>
      <c r="J351">
        <v>77869427</v>
      </c>
      <c r="K351" s="2">
        <v>46020</v>
      </c>
      <c r="L351" s="1">
        <v>1000</v>
      </c>
      <c r="M351" t="s">
        <v>506</v>
      </c>
      <c r="N351" t="s">
        <v>24</v>
      </c>
      <c r="O351" t="s">
        <v>504</v>
      </c>
      <c r="P351" s="1">
        <v>900</v>
      </c>
      <c r="Q351">
        <v>30</v>
      </c>
      <c r="R351" t="s">
        <v>507</v>
      </c>
      <c r="S351" s="1">
        <f>Tabla1[[#This Row],[OS-Valor Unitario]]-Tabla1[[#This Row],[costo_antes_iva]]</f>
        <v>-100</v>
      </c>
      <c r="T351" s="1">
        <f>Tabla1[[#This Row],[OS-Valor Unitario]]*Tabla1[[#This Row],[OS-Cantidad]]</f>
        <v>27000</v>
      </c>
      <c r="U351" s="1">
        <f>Tabla1[[#This Row],[costo_antes_iva]]*Tabla1[[#This Row],[OS-Cantidad]]</f>
        <v>30000</v>
      </c>
      <c r="V351" s="1">
        <f>Tabla1[[#This Row],[Valor total OS]]-Tabla1[[#This Row],[valor total op]]</f>
        <v>-3000</v>
      </c>
      <c r="W351" s="1">
        <f>ROUNDDOWN(Tabla1[[#This Row],[Diferencia]]/200000,0)*200000</f>
        <v>0</v>
      </c>
    </row>
    <row r="352" spans="1:23" hidden="1" x14ac:dyDescent="0.3">
      <c r="A352">
        <v>6492</v>
      </c>
      <c r="B352">
        <v>19</v>
      </c>
      <c r="C352" t="s">
        <v>501</v>
      </c>
      <c r="D352">
        <v>30</v>
      </c>
      <c r="E352" t="s">
        <v>529</v>
      </c>
      <c r="F352" t="s">
        <v>502</v>
      </c>
      <c r="G352" t="s">
        <v>394</v>
      </c>
      <c r="H352" t="s">
        <v>317</v>
      </c>
      <c r="I352">
        <v>30</v>
      </c>
      <c r="J352">
        <v>77869427</v>
      </c>
      <c r="K352" s="2">
        <v>46020</v>
      </c>
      <c r="L352" s="1">
        <v>1000</v>
      </c>
      <c r="M352" t="s">
        <v>506</v>
      </c>
      <c r="N352" t="s">
        <v>24</v>
      </c>
      <c r="O352" t="s">
        <v>504</v>
      </c>
      <c r="P352" s="1">
        <v>900</v>
      </c>
      <c r="Q352">
        <v>30</v>
      </c>
      <c r="R352" t="s">
        <v>507</v>
      </c>
      <c r="S352" s="1">
        <f>Tabla1[[#This Row],[OS-Valor Unitario]]-Tabla1[[#This Row],[costo_antes_iva]]</f>
        <v>-100</v>
      </c>
      <c r="T352" s="1">
        <f>Tabla1[[#This Row],[OS-Valor Unitario]]*Tabla1[[#This Row],[OS-Cantidad]]</f>
        <v>27000</v>
      </c>
      <c r="U352" s="1">
        <f>Tabla1[[#This Row],[costo_antes_iva]]*Tabla1[[#This Row],[OS-Cantidad]]</f>
        <v>30000</v>
      </c>
      <c r="V352" s="1">
        <f>Tabla1[[#This Row],[Valor total OS]]-Tabla1[[#This Row],[valor total op]]</f>
        <v>-3000</v>
      </c>
      <c r="W352" s="1">
        <f>ROUNDDOWN(Tabla1[[#This Row],[Diferencia]]/200000,0)*200000</f>
        <v>0</v>
      </c>
    </row>
    <row r="353" spans="1:23" hidden="1" x14ac:dyDescent="0.3">
      <c r="A353">
        <v>6377</v>
      </c>
      <c r="B353">
        <v>2</v>
      </c>
      <c r="C353" t="s">
        <v>1172</v>
      </c>
      <c r="D353">
        <v>20</v>
      </c>
      <c r="E353" t="s">
        <v>1166</v>
      </c>
      <c r="F353" t="s">
        <v>1173</v>
      </c>
      <c r="G353" t="s">
        <v>118</v>
      </c>
      <c r="H353" t="s">
        <v>166</v>
      </c>
      <c r="I353">
        <v>1</v>
      </c>
      <c r="J353">
        <v>74399614</v>
      </c>
      <c r="K353" s="2">
        <v>45957</v>
      </c>
      <c r="L353" s="1">
        <v>1800</v>
      </c>
      <c r="M353" t="s">
        <v>1168</v>
      </c>
      <c r="N353" t="s">
        <v>24</v>
      </c>
      <c r="O353" t="s">
        <v>1174</v>
      </c>
      <c r="P353" s="1">
        <v>1650</v>
      </c>
      <c r="Q353">
        <v>20</v>
      </c>
      <c r="R353" t="s">
        <v>1176</v>
      </c>
      <c r="S353" s="1">
        <f>Tabla1[[#This Row],[OS-Valor Unitario]]-Tabla1[[#This Row],[costo_antes_iva]]</f>
        <v>-150</v>
      </c>
      <c r="T353" s="1">
        <f>Tabla1[[#This Row],[OS-Valor Unitario]]*Tabla1[[#This Row],[OS-Cantidad]]</f>
        <v>33000</v>
      </c>
      <c r="U353" s="1">
        <f>Tabla1[[#This Row],[costo_antes_iva]]*Tabla1[[#This Row],[OS-Cantidad]]</f>
        <v>36000</v>
      </c>
      <c r="V353" s="1">
        <f>Tabla1[[#This Row],[Valor total OS]]-Tabla1[[#This Row],[valor total op]]</f>
        <v>-3000</v>
      </c>
      <c r="W353" s="1">
        <f>ROUNDDOWN(Tabla1[[#This Row],[Diferencia]]/200000,0)*200000</f>
        <v>0</v>
      </c>
    </row>
    <row r="354" spans="1:23" hidden="1" x14ac:dyDescent="0.3">
      <c r="A354">
        <v>6377</v>
      </c>
      <c r="B354">
        <v>3</v>
      </c>
      <c r="C354" t="s">
        <v>1177</v>
      </c>
      <c r="D354">
        <v>20</v>
      </c>
      <c r="E354" t="s">
        <v>1166</v>
      </c>
      <c r="F354" t="s">
        <v>1178</v>
      </c>
      <c r="G354" t="s">
        <v>118</v>
      </c>
      <c r="H354" t="s">
        <v>166</v>
      </c>
      <c r="I354">
        <v>1</v>
      </c>
      <c r="J354">
        <v>74399620</v>
      </c>
      <c r="K354" s="2">
        <v>45957</v>
      </c>
      <c r="L354" s="1">
        <v>1800</v>
      </c>
      <c r="M354" t="s">
        <v>1168</v>
      </c>
      <c r="N354" t="s">
        <v>24</v>
      </c>
      <c r="O354" t="s">
        <v>1179</v>
      </c>
      <c r="P354" s="1">
        <v>1650</v>
      </c>
      <c r="Q354">
        <v>20</v>
      </c>
      <c r="R354" t="s">
        <v>1181</v>
      </c>
      <c r="S354" s="1">
        <f>Tabla1[[#This Row],[OS-Valor Unitario]]-Tabla1[[#This Row],[costo_antes_iva]]</f>
        <v>-150</v>
      </c>
      <c r="T354" s="1">
        <f>Tabla1[[#This Row],[OS-Valor Unitario]]*Tabla1[[#This Row],[OS-Cantidad]]</f>
        <v>33000</v>
      </c>
      <c r="U354" s="1">
        <f>Tabla1[[#This Row],[costo_antes_iva]]*Tabla1[[#This Row],[OS-Cantidad]]</f>
        <v>36000</v>
      </c>
      <c r="V354" s="1">
        <f>Tabla1[[#This Row],[Valor total OS]]-Tabla1[[#This Row],[valor total op]]</f>
        <v>-3000</v>
      </c>
      <c r="W354" s="1">
        <f>ROUNDDOWN(Tabla1[[#This Row],[Diferencia]]/200000,0)*200000</f>
        <v>0</v>
      </c>
    </row>
    <row r="355" spans="1:23" hidden="1" x14ac:dyDescent="0.3">
      <c r="A355">
        <v>6377</v>
      </c>
      <c r="B355">
        <v>3</v>
      </c>
      <c r="C355" t="s">
        <v>1177</v>
      </c>
      <c r="D355">
        <v>20</v>
      </c>
      <c r="E355" t="s">
        <v>1166</v>
      </c>
      <c r="F355" t="s">
        <v>1178</v>
      </c>
      <c r="G355" t="s">
        <v>242</v>
      </c>
      <c r="H355" t="s">
        <v>166</v>
      </c>
      <c r="I355">
        <v>1</v>
      </c>
      <c r="J355">
        <v>74403668</v>
      </c>
      <c r="K355" s="2">
        <v>45957</v>
      </c>
      <c r="L355" s="1">
        <v>1800</v>
      </c>
      <c r="M355" t="s">
        <v>1182</v>
      </c>
      <c r="N355" t="s">
        <v>24</v>
      </c>
      <c r="O355" t="s">
        <v>1179</v>
      </c>
      <c r="P355" s="1">
        <v>1650</v>
      </c>
      <c r="Q355">
        <v>20</v>
      </c>
      <c r="R355" t="s">
        <v>1181</v>
      </c>
      <c r="S355" s="1">
        <f>Tabla1[[#This Row],[OS-Valor Unitario]]-Tabla1[[#This Row],[costo_antes_iva]]</f>
        <v>-150</v>
      </c>
      <c r="T355" s="1">
        <f>Tabla1[[#This Row],[OS-Valor Unitario]]*Tabla1[[#This Row],[OS-Cantidad]]</f>
        <v>33000</v>
      </c>
      <c r="U355" s="1">
        <f>Tabla1[[#This Row],[costo_antes_iva]]*Tabla1[[#This Row],[OS-Cantidad]]</f>
        <v>36000</v>
      </c>
      <c r="V355" s="1">
        <f>Tabla1[[#This Row],[Valor total OS]]-Tabla1[[#This Row],[valor total op]]</f>
        <v>-3000</v>
      </c>
      <c r="W355" s="1">
        <f>ROUNDDOWN(Tabla1[[#This Row],[Diferencia]]/200000,0)*200000</f>
        <v>0</v>
      </c>
    </row>
    <row r="356" spans="1:23" hidden="1" x14ac:dyDescent="0.3">
      <c r="A356">
        <v>6492</v>
      </c>
      <c r="B356">
        <v>20</v>
      </c>
      <c r="C356" t="s">
        <v>508</v>
      </c>
      <c r="D356">
        <v>6</v>
      </c>
      <c r="E356" t="s">
        <v>418</v>
      </c>
      <c r="F356" t="s">
        <v>502</v>
      </c>
      <c r="G356" t="s">
        <v>474</v>
      </c>
      <c r="H356" t="s">
        <v>317</v>
      </c>
      <c r="I356">
        <v>6</v>
      </c>
      <c r="J356">
        <v>77869273</v>
      </c>
      <c r="K356" s="2">
        <v>46020</v>
      </c>
      <c r="L356" s="1">
        <v>12500</v>
      </c>
      <c r="M356" t="s">
        <v>503</v>
      </c>
      <c r="N356" t="s">
        <v>51</v>
      </c>
      <c r="O356" t="s">
        <v>509</v>
      </c>
      <c r="P356" s="1">
        <v>12000</v>
      </c>
      <c r="Q356">
        <v>6</v>
      </c>
      <c r="R356" t="s">
        <v>511</v>
      </c>
      <c r="S356" s="1">
        <f>Tabla1[[#This Row],[OS-Valor Unitario]]-Tabla1[[#This Row],[costo_antes_iva]]</f>
        <v>-500</v>
      </c>
      <c r="T356" s="1">
        <f>Tabla1[[#This Row],[OS-Valor Unitario]]*Tabla1[[#This Row],[OS-Cantidad]]</f>
        <v>72000</v>
      </c>
      <c r="U356" s="1">
        <f>Tabla1[[#This Row],[costo_antes_iva]]*Tabla1[[#This Row],[OS-Cantidad]]</f>
        <v>75000</v>
      </c>
      <c r="V356" s="1">
        <f>Tabla1[[#This Row],[Valor total OS]]-Tabla1[[#This Row],[valor total op]]</f>
        <v>-3000</v>
      </c>
      <c r="W356" s="1">
        <f>ROUNDDOWN(Tabla1[[#This Row],[Diferencia]]/200000,0)*200000</f>
        <v>0</v>
      </c>
    </row>
    <row r="357" spans="1:23" hidden="1" x14ac:dyDescent="0.3">
      <c r="A357">
        <v>6492</v>
      </c>
      <c r="B357">
        <v>20</v>
      </c>
      <c r="C357" t="s">
        <v>508</v>
      </c>
      <c r="D357">
        <v>6</v>
      </c>
      <c r="E357" t="s">
        <v>529</v>
      </c>
      <c r="F357" t="s">
        <v>502</v>
      </c>
      <c r="G357" t="s">
        <v>474</v>
      </c>
      <c r="H357" t="s">
        <v>317</v>
      </c>
      <c r="I357">
        <v>6</v>
      </c>
      <c r="J357">
        <v>77869273</v>
      </c>
      <c r="K357" s="2">
        <v>46020</v>
      </c>
      <c r="L357" s="1">
        <v>12500</v>
      </c>
      <c r="M357" t="s">
        <v>503</v>
      </c>
      <c r="N357" t="s">
        <v>51</v>
      </c>
      <c r="O357" t="s">
        <v>509</v>
      </c>
      <c r="P357" s="1">
        <v>12000</v>
      </c>
      <c r="Q357">
        <v>6</v>
      </c>
      <c r="R357" t="s">
        <v>511</v>
      </c>
      <c r="S357" s="1">
        <f>Tabla1[[#This Row],[OS-Valor Unitario]]-Tabla1[[#This Row],[costo_antes_iva]]</f>
        <v>-500</v>
      </c>
      <c r="T357" s="1">
        <f>Tabla1[[#This Row],[OS-Valor Unitario]]*Tabla1[[#This Row],[OS-Cantidad]]</f>
        <v>72000</v>
      </c>
      <c r="U357" s="1">
        <f>Tabla1[[#This Row],[costo_antes_iva]]*Tabla1[[#This Row],[OS-Cantidad]]</f>
        <v>75000</v>
      </c>
      <c r="V357" s="1">
        <f>Tabla1[[#This Row],[Valor total OS]]-Tabla1[[#This Row],[valor total op]]</f>
        <v>-3000</v>
      </c>
      <c r="W357" s="1">
        <f>ROUNDDOWN(Tabla1[[#This Row],[Diferencia]]/200000,0)*200000</f>
        <v>0</v>
      </c>
    </row>
    <row r="358" spans="1:23" hidden="1" x14ac:dyDescent="0.3">
      <c r="A358">
        <v>6433</v>
      </c>
      <c r="B358">
        <v>1</v>
      </c>
      <c r="C358" t="s">
        <v>833</v>
      </c>
      <c r="D358">
        <v>6</v>
      </c>
      <c r="E358" t="s">
        <v>834</v>
      </c>
      <c r="F358" t="s">
        <v>835</v>
      </c>
      <c r="G358" t="s">
        <v>836</v>
      </c>
      <c r="H358" t="s">
        <v>166</v>
      </c>
      <c r="I358">
        <v>0</v>
      </c>
      <c r="J358">
        <v>76289288</v>
      </c>
      <c r="K358" s="2">
        <v>45988</v>
      </c>
      <c r="L358" s="1">
        <v>8500</v>
      </c>
      <c r="M358" t="s">
        <v>837</v>
      </c>
      <c r="N358" t="s">
        <v>51</v>
      </c>
      <c r="O358" t="s">
        <v>838</v>
      </c>
      <c r="P358" s="1">
        <v>8000</v>
      </c>
      <c r="Q358">
        <v>6</v>
      </c>
      <c r="R358" t="s">
        <v>839</v>
      </c>
      <c r="S358" s="1">
        <f>Tabla1[[#This Row],[OS-Valor Unitario]]-Tabla1[[#This Row],[costo_antes_iva]]</f>
        <v>-500</v>
      </c>
      <c r="T358" s="1">
        <f>Tabla1[[#This Row],[OS-Valor Unitario]]*Tabla1[[#This Row],[OS-Cantidad]]</f>
        <v>48000</v>
      </c>
      <c r="U358" s="1">
        <f>Tabla1[[#This Row],[costo_antes_iva]]*Tabla1[[#This Row],[OS-Cantidad]]</f>
        <v>51000</v>
      </c>
      <c r="V358" s="1">
        <f>Tabla1[[#This Row],[Valor total OS]]-Tabla1[[#This Row],[valor total op]]</f>
        <v>-3000</v>
      </c>
      <c r="W358" s="1">
        <f>ROUNDDOWN(Tabla1[[#This Row],[Diferencia]]/200000,0)*200000</f>
        <v>0</v>
      </c>
    </row>
    <row r="359" spans="1:23" hidden="1" x14ac:dyDescent="0.3">
      <c r="A359">
        <v>6433</v>
      </c>
      <c r="B359">
        <v>2</v>
      </c>
      <c r="C359" t="s">
        <v>840</v>
      </c>
      <c r="D359">
        <v>6</v>
      </c>
      <c r="E359" t="s">
        <v>834</v>
      </c>
      <c r="F359" t="s">
        <v>841</v>
      </c>
      <c r="G359" t="s">
        <v>836</v>
      </c>
      <c r="H359" t="s">
        <v>166</v>
      </c>
      <c r="I359">
        <v>0</v>
      </c>
      <c r="J359">
        <v>76289326</v>
      </c>
      <c r="K359" s="2">
        <v>45988</v>
      </c>
      <c r="L359" s="1">
        <v>8500</v>
      </c>
      <c r="M359" t="s">
        <v>837</v>
      </c>
      <c r="N359" t="s">
        <v>51</v>
      </c>
      <c r="O359" t="s">
        <v>842</v>
      </c>
      <c r="P359" s="1">
        <v>8000</v>
      </c>
      <c r="Q359">
        <v>6</v>
      </c>
      <c r="R359" t="s">
        <v>843</v>
      </c>
      <c r="S359" s="1">
        <f>Tabla1[[#This Row],[OS-Valor Unitario]]-Tabla1[[#This Row],[costo_antes_iva]]</f>
        <v>-500</v>
      </c>
      <c r="T359" s="1">
        <f>Tabla1[[#This Row],[OS-Valor Unitario]]*Tabla1[[#This Row],[OS-Cantidad]]</f>
        <v>48000</v>
      </c>
      <c r="U359" s="1">
        <f>Tabla1[[#This Row],[costo_antes_iva]]*Tabla1[[#This Row],[OS-Cantidad]]</f>
        <v>51000</v>
      </c>
      <c r="V359" s="1">
        <f>Tabla1[[#This Row],[Valor total OS]]-Tabla1[[#This Row],[valor total op]]</f>
        <v>-3000</v>
      </c>
      <c r="W359" s="1">
        <f>ROUNDDOWN(Tabla1[[#This Row],[Diferencia]]/200000,0)*200000</f>
        <v>0</v>
      </c>
    </row>
    <row r="360" spans="1:23" hidden="1" x14ac:dyDescent="0.3">
      <c r="A360">
        <v>6378</v>
      </c>
      <c r="B360">
        <v>1</v>
      </c>
      <c r="C360" t="s">
        <v>1140</v>
      </c>
      <c r="D360">
        <v>4</v>
      </c>
      <c r="E360" t="s">
        <v>1141</v>
      </c>
      <c r="F360" t="s">
        <v>1142</v>
      </c>
      <c r="G360" t="s">
        <v>1143</v>
      </c>
      <c r="H360" t="s">
        <v>166</v>
      </c>
      <c r="I360">
        <v>1</v>
      </c>
      <c r="J360">
        <v>74463474</v>
      </c>
      <c r="K360" s="2">
        <v>45958</v>
      </c>
      <c r="L360" s="1">
        <v>12500</v>
      </c>
      <c r="M360" t="s">
        <v>1144</v>
      </c>
      <c r="N360" t="s">
        <v>24</v>
      </c>
      <c r="O360" t="s">
        <v>1145</v>
      </c>
      <c r="P360" s="1">
        <v>11700</v>
      </c>
      <c r="Q360">
        <v>4</v>
      </c>
      <c r="R360" t="s">
        <v>1147</v>
      </c>
      <c r="S360" s="1">
        <f>Tabla1[[#This Row],[OS-Valor Unitario]]-Tabla1[[#This Row],[costo_antes_iva]]</f>
        <v>-800</v>
      </c>
      <c r="T360" s="1">
        <f>Tabla1[[#This Row],[OS-Valor Unitario]]*Tabla1[[#This Row],[OS-Cantidad]]</f>
        <v>46800</v>
      </c>
      <c r="U360" s="1">
        <f>Tabla1[[#This Row],[costo_antes_iva]]*Tabla1[[#This Row],[OS-Cantidad]]</f>
        <v>50000</v>
      </c>
      <c r="V360" s="1">
        <f>Tabla1[[#This Row],[Valor total OS]]-Tabla1[[#This Row],[valor total op]]</f>
        <v>-3200</v>
      </c>
      <c r="W360" s="1">
        <f>ROUNDDOWN(Tabla1[[#This Row],[Diferencia]]/200000,0)*200000</f>
        <v>0</v>
      </c>
    </row>
    <row r="361" spans="1:23" hidden="1" x14ac:dyDescent="0.3">
      <c r="A361">
        <v>6378</v>
      </c>
      <c r="B361">
        <v>1</v>
      </c>
      <c r="C361" t="s">
        <v>1140</v>
      </c>
      <c r="D361">
        <v>4</v>
      </c>
      <c r="E361" t="s">
        <v>1141</v>
      </c>
      <c r="F361" t="s">
        <v>1142</v>
      </c>
      <c r="G361" t="s">
        <v>1143</v>
      </c>
      <c r="H361" t="s">
        <v>166</v>
      </c>
      <c r="I361">
        <v>1</v>
      </c>
      <c r="J361">
        <v>74463501</v>
      </c>
      <c r="K361" s="2">
        <v>45958</v>
      </c>
      <c r="L361" s="1">
        <v>12500</v>
      </c>
      <c r="M361" t="s">
        <v>1148</v>
      </c>
      <c r="N361" t="s">
        <v>24</v>
      </c>
      <c r="O361" t="s">
        <v>1145</v>
      </c>
      <c r="P361" s="1">
        <v>11700</v>
      </c>
      <c r="Q361">
        <v>4</v>
      </c>
      <c r="R361" t="s">
        <v>1147</v>
      </c>
      <c r="S361" s="1">
        <f>Tabla1[[#This Row],[OS-Valor Unitario]]-Tabla1[[#This Row],[costo_antes_iva]]</f>
        <v>-800</v>
      </c>
      <c r="T361" s="1">
        <f>Tabla1[[#This Row],[OS-Valor Unitario]]*Tabla1[[#This Row],[OS-Cantidad]]</f>
        <v>46800</v>
      </c>
      <c r="U361" s="1">
        <f>Tabla1[[#This Row],[costo_antes_iva]]*Tabla1[[#This Row],[OS-Cantidad]]</f>
        <v>50000</v>
      </c>
      <c r="V361" s="1">
        <f>Tabla1[[#This Row],[Valor total OS]]-Tabla1[[#This Row],[valor total op]]</f>
        <v>-3200</v>
      </c>
      <c r="W361" s="1">
        <f>ROUNDDOWN(Tabla1[[#This Row],[Diferencia]]/200000,0)*200000</f>
        <v>0</v>
      </c>
    </row>
    <row r="362" spans="1:23" hidden="1" x14ac:dyDescent="0.3">
      <c r="A362">
        <v>6378</v>
      </c>
      <c r="B362">
        <v>3</v>
      </c>
      <c r="C362" t="s">
        <v>1153</v>
      </c>
      <c r="D362">
        <v>4</v>
      </c>
      <c r="E362" t="s">
        <v>1141</v>
      </c>
      <c r="F362" t="s">
        <v>1154</v>
      </c>
      <c r="G362" t="s">
        <v>1143</v>
      </c>
      <c r="H362" t="s">
        <v>166</v>
      </c>
      <c r="I362">
        <v>1</v>
      </c>
      <c r="J362">
        <v>74463519</v>
      </c>
      <c r="K362" s="2">
        <v>45958</v>
      </c>
      <c r="L362" s="1">
        <v>12500</v>
      </c>
      <c r="M362" t="s">
        <v>1155</v>
      </c>
      <c r="N362" t="s">
        <v>24</v>
      </c>
      <c r="O362" t="s">
        <v>1156</v>
      </c>
      <c r="P362" s="1">
        <v>11700</v>
      </c>
      <c r="Q362">
        <v>4</v>
      </c>
      <c r="R362" t="s">
        <v>1158</v>
      </c>
      <c r="S362" s="1">
        <f>Tabla1[[#This Row],[OS-Valor Unitario]]-Tabla1[[#This Row],[costo_antes_iva]]</f>
        <v>-800</v>
      </c>
      <c r="T362" s="1">
        <f>Tabla1[[#This Row],[OS-Valor Unitario]]*Tabla1[[#This Row],[OS-Cantidad]]</f>
        <v>46800</v>
      </c>
      <c r="U362" s="1">
        <f>Tabla1[[#This Row],[costo_antes_iva]]*Tabla1[[#This Row],[OS-Cantidad]]</f>
        <v>50000</v>
      </c>
      <c r="V362" s="1">
        <f>Tabla1[[#This Row],[Valor total OS]]-Tabla1[[#This Row],[valor total op]]</f>
        <v>-3200</v>
      </c>
      <c r="W362" s="1">
        <f>ROUNDDOWN(Tabla1[[#This Row],[Diferencia]]/200000,0)*200000</f>
        <v>0</v>
      </c>
    </row>
    <row r="363" spans="1:23" hidden="1" x14ac:dyDescent="0.3">
      <c r="A363">
        <v>6623</v>
      </c>
      <c r="B363">
        <v>1</v>
      </c>
      <c r="C363" t="s">
        <v>18</v>
      </c>
      <c r="D363">
        <v>17</v>
      </c>
      <c r="E363" t="s">
        <v>19</v>
      </c>
      <c r="F363" t="s">
        <v>20</v>
      </c>
      <c r="G363" t="s">
        <v>21</v>
      </c>
      <c r="H363" t="s">
        <v>22</v>
      </c>
      <c r="I363">
        <v>17</v>
      </c>
      <c r="J363">
        <v>80773968</v>
      </c>
      <c r="K363" s="2">
        <v>46079</v>
      </c>
      <c r="L363" s="1">
        <v>1300</v>
      </c>
      <c r="M363" t="s">
        <v>23</v>
      </c>
      <c r="N363" t="s">
        <v>24</v>
      </c>
      <c r="O363" t="s">
        <v>25</v>
      </c>
      <c r="P363" s="1">
        <v>1100</v>
      </c>
      <c r="Q363">
        <v>17</v>
      </c>
      <c r="R363" t="s">
        <v>26</v>
      </c>
      <c r="S363" s="1">
        <f>Tabla1[[#This Row],[OS-Valor Unitario]]-Tabla1[[#This Row],[costo_antes_iva]]</f>
        <v>-200</v>
      </c>
      <c r="T363" s="1">
        <f>Tabla1[[#This Row],[OS-Valor Unitario]]*Tabla1[[#This Row],[OS-Cantidad]]</f>
        <v>18700</v>
      </c>
      <c r="U363" s="1">
        <f>Tabla1[[#This Row],[costo_antes_iva]]*Tabla1[[#This Row],[OS-Cantidad]]</f>
        <v>22100</v>
      </c>
      <c r="V363" s="1">
        <f>Tabla1[[#This Row],[Valor total OS]]-Tabla1[[#This Row],[valor total op]]</f>
        <v>-3400</v>
      </c>
      <c r="W363" s="1">
        <f>ROUNDDOWN(Tabla1[[#This Row],[Diferencia]]/200000,0)*200000</f>
        <v>0</v>
      </c>
    </row>
    <row r="364" spans="1:23" hidden="1" x14ac:dyDescent="0.3">
      <c r="A364">
        <v>6484</v>
      </c>
      <c r="B364">
        <v>5</v>
      </c>
      <c r="C364" t="s">
        <v>729</v>
      </c>
      <c r="D364">
        <v>12</v>
      </c>
      <c r="E364" t="s">
        <v>708</v>
      </c>
      <c r="F364" t="s">
        <v>730</v>
      </c>
      <c r="G364" t="s">
        <v>731</v>
      </c>
      <c r="H364" t="s">
        <v>166</v>
      </c>
      <c r="I364">
        <v>1</v>
      </c>
      <c r="J364">
        <v>77658407</v>
      </c>
      <c r="K364" s="2">
        <v>46014</v>
      </c>
      <c r="L364" s="1">
        <v>2000</v>
      </c>
      <c r="M364" t="s">
        <v>710</v>
      </c>
      <c r="N364" t="s">
        <v>24</v>
      </c>
      <c r="O364" t="s">
        <v>732</v>
      </c>
      <c r="P364" s="1">
        <v>1650</v>
      </c>
      <c r="Q364">
        <v>14</v>
      </c>
      <c r="R364" t="s">
        <v>734</v>
      </c>
      <c r="S364" s="1">
        <f>Tabla1[[#This Row],[OS-Valor Unitario]]-Tabla1[[#This Row],[costo_antes_iva]]</f>
        <v>-350</v>
      </c>
      <c r="T364" s="1">
        <f>Tabla1[[#This Row],[OS-Valor Unitario]]*Tabla1[[#This Row],[OS-Cantidad]]</f>
        <v>23100</v>
      </c>
      <c r="U364" s="1">
        <f>Tabla1[[#This Row],[costo_antes_iva]]*Tabla1[[#This Row],[OS-Cantidad]]</f>
        <v>28000</v>
      </c>
      <c r="V364" s="1">
        <f>Tabla1[[#This Row],[Valor total OS]]-Tabla1[[#This Row],[valor total op]]</f>
        <v>-4900</v>
      </c>
      <c r="W364" s="1">
        <f>ROUNDDOWN(Tabla1[[#This Row],[Diferencia]]/200000,0)*200000</f>
        <v>0</v>
      </c>
    </row>
    <row r="365" spans="1:23" hidden="1" x14ac:dyDescent="0.3">
      <c r="A365">
        <v>6618</v>
      </c>
      <c r="B365">
        <v>15</v>
      </c>
      <c r="C365" t="s">
        <v>106</v>
      </c>
      <c r="D365">
        <v>10</v>
      </c>
      <c r="E365" t="s">
        <v>61</v>
      </c>
      <c r="F365" t="s">
        <v>107</v>
      </c>
      <c r="G365" t="s">
        <v>108</v>
      </c>
      <c r="H365" t="s">
        <v>63</v>
      </c>
      <c r="I365">
        <v>1</v>
      </c>
      <c r="J365">
        <v>80759244</v>
      </c>
      <c r="K365" s="2">
        <v>46079</v>
      </c>
      <c r="L365" s="1">
        <v>7000</v>
      </c>
      <c r="M365" t="s">
        <v>64</v>
      </c>
      <c r="N365" t="s">
        <v>51</v>
      </c>
      <c r="O365" t="s">
        <v>109</v>
      </c>
      <c r="P365" s="1">
        <v>6500</v>
      </c>
      <c r="Q365">
        <v>10</v>
      </c>
      <c r="R365" t="s">
        <v>110</v>
      </c>
      <c r="S365" s="1">
        <f>Tabla1[[#This Row],[OS-Valor Unitario]]-Tabla1[[#This Row],[costo_antes_iva]]</f>
        <v>-500</v>
      </c>
      <c r="T365" s="1">
        <f>Tabla1[[#This Row],[OS-Valor Unitario]]*Tabla1[[#This Row],[OS-Cantidad]]</f>
        <v>65000</v>
      </c>
      <c r="U365" s="1">
        <f>Tabla1[[#This Row],[costo_antes_iva]]*Tabla1[[#This Row],[OS-Cantidad]]</f>
        <v>70000</v>
      </c>
      <c r="V365" s="1">
        <f>Tabla1[[#This Row],[Valor total OS]]-Tabla1[[#This Row],[valor total op]]</f>
        <v>-5000</v>
      </c>
      <c r="W365" s="1">
        <f>ROUNDDOWN(Tabla1[[#This Row],[Diferencia]]/200000,0)*200000</f>
        <v>0</v>
      </c>
    </row>
    <row r="366" spans="1:23" hidden="1" x14ac:dyDescent="0.3">
      <c r="A366">
        <v>6618</v>
      </c>
      <c r="B366">
        <v>16</v>
      </c>
      <c r="C366" t="s">
        <v>111</v>
      </c>
      <c r="D366">
        <v>10</v>
      </c>
      <c r="E366" t="s">
        <v>61</v>
      </c>
      <c r="F366" t="s">
        <v>112</v>
      </c>
      <c r="G366" t="s">
        <v>108</v>
      </c>
      <c r="H366" t="s">
        <v>63</v>
      </c>
      <c r="I366">
        <v>1</v>
      </c>
      <c r="J366">
        <v>80759251</v>
      </c>
      <c r="K366" s="2">
        <v>46079</v>
      </c>
      <c r="L366" s="1">
        <v>7000</v>
      </c>
      <c r="M366" t="s">
        <v>64</v>
      </c>
      <c r="N366" t="s">
        <v>51</v>
      </c>
      <c r="O366" t="s">
        <v>113</v>
      </c>
      <c r="P366" s="1">
        <v>6500</v>
      </c>
      <c r="Q366">
        <v>10</v>
      </c>
      <c r="R366" t="s">
        <v>114</v>
      </c>
      <c r="S366" s="1">
        <f>Tabla1[[#This Row],[OS-Valor Unitario]]-Tabla1[[#This Row],[costo_antes_iva]]</f>
        <v>-500</v>
      </c>
      <c r="T366" s="1">
        <f>Tabla1[[#This Row],[OS-Valor Unitario]]*Tabla1[[#This Row],[OS-Cantidad]]</f>
        <v>65000</v>
      </c>
      <c r="U366" s="1">
        <f>Tabla1[[#This Row],[costo_antes_iva]]*Tabla1[[#This Row],[OS-Cantidad]]</f>
        <v>70000</v>
      </c>
      <c r="V366" s="1">
        <f>Tabla1[[#This Row],[Valor total OS]]-Tabla1[[#This Row],[valor total op]]</f>
        <v>-5000</v>
      </c>
      <c r="W366" s="1">
        <f>ROUNDDOWN(Tabla1[[#This Row],[Diferencia]]/200000,0)*200000</f>
        <v>0</v>
      </c>
    </row>
    <row r="367" spans="1:23" hidden="1" x14ac:dyDescent="0.3">
      <c r="A367">
        <v>6492</v>
      </c>
      <c r="B367">
        <v>1</v>
      </c>
      <c r="C367" t="s">
        <v>417</v>
      </c>
      <c r="D367">
        <v>10</v>
      </c>
      <c r="E367" t="s">
        <v>418</v>
      </c>
      <c r="F367" t="s">
        <v>419</v>
      </c>
      <c r="G367" t="s">
        <v>1375</v>
      </c>
      <c r="H367" t="s">
        <v>317</v>
      </c>
      <c r="I367">
        <v>10</v>
      </c>
      <c r="J367">
        <v>77864531</v>
      </c>
      <c r="K367" s="2">
        <v>46020</v>
      </c>
      <c r="L367" s="1">
        <v>14000</v>
      </c>
      <c r="M367" t="s">
        <v>420</v>
      </c>
      <c r="N367" t="s">
        <v>51</v>
      </c>
      <c r="O367" t="s">
        <v>421</v>
      </c>
      <c r="P367" s="1">
        <v>13500</v>
      </c>
      <c r="Q367">
        <v>10</v>
      </c>
      <c r="R367" t="s">
        <v>423</v>
      </c>
      <c r="S367" s="1">
        <f>Tabla1[[#This Row],[OS-Valor Unitario]]-Tabla1[[#This Row],[costo_antes_iva]]</f>
        <v>-500</v>
      </c>
      <c r="T367" s="1">
        <f>Tabla1[[#This Row],[OS-Valor Unitario]]*Tabla1[[#This Row],[OS-Cantidad]]</f>
        <v>135000</v>
      </c>
      <c r="U367" s="1">
        <f>Tabla1[[#This Row],[costo_antes_iva]]*Tabla1[[#This Row],[OS-Cantidad]]</f>
        <v>140000</v>
      </c>
      <c r="V367" s="1">
        <f>Tabla1[[#This Row],[Valor total OS]]-Tabla1[[#This Row],[valor total op]]</f>
        <v>-5000</v>
      </c>
      <c r="W367" s="1">
        <f>ROUNDDOWN(Tabla1[[#This Row],[Diferencia]]/200000,0)*200000</f>
        <v>0</v>
      </c>
    </row>
    <row r="368" spans="1:23" hidden="1" x14ac:dyDescent="0.3">
      <c r="A368">
        <v>6492</v>
      </c>
      <c r="B368">
        <v>1</v>
      </c>
      <c r="C368" t="s">
        <v>417</v>
      </c>
      <c r="D368">
        <v>10</v>
      </c>
      <c r="E368" t="s">
        <v>529</v>
      </c>
      <c r="F368" t="s">
        <v>419</v>
      </c>
      <c r="G368" t="s">
        <v>1375</v>
      </c>
      <c r="H368" t="s">
        <v>317</v>
      </c>
      <c r="I368">
        <v>10</v>
      </c>
      <c r="J368">
        <v>77864531</v>
      </c>
      <c r="K368" s="2">
        <v>46020</v>
      </c>
      <c r="L368" s="1">
        <v>14000</v>
      </c>
      <c r="M368" t="s">
        <v>420</v>
      </c>
      <c r="N368" t="s">
        <v>51</v>
      </c>
      <c r="O368" t="s">
        <v>421</v>
      </c>
      <c r="P368" s="1">
        <v>13500</v>
      </c>
      <c r="Q368">
        <v>10</v>
      </c>
      <c r="R368" t="s">
        <v>423</v>
      </c>
      <c r="S368" s="1">
        <f>Tabla1[[#This Row],[OS-Valor Unitario]]-Tabla1[[#This Row],[costo_antes_iva]]</f>
        <v>-500</v>
      </c>
      <c r="T368" s="1">
        <f>Tabla1[[#This Row],[OS-Valor Unitario]]*Tabla1[[#This Row],[OS-Cantidad]]</f>
        <v>135000</v>
      </c>
      <c r="U368" s="1">
        <f>Tabla1[[#This Row],[costo_antes_iva]]*Tabla1[[#This Row],[OS-Cantidad]]</f>
        <v>140000</v>
      </c>
      <c r="V368" s="1">
        <f>Tabla1[[#This Row],[Valor total OS]]-Tabla1[[#This Row],[valor total op]]</f>
        <v>-5000</v>
      </c>
      <c r="W368" s="1">
        <f>ROUNDDOWN(Tabla1[[#This Row],[Diferencia]]/200000,0)*200000</f>
        <v>0</v>
      </c>
    </row>
    <row r="369" spans="1:23" hidden="1" x14ac:dyDescent="0.3">
      <c r="A369">
        <v>6523</v>
      </c>
      <c r="B369">
        <v>1</v>
      </c>
      <c r="C369" t="s">
        <v>347</v>
      </c>
      <c r="D369">
        <v>5</v>
      </c>
      <c r="E369" t="s">
        <v>348</v>
      </c>
      <c r="F369" t="s">
        <v>349</v>
      </c>
      <c r="G369" t="s">
        <v>350</v>
      </c>
      <c r="H369" t="s">
        <v>351</v>
      </c>
      <c r="I369">
        <v>5</v>
      </c>
      <c r="J369">
        <v>78810546</v>
      </c>
      <c r="K369" s="2">
        <v>46043</v>
      </c>
      <c r="L369" s="1">
        <v>18000</v>
      </c>
      <c r="M369" t="s">
        <v>352</v>
      </c>
      <c r="N369" t="s">
        <v>51</v>
      </c>
      <c r="O369" t="s">
        <v>353</v>
      </c>
      <c r="P369" s="1">
        <v>17000</v>
      </c>
      <c r="Q369">
        <v>5</v>
      </c>
      <c r="R369" t="s">
        <v>354</v>
      </c>
      <c r="S369" s="1">
        <f>Tabla1[[#This Row],[OS-Valor Unitario]]-Tabla1[[#This Row],[costo_antes_iva]]</f>
        <v>-1000</v>
      </c>
      <c r="T369" s="1">
        <f>Tabla1[[#This Row],[OS-Valor Unitario]]*Tabla1[[#This Row],[OS-Cantidad]]</f>
        <v>85000</v>
      </c>
      <c r="U369" s="1">
        <f>Tabla1[[#This Row],[costo_antes_iva]]*Tabla1[[#This Row],[OS-Cantidad]]</f>
        <v>90000</v>
      </c>
      <c r="V369" s="1">
        <f>Tabla1[[#This Row],[Valor total OS]]-Tabla1[[#This Row],[valor total op]]</f>
        <v>-5000</v>
      </c>
      <c r="W369" s="1">
        <f>ROUNDDOWN(Tabla1[[#This Row],[Diferencia]]/200000,0)*200000</f>
        <v>0</v>
      </c>
    </row>
    <row r="370" spans="1:23" hidden="1" x14ac:dyDescent="0.3">
      <c r="A370">
        <v>6523</v>
      </c>
      <c r="B370">
        <v>2</v>
      </c>
      <c r="C370" t="s">
        <v>356</v>
      </c>
      <c r="D370">
        <v>5</v>
      </c>
      <c r="E370" t="s">
        <v>348</v>
      </c>
      <c r="F370" t="s">
        <v>357</v>
      </c>
      <c r="G370" t="s">
        <v>350</v>
      </c>
      <c r="H370" t="s">
        <v>351</v>
      </c>
      <c r="I370">
        <v>5</v>
      </c>
      <c r="J370">
        <v>78810552</v>
      </c>
      <c r="K370" s="2">
        <v>46043</v>
      </c>
      <c r="L370" s="1">
        <v>18000</v>
      </c>
      <c r="M370" t="s">
        <v>352</v>
      </c>
      <c r="N370" t="s">
        <v>51</v>
      </c>
      <c r="O370" t="s">
        <v>358</v>
      </c>
      <c r="P370" s="1">
        <v>17000</v>
      </c>
      <c r="Q370">
        <v>5</v>
      </c>
      <c r="R370" t="s">
        <v>359</v>
      </c>
      <c r="S370" s="1">
        <f>Tabla1[[#This Row],[OS-Valor Unitario]]-Tabla1[[#This Row],[costo_antes_iva]]</f>
        <v>-1000</v>
      </c>
      <c r="T370" s="1">
        <f>Tabla1[[#This Row],[OS-Valor Unitario]]*Tabla1[[#This Row],[OS-Cantidad]]</f>
        <v>85000</v>
      </c>
      <c r="U370" s="1">
        <f>Tabla1[[#This Row],[costo_antes_iva]]*Tabla1[[#This Row],[OS-Cantidad]]</f>
        <v>90000</v>
      </c>
      <c r="V370" s="1">
        <f>Tabla1[[#This Row],[Valor total OS]]-Tabla1[[#This Row],[valor total op]]</f>
        <v>-5000</v>
      </c>
      <c r="W370" s="1">
        <f>ROUNDDOWN(Tabla1[[#This Row],[Diferencia]]/200000,0)*200000</f>
        <v>0</v>
      </c>
    </row>
    <row r="371" spans="1:23" hidden="1" x14ac:dyDescent="0.3">
      <c r="A371">
        <v>6523</v>
      </c>
      <c r="B371">
        <v>1</v>
      </c>
      <c r="C371" t="s">
        <v>347</v>
      </c>
      <c r="D371">
        <v>5</v>
      </c>
      <c r="E371" t="s">
        <v>348</v>
      </c>
      <c r="F371" t="s">
        <v>349</v>
      </c>
      <c r="G371" t="s">
        <v>350</v>
      </c>
      <c r="H371" t="s">
        <v>351</v>
      </c>
      <c r="I371">
        <v>5</v>
      </c>
      <c r="J371">
        <v>78810546</v>
      </c>
      <c r="K371" s="2">
        <v>46043</v>
      </c>
      <c r="L371" s="1">
        <v>18000</v>
      </c>
      <c r="M371" t="s">
        <v>352</v>
      </c>
      <c r="N371" t="s">
        <v>51</v>
      </c>
      <c r="O371" t="s">
        <v>353</v>
      </c>
      <c r="P371" s="1">
        <v>17000</v>
      </c>
      <c r="Q371">
        <v>5</v>
      </c>
      <c r="R371" t="s">
        <v>354</v>
      </c>
      <c r="S371" s="1">
        <f>Tabla1[[#This Row],[OS-Valor Unitario]]-Tabla1[[#This Row],[costo_antes_iva]]</f>
        <v>-1000</v>
      </c>
      <c r="T371" s="1">
        <f>Tabla1[[#This Row],[OS-Valor Unitario]]*Tabla1[[#This Row],[OS-Cantidad]]</f>
        <v>85000</v>
      </c>
      <c r="U371" s="1">
        <f>Tabla1[[#This Row],[costo_antes_iva]]*Tabla1[[#This Row],[OS-Cantidad]]</f>
        <v>90000</v>
      </c>
      <c r="V371" s="1">
        <f>Tabla1[[#This Row],[Valor total OS]]-Tabla1[[#This Row],[valor total op]]</f>
        <v>-5000</v>
      </c>
      <c r="W371" s="1">
        <f>ROUNDDOWN(Tabla1[[#This Row],[Diferencia]]/200000,0)*200000</f>
        <v>0</v>
      </c>
    </row>
    <row r="372" spans="1:23" hidden="1" x14ac:dyDescent="0.3">
      <c r="A372">
        <v>6523</v>
      </c>
      <c r="B372">
        <v>2</v>
      </c>
      <c r="C372" t="s">
        <v>356</v>
      </c>
      <c r="D372">
        <v>5</v>
      </c>
      <c r="E372" t="s">
        <v>348</v>
      </c>
      <c r="F372" t="s">
        <v>357</v>
      </c>
      <c r="G372" t="s">
        <v>350</v>
      </c>
      <c r="H372" t="s">
        <v>351</v>
      </c>
      <c r="I372">
        <v>5</v>
      </c>
      <c r="J372">
        <v>78810552</v>
      </c>
      <c r="K372" s="2">
        <v>46043</v>
      </c>
      <c r="L372" s="1">
        <v>18000</v>
      </c>
      <c r="M372" t="s">
        <v>352</v>
      </c>
      <c r="N372" t="s">
        <v>51</v>
      </c>
      <c r="O372" t="s">
        <v>358</v>
      </c>
      <c r="P372" s="1">
        <v>17000</v>
      </c>
      <c r="Q372">
        <v>5</v>
      </c>
      <c r="R372" t="s">
        <v>359</v>
      </c>
      <c r="S372" s="1">
        <f>Tabla1[[#This Row],[OS-Valor Unitario]]-Tabla1[[#This Row],[costo_antes_iva]]</f>
        <v>-1000</v>
      </c>
      <c r="T372" s="1">
        <f>Tabla1[[#This Row],[OS-Valor Unitario]]*Tabla1[[#This Row],[OS-Cantidad]]</f>
        <v>85000</v>
      </c>
      <c r="U372" s="1">
        <f>Tabla1[[#This Row],[costo_antes_iva]]*Tabla1[[#This Row],[OS-Cantidad]]</f>
        <v>90000</v>
      </c>
      <c r="V372" s="1">
        <f>Tabla1[[#This Row],[Valor total OS]]-Tabla1[[#This Row],[valor total op]]</f>
        <v>-5000</v>
      </c>
      <c r="W372" s="1">
        <f>ROUNDDOWN(Tabla1[[#This Row],[Diferencia]]/200000,0)*200000</f>
        <v>0</v>
      </c>
    </row>
    <row r="373" spans="1:23" hidden="1" x14ac:dyDescent="0.3">
      <c r="A373">
        <v>6492</v>
      </c>
      <c r="B373">
        <v>8</v>
      </c>
      <c r="C373" t="s">
        <v>445</v>
      </c>
      <c r="D373">
        <v>50</v>
      </c>
      <c r="E373" t="s">
        <v>418</v>
      </c>
      <c r="F373" t="s">
        <v>446</v>
      </c>
      <c r="G373" t="s">
        <v>447</v>
      </c>
      <c r="H373" t="s">
        <v>317</v>
      </c>
      <c r="I373">
        <v>50</v>
      </c>
      <c r="J373">
        <v>77864591</v>
      </c>
      <c r="K373" s="2">
        <v>46020</v>
      </c>
      <c r="L373" s="1">
        <v>1000</v>
      </c>
      <c r="M373" t="s">
        <v>420</v>
      </c>
      <c r="N373" t="s">
        <v>24</v>
      </c>
      <c r="O373" t="s">
        <v>448</v>
      </c>
      <c r="P373" s="1">
        <v>900</v>
      </c>
      <c r="Q373">
        <v>51</v>
      </c>
      <c r="R373" t="s">
        <v>449</v>
      </c>
      <c r="S373" s="1">
        <f>Tabla1[[#This Row],[OS-Valor Unitario]]-Tabla1[[#This Row],[costo_antes_iva]]</f>
        <v>-100</v>
      </c>
      <c r="T373" s="1">
        <f>Tabla1[[#This Row],[OS-Valor Unitario]]*Tabla1[[#This Row],[OS-Cantidad]]</f>
        <v>45900</v>
      </c>
      <c r="U373" s="1">
        <f>Tabla1[[#This Row],[costo_antes_iva]]*Tabla1[[#This Row],[OS-Cantidad]]</f>
        <v>51000</v>
      </c>
      <c r="V373" s="1">
        <f>Tabla1[[#This Row],[Valor total OS]]-Tabla1[[#This Row],[valor total op]]</f>
        <v>-5100</v>
      </c>
      <c r="W373" s="1">
        <f>ROUNDDOWN(Tabla1[[#This Row],[Diferencia]]/200000,0)*200000</f>
        <v>0</v>
      </c>
    </row>
    <row r="374" spans="1:23" hidden="1" x14ac:dyDescent="0.3">
      <c r="A374">
        <v>6492</v>
      </c>
      <c r="B374">
        <v>8</v>
      </c>
      <c r="C374" t="s">
        <v>445</v>
      </c>
      <c r="D374">
        <v>50</v>
      </c>
      <c r="E374" t="s">
        <v>529</v>
      </c>
      <c r="F374" t="s">
        <v>446</v>
      </c>
      <c r="G374" t="s">
        <v>447</v>
      </c>
      <c r="H374" t="s">
        <v>317</v>
      </c>
      <c r="I374">
        <v>50</v>
      </c>
      <c r="J374">
        <v>77864591</v>
      </c>
      <c r="K374" s="2">
        <v>46020</v>
      </c>
      <c r="L374" s="1">
        <v>1000</v>
      </c>
      <c r="M374" t="s">
        <v>420</v>
      </c>
      <c r="N374" t="s">
        <v>24</v>
      </c>
      <c r="O374" t="s">
        <v>448</v>
      </c>
      <c r="P374" s="1">
        <v>900</v>
      </c>
      <c r="Q374">
        <v>51</v>
      </c>
      <c r="R374" t="s">
        <v>449</v>
      </c>
      <c r="S374" s="1">
        <f>Tabla1[[#This Row],[OS-Valor Unitario]]-Tabla1[[#This Row],[costo_antes_iva]]</f>
        <v>-100</v>
      </c>
      <c r="T374" s="1">
        <f>Tabla1[[#This Row],[OS-Valor Unitario]]*Tabla1[[#This Row],[OS-Cantidad]]</f>
        <v>45900</v>
      </c>
      <c r="U374" s="1">
        <f>Tabla1[[#This Row],[costo_antes_iva]]*Tabla1[[#This Row],[OS-Cantidad]]</f>
        <v>51000</v>
      </c>
      <c r="V374" s="1">
        <f>Tabla1[[#This Row],[Valor total OS]]-Tabla1[[#This Row],[valor total op]]</f>
        <v>-5100</v>
      </c>
      <c r="W374" s="1">
        <f>ROUNDDOWN(Tabla1[[#This Row],[Diferencia]]/200000,0)*200000</f>
        <v>0</v>
      </c>
    </row>
    <row r="375" spans="1:23" hidden="1" x14ac:dyDescent="0.3">
      <c r="A375">
        <v>6436</v>
      </c>
      <c r="B375">
        <v>3</v>
      </c>
      <c r="C375" t="s">
        <v>821</v>
      </c>
      <c r="D375">
        <v>35</v>
      </c>
      <c r="E375" t="s">
        <v>810</v>
      </c>
      <c r="F375" t="s">
        <v>822</v>
      </c>
      <c r="G375" t="s">
        <v>545</v>
      </c>
      <c r="H375" t="s">
        <v>166</v>
      </c>
      <c r="I375">
        <v>35</v>
      </c>
      <c r="J375">
        <v>76366677</v>
      </c>
      <c r="K375" s="2">
        <v>45989</v>
      </c>
      <c r="L375" s="1">
        <v>1800</v>
      </c>
      <c r="M375" t="s">
        <v>812</v>
      </c>
      <c r="N375" t="s">
        <v>24</v>
      </c>
      <c r="O375" t="s">
        <v>823</v>
      </c>
      <c r="P375" s="1">
        <v>1650</v>
      </c>
      <c r="Q375">
        <v>35</v>
      </c>
      <c r="R375" t="s">
        <v>825</v>
      </c>
      <c r="S375" s="1">
        <f>Tabla1[[#This Row],[OS-Valor Unitario]]-Tabla1[[#This Row],[costo_antes_iva]]</f>
        <v>-150</v>
      </c>
      <c r="T375" s="1">
        <f>Tabla1[[#This Row],[OS-Valor Unitario]]*Tabla1[[#This Row],[OS-Cantidad]]</f>
        <v>57750</v>
      </c>
      <c r="U375" s="1">
        <f>Tabla1[[#This Row],[costo_antes_iva]]*Tabla1[[#This Row],[OS-Cantidad]]</f>
        <v>63000</v>
      </c>
      <c r="V375" s="1">
        <f>Tabla1[[#This Row],[Valor total OS]]-Tabla1[[#This Row],[valor total op]]</f>
        <v>-5250</v>
      </c>
      <c r="W375" s="1">
        <f>ROUNDDOWN(Tabla1[[#This Row],[Diferencia]]/200000,0)*200000</f>
        <v>0</v>
      </c>
    </row>
    <row r="376" spans="1:23" hidden="1" x14ac:dyDescent="0.3">
      <c r="A376">
        <v>6538</v>
      </c>
      <c r="B376">
        <v>1</v>
      </c>
      <c r="C376" t="s">
        <v>239</v>
      </c>
      <c r="D376">
        <v>11</v>
      </c>
      <c r="E376" t="s">
        <v>240</v>
      </c>
      <c r="F376" t="s">
        <v>241</v>
      </c>
      <c r="G376" t="s">
        <v>242</v>
      </c>
      <c r="H376" t="s">
        <v>166</v>
      </c>
      <c r="I376">
        <v>1</v>
      </c>
      <c r="J376">
        <v>79233580</v>
      </c>
      <c r="K376" s="2">
        <v>46051</v>
      </c>
      <c r="L376" s="1">
        <v>12500</v>
      </c>
      <c r="M376" t="s">
        <v>243</v>
      </c>
      <c r="N376" t="s">
        <v>51</v>
      </c>
      <c r="O376" t="s">
        <v>244</v>
      </c>
      <c r="P376" s="1">
        <v>12000</v>
      </c>
      <c r="Q376">
        <v>11</v>
      </c>
      <c r="R376" t="s">
        <v>245</v>
      </c>
      <c r="S376" s="1">
        <f>Tabla1[[#This Row],[OS-Valor Unitario]]-Tabla1[[#This Row],[costo_antes_iva]]</f>
        <v>-500</v>
      </c>
      <c r="T376" s="1">
        <f>Tabla1[[#This Row],[OS-Valor Unitario]]*Tabla1[[#This Row],[OS-Cantidad]]</f>
        <v>132000</v>
      </c>
      <c r="U376" s="1">
        <f>Tabla1[[#This Row],[costo_antes_iva]]*Tabla1[[#This Row],[OS-Cantidad]]</f>
        <v>137500</v>
      </c>
      <c r="V376" s="1">
        <f>Tabla1[[#This Row],[Valor total OS]]-Tabla1[[#This Row],[valor total op]]</f>
        <v>-5500</v>
      </c>
      <c r="W376" s="1">
        <f>ROUNDDOWN(Tabla1[[#This Row],[Diferencia]]/200000,0)*200000</f>
        <v>0</v>
      </c>
    </row>
    <row r="377" spans="1:23" hidden="1" x14ac:dyDescent="0.3">
      <c r="A377">
        <v>6538</v>
      </c>
      <c r="B377">
        <v>2</v>
      </c>
      <c r="C377" t="s">
        <v>247</v>
      </c>
      <c r="D377">
        <v>11</v>
      </c>
      <c r="E377" t="s">
        <v>240</v>
      </c>
      <c r="F377" t="s">
        <v>248</v>
      </c>
      <c r="G377" t="s">
        <v>242</v>
      </c>
      <c r="H377" t="s">
        <v>166</v>
      </c>
      <c r="I377">
        <v>1</v>
      </c>
      <c r="J377">
        <v>79233605</v>
      </c>
      <c r="K377" s="2">
        <v>46051</v>
      </c>
      <c r="L377" s="1">
        <v>12500</v>
      </c>
      <c r="M377" t="s">
        <v>243</v>
      </c>
      <c r="N377" t="s">
        <v>51</v>
      </c>
      <c r="O377" t="s">
        <v>249</v>
      </c>
      <c r="P377" s="1">
        <v>12000</v>
      </c>
      <c r="Q377">
        <v>11</v>
      </c>
      <c r="R377" t="s">
        <v>250</v>
      </c>
      <c r="S377" s="1">
        <f>Tabla1[[#This Row],[OS-Valor Unitario]]-Tabla1[[#This Row],[costo_antes_iva]]</f>
        <v>-500</v>
      </c>
      <c r="T377" s="1">
        <f>Tabla1[[#This Row],[OS-Valor Unitario]]*Tabla1[[#This Row],[OS-Cantidad]]</f>
        <v>132000</v>
      </c>
      <c r="U377" s="1">
        <f>Tabla1[[#This Row],[costo_antes_iva]]*Tabla1[[#This Row],[OS-Cantidad]]</f>
        <v>137500</v>
      </c>
      <c r="V377" s="1">
        <f>Tabla1[[#This Row],[Valor total OS]]-Tabla1[[#This Row],[valor total op]]</f>
        <v>-5500</v>
      </c>
      <c r="W377" s="1">
        <f>ROUNDDOWN(Tabla1[[#This Row],[Diferencia]]/200000,0)*200000</f>
        <v>0</v>
      </c>
    </row>
    <row r="378" spans="1:23" hidden="1" x14ac:dyDescent="0.3">
      <c r="A378">
        <v>6383</v>
      </c>
      <c r="B378">
        <v>14</v>
      </c>
      <c r="C378" t="s">
        <v>1028</v>
      </c>
      <c r="D378">
        <v>11</v>
      </c>
      <c r="E378" t="s">
        <v>978</v>
      </c>
      <c r="F378" t="s">
        <v>1029</v>
      </c>
      <c r="G378" t="s">
        <v>1380</v>
      </c>
      <c r="H378" t="s">
        <v>961</v>
      </c>
      <c r="I378">
        <v>1</v>
      </c>
      <c r="J378">
        <v>74549428</v>
      </c>
      <c r="K378" s="2">
        <v>45959</v>
      </c>
      <c r="L378" s="1">
        <v>14500</v>
      </c>
      <c r="M378" t="s">
        <v>980</v>
      </c>
      <c r="N378" t="s">
        <v>51</v>
      </c>
      <c r="O378" t="s">
        <v>1030</v>
      </c>
      <c r="P378" s="1">
        <v>14000</v>
      </c>
      <c r="Q378">
        <v>11</v>
      </c>
      <c r="R378" t="s">
        <v>1032</v>
      </c>
      <c r="S378" s="1">
        <f>Tabla1[[#This Row],[OS-Valor Unitario]]-Tabla1[[#This Row],[costo_antes_iva]]</f>
        <v>-500</v>
      </c>
      <c r="T378" s="1">
        <f>Tabla1[[#This Row],[OS-Valor Unitario]]*Tabla1[[#This Row],[OS-Cantidad]]</f>
        <v>154000</v>
      </c>
      <c r="U378" s="1">
        <f>Tabla1[[#This Row],[costo_antes_iva]]*Tabla1[[#This Row],[OS-Cantidad]]</f>
        <v>159500</v>
      </c>
      <c r="V378" s="1">
        <f>Tabla1[[#This Row],[Valor total OS]]-Tabla1[[#This Row],[valor total op]]</f>
        <v>-5500</v>
      </c>
      <c r="W378" s="1">
        <f>ROUNDDOWN(Tabla1[[#This Row],[Diferencia]]/200000,0)*200000</f>
        <v>0</v>
      </c>
    </row>
    <row r="379" spans="1:23" hidden="1" x14ac:dyDescent="0.3">
      <c r="A379">
        <v>6377</v>
      </c>
      <c r="B379">
        <v>1</v>
      </c>
      <c r="C379" t="s">
        <v>1165</v>
      </c>
      <c r="D379">
        <v>11</v>
      </c>
      <c r="E379" t="s">
        <v>1166</v>
      </c>
      <c r="F379" t="s">
        <v>1167</v>
      </c>
      <c r="G379" t="s">
        <v>242</v>
      </c>
      <c r="H379" t="s">
        <v>166</v>
      </c>
      <c r="I379">
        <v>1</v>
      </c>
      <c r="J379">
        <v>74399608</v>
      </c>
      <c r="K379" s="2">
        <v>45957</v>
      </c>
      <c r="L379" s="1">
        <v>12500</v>
      </c>
      <c r="M379" t="s">
        <v>1168</v>
      </c>
      <c r="N379" t="s">
        <v>51</v>
      </c>
      <c r="O379" t="s">
        <v>1169</v>
      </c>
      <c r="P379" s="1">
        <v>12000</v>
      </c>
      <c r="Q379">
        <v>11</v>
      </c>
      <c r="R379" t="s">
        <v>1170</v>
      </c>
      <c r="S379" s="1">
        <f>Tabla1[[#This Row],[OS-Valor Unitario]]-Tabla1[[#This Row],[costo_antes_iva]]</f>
        <v>-500</v>
      </c>
      <c r="T379" s="1">
        <f>Tabla1[[#This Row],[OS-Valor Unitario]]*Tabla1[[#This Row],[OS-Cantidad]]</f>
        <v>132000</v>
      </c>
      <c r="U379" s="1">
        <f>Tabla1[[#This Row],[costo_antes_iva]]*Tabla1[[#This Row],[OS-Cantidad]]</f>
        <v>137500</v>
      </c>
      <c r="V379" s="1">
        <f>Tabla1[[#This Row],[Valor total OS]]-Tabla1[[#This Row],[valor total op]]</f>
        <v>-5500</v>
      </c>
      <c r="W379" s="1">
        <f>ROUNDDOWN(Tabla1[[#This Row],[Diferencia]]/200000,0)*200000</f>
        <v>0</v>
      </c>
    </row>
    <row r="380" spans="1:23" hidden="1" x14ac:dyDescent="0.3">
      <c r="A380">
        <v>6377</v>
      </c>
      <c r="B380">
        <v>4</v>
      </c>
      <c r="C380" t="s">
        <v>1183</v>
      </c>
      <c r="D380">
        <v>11</v>
      </c>
      <c r="E380" t="s">
        <v>1166</v>
      </c>
      <c r="F380" t="s">
        <v>1178</v>
      </c>
      <c r="G380" t="s">
        <v>118</v>
      </c>
      <c r="H380" t="s">
        <v>166</v>
      </c>
      <c r="I380">
        <v>1</v>
      </c>
      <c r="J380">
        <v>74399620</v>
      </c>
      <c r="K380" s="2">
        <v>45957</v>
      </c>
      <c r="L380" s="1">
        <v>12500</v>
      </c>
      <c r="M380" t="s">
        <v>1168</v>
      </c>
      <c r="N380" t="s">
        <v>51</v>
      </c>
      <c r="O380" t="s">
        <v>1184</v>
      </c>
      <c r="P380" s="1">
        <v>12000</v>
      </c>
      <c r="Q380">
        <v>11</v>
      </c>
      <c r="R380" t="s">
        <v>1185</v>
      </c>
      <c r="S380" s="1">
        <f>Tabla1[[#This Row],[OS-Valor Unitario]]-Tabla1[[#This Row],[costo_antes_iva]]</f>
        <v>-500</v>
      </c>
      <c r="T380" s="1">
        <f>Tabla1[[#This Row],[OS-Valor Unitario]]*Tabla1[[#This Row],[OS-Cantidad]]</f>
        <v>132000</v>
      </c>
      <c r="U380" s="1">
        <f>Tabla1[[#This Row],[costo_antes_iva]]*Tabla1[[#This Row],[OS-Cantidad]]</f>
        <v>137500</v>
      </c>
      <c r="V380" s="1">
        <f>Tabla1[[#This Row],[Valor total OS]]-Tabla1[[#This Row],[valor total op]]</f>
        <v>-5500</v>
      </c>
      <c r="W380" s="1">
        <f>ROUNDDOWN(Tabla1[[#This Row],[Diferencia]]/200000,0)*200000</f>
        <v>0</v>
      </c>
    </row>
    <row r="381" spans="1:23" hidden="1" x14ac:dyDescent="0.3">
      <c r="A381">
        <v>6377</v>
      </c>
      <c r="B381">
        <v>4</v>
      </c>
      <c r="C381" t="s">
        <v>1183</v>
      </c>
      <c r="D381">
        <v>11</v>
      </c>
      <c r="E381" t="s">
        <v>1166</v>
      </c>
      <c r="F381" t="s">
        <v>1178</v>
      </c>
      <c r="G381" t="s">
        <v>242</v>
      </c>
      <c r="H381" t="s">
        <v>166</v>
      </c>
      <c r="I381">
        <v>1</v>
      </c>
      <c r="J381">
        <v>74403668</v>
      </c>
      <c r="K381" s="2">
        <v>45957</v>
      </c>
      <c r="L381" s="1">
        <v>12500</v>
      </c>
      <c r="M381" t="s">
        <v>1182</v>
      </c>
      <c r="N381" t="s">
        <v>51</v>
      </c>
      <c r="O381" t="s">
        <v>1184</v>
      </c>
      <c r="P381" s="1">
        <v>12000</v>
      </c>
      <c r="Q381">
        <v>11</v>
      </c>
      <c r="R381" t="s">
        <v>1185</v>
      </c>
      <c r="S381" s="1">
        <f>Tabla1[[#This Row],[OS-Valor Unitario]]-Tabla1[[#This Row],[costo_antes_iva]]</f>
        <v>-500</v>
      </c>
      <c r="T381" s="1">
        <f>Tabla1[[#This Row],[OS-Valor Unitario]]*Tabla1[[#This Row],[OS-Cantidad]]</f>
        <v>132000</v>
      </c>
      <c r="U381" s="1">
        <f>Tabla1[[#This Row],[costo_antes_iva]]*Tabla1[[#This Row],[OS-Cantidad]]</f>
        <v>137500</v>
      </c>
      <c r="V381" s="1">
        <f>Tabla1[[#This Row],[Valor total OS]]-Tabla1[[#This Row],[valor total op]]</f>
        <v>-5500</v>
      </c>
      <c r="W381" s="1">
        <f>ROUNDDOWN(Tabla1[[#This Row],[Diferencia]]/200000,0)*200000</f>
        <v>0</v>
      </c>
    </row>
    <row r="382" spans="1:23" hidden="1" x14ac:dyDescent="0.3">
      <c r="A382">
        <v>6493</v>
      </c>
      <c r="B382">
        <v>1</v>
      </c>
      <c r="C382" t="s">
        <v>404</v>
      </c>
      <c r="D382">
        <v>40</v>
      </c>
      <c r="E382" t="s">
        <v>405</v>
      </c>
      <c r="F382" t="s">
        <v>406</v>
      </c>
      <c r="G382" t="s">
        <v>407</v>
      </c>
      <c r="H382" t="s">
        <v>408</v>
      </c>
      <c r="I382">
        <v>34</v>
      </c>
      <c r="J382">
        <v>77898260</v>
      </c>
      <c r="K382" s="2">
        <v>46021</v>
      </c>
      <c r="L382" s="1">
        <v>1800</v>
      </c>
      <c r="M382" t="s">
        <v>409</v>
      </c>
      <c r="N382" t="s">
        <v>24</v>
      </c>
      <c r="O382" t="s">
        <v>410</v>
      </c>
      <c r="P382" s="1">
        <v>1650</v>
      </c>
      <c r="Q382">
        <v>40</v>
      </c>
      <c r="R382" t="s">
        <v>411</v>
      </c>
      <c r="S382" s="1">
        <f>Tabla1[[#This Row],[OS-Valor Unitario]]-Tabla1[[#This Row],[costo_antes_iva]]</f>
        <v>-150</v>
      </c>
      <c r="T382" s="1">
        <f>Tabla1[[#This Row],[OS-Valor Unitario]]*Tabla1[[#This Row],[OS-Cantidad]]</f>
        <v>66000</v>
      </c>
      <c r="U382" s="1">
        <f>Tabla1[[#This Row],[costo_antes_iva]]*Tabla1[[#This Row],[OS-Cantidad]]</f>
        <v>72000</v>
      </c>
      <c r="V382" s="1">
        <f>Tabla1[[#This Row],[Valor total OS]]-Tabla1[[#This Row],[valor total op]]</f>
        <v>-6000</v>
      </c>
      <c r="W382" s="1">
        <f>ROUNDDOWN(Tabla1[[#This Row],[Diferencia]]/200000,0)*200000</f>
        <v>0</v>
      </c>
    </row>
    <row r="383" spans="1:23" hidden="1" x14ac:dyDescent="0.3">
      <c r="A383">
        <v>6493</v>
      </c>
      <c r="B383">
        <v>1</v>
      </c>
      <c r="C383" t="s">
        <v>404</v>
      </c>
      <c r="D383">
        <v>40</v>
      </c>
      <c r="E383" t="s">
        <v>405</v>
      </c>
      <c r="F383" t="s">
        <v>406</v>
      </c>
      <c r="G383" t="s">
        <v>108</v>
      </c>
      <c r="H383" t="s">
        <v>408</v>
      </c>
      <c r="I383">
        <v>4</v>
      </c>
      <c r="J383">
        <v>77898321</v>
      </c>
      <c r="K383" s="2">
        <v>46021</v>
      </c>
      <c r="L383" s="1">
        <v>1800</v>
      </c>
      <c r="M383" t="s">
        <v>413</v>
      </c>
      <c r="N383" t="s">
        <v>24</v>
      </c>
      <c r="O383" t="s">
        <v>410</v>
      </c>
      <c r="P383" s="1">
        <v>1650</v>
      </c>
      <c r="Q383">
        <v>40</v>
      </c>
      <c r="R383" t="s">
        <v>411</v>
      </c>
      <c r="S383" s="1">
        <f>Tabla1[[#This Row],[OS-Valor Unitario]]-Tabla1[[#This Row],[costo_antes_iva]]</f>
        <v>-150</v>
      </c>
      <c r="T383" s="1">
        <f>Tabla1[[#This Row],[OS-Valor Unitario]]*Tabla1[[#This Row],[OS-Cantidad]]</f>
        <v>66000</v>
      </c>
      <c r="U383" s="1">
        <f>Tabla1[[#This Row],[costo_antes_iva]]*Tabla1[[#This Row],[OS-Cantidad]]</f>
        <v>72000</v>
      </c>
      <c r="V383" s="1">
        <f>Tabla1[[#This Row],[Valor total OS]]-Tabla1[[#This Row],[valor total op]]</f>
        <v>-6000</v>
      </c>
      <c r="W383" s="1">
        <f>ROUNDDOWN(Tabla1[[#This Row],[Diferencia]]/200000,0)*200000</f>
        <v>0</v>
      </c>
    </row>
    <row r="384" spans="1:23" hidden="1" x14ac:dyDescent="0.3">
      <c r="A384">
        <v>6609</v>
      </c>
      <c r="B384">
        <v>3</v>
      </c>
      <c r="C384" t="s">
        <v>176</v>
      </c>
      <c r="D384">
        <v>12</v>
      </c>
      <c r="E384" t="s">
        <v>163</v>
      </c>
      <c r="F384" t="s">
        <v>177</v>
      </c>
      <c r="G384" t="s">
        <v>108</v>
      </c>
      <c r="H384" t="s">
        <v>166</v>
      </c>
      <c r="I384">
        <v>1</v>
      </c>
      <c r="J384">
        <v>80544593</v>
      </c>
      <c r="K384" s="2">
        <v>46076</v>
      </c>
      <c r="L384" s="1">
        <v>6500</v>
      </c>
      <c r="M384" t="s">
        <v>173</v>
      </c>
      <c r="N384" t="s">
        <v>51</v>
      </c>
      <c r="O384" t="s">
        <v>178</v>
      </c>
      <c r="P384" s="1">
        <v>6000</v>
      </c>
      <c r="Q384">
        <v>12</v>
      </c>
      <c r="R384" t="s">
        <v>179</v>
      </c>
      <c r="S384" s="1">
        <f>Tabla1[[#This Row],[OS-Valor Unitario]]-Tabla1[[#This Row],[costo_antes_iva]]</f>
        <v>-500</v>
      </c>
      <c r="T384" s="1">
        <f>Tabla1[[#This Row],[OS-Valor Unitario]]*Tabla1[[#This Row],[OS-Cantidad]]</f>
        <v>72000</v>
      </c>
      <c r="U384" s="1">
        <f>Tabla1[[#This Row],[costo_antes_iva]]*Tabla1[[#This Row],[OS-Cantidad]]</f>
        <v>78000</v>
      </c>
      <c r="V384" s="1">
        <f>Tabla1[[#This Row],[Valor total OS]]-Tabla1[[#This Row],[valor total op]]</f>
        <v>-6000</v>
      </c>
      <c r="W384" s="1">
        <f>ROUNDDOWN(Tabla1[[#This Row],[Diferencia]]/200000,0)*200000</f>
        <v>0</v>
      </c>
    </row>
    <row r="385" spans="1:23" hidden="1" x14ac:dyDescent="0.3">
      <c r="A385">
        <v>6492</v>
      </c>
      <c r="B385">
        <v>17</v>
      </c>
      <c r="C385" t="s">
        <v>491</v>
      </c>
      <c r="D385">
        <v>12</v>
      </c>
      <c r="E385" t="s">
        <v>418</v>
      </c>
      <c r="F385" t="s">
        <v>492</v>
      </c>
      <c r="G385" t="s">
        <v>474</v>
      </c>
      <c r="H385" t="s">
        <v>317</v>
      </c>
      <c r="I385">
        <v>12</v>
      </c>
      <c r="J385">
        <v>77863990</v>
      </c>
      <c r="K385" s="2">
        <v>46020</v>
      </c>
      <c r="L385" s="1">
        <v>12500</v>
      </c>
      <c r="M385" t="s">
        <v>493</v>
      </c>
      <c r="N385" t="s">
        <v>51</v>
      </c>
      <c r="O385" t="s">
        <v>494</v>
      </c>
      <c r="P385" s="1">
        <v>12000</v>
      </c>
      <c r="Q385">
        <v>12</v>
      </c>
      <c r="R385" t="s">
        <v>496</v>
      </c>
      <c r="S385" s="1">
        <f>Tabla1[[#This Row],[OS-Valor Unitario]]-Tabla1[[#This Row],[costo_antes_iva]]</f>
        <v>-500</v>
      </c>
      <c r="T385" s="1">
        <f>Tabla1[[#This Row],[OS-Valor Unitario]]*Tabla1[[#This Row],[OS-Cantidad]]</f>
        <v>144000</v>
      </c>
      <c r="U385" s="1">
        <f>Tabla1[[#This Row],[costo_antes_iva]]*Tabla1[[#This Row],[OS-Cantidad]]</f>
        <v>150000</v>
      </c>
      <c r="V385" s="1">
        <f>Tabla1[[#This Row],[Valor total OS]]-Tabla1[[#This Row],[valor total op]]</f>
        <v>-6000</v>
      </c>
      <c r="W385" s="1">
        <f>ROUNDDOWN(Tabla1[[#This Row],[Diferencia]]/200000,0)*200000</f>
        <v>0</v>
      </c>
    </row>
    <row r="386" spans="1:23" hidden="1" x14ac:dyDescent="0.3">
      <c r="A386">
        <v>6492</v>
      </c>
      <c r="B386">
        <v>17</v>
      </c>
      <c r="C386" t="s">
        <v>491</v>
      </c>
      <c r="D386">
        <v>12</v>
      </c>
      <c r="E386" t="s">
        <v>529</v>
      </c>
      <c r="F386" t="s">
        <v>492</v>
      </c>
      <c r="G386" t="s">
        <v>474</v>
      </c>
      <c r="H386" t="s">
        <v>317</v>
      </c>
      <c r="I386">
        <v>12</v>
      </c>
      <c r="J386">
        <v>77863990</v>
      </c>
      <c r="K386" s="2">
        <v>46020</v>
      </c>
      <c r="L386" s="1">
        <v>12500</v>
      </c>
      <c r="M386" t="s">
        <v>493</v>
      </c>
      <c r="N386" t="s">
        <v>51</v>
      </c>
      <c r="O386" t="s">
        <v>494</v>
      </c>
      <c r="P386" s="1">
        <v>12000</v>
      </c>
      <c r="Q386">
        <v>12</v>
      </c>
      <c r="R386" t="s">
        <v>496</v>
      </c>
      <c r="S386" s="1">
        <f>Tabla1[[#This Row],[OS-Valor Unitario]]-Tabla1[[#This Row],[costo_antes_iva]]</f>
        <v>-500</v>
      </c>
      <c r="T386" s="1">
        <f>Tabla1[[#This Row],[OS-Valor Unitario]]*Tabla1[[#This Row],[OS-Cantidad]]</f>
        <v>144000</v>
      </c>
      <c r="U386" s="1">
        <f>Tabla1[[#This Row],[costo_antes_iva]]*Tabla1[[#This Row],[OS-Cantidad]]</f>
        <v>150000</v>
      </c>
      <c r="V386" s="1">
        <f>Tabla1[[#This Row],[Valor total OS]]-Tabla1[[#This Row],[valor total op]]</f>
        <v>-6000</v>
      </c>
      <c r="W386" s="1">
        <f>ROUNDDOWN(Tabla1[[#This Row],[Diferencia]]/200000,0)*200000</f>
        <v>0</v>
      </c>
    </row>
    <row r="387" spans="1:23" hidden="1" x14ac:dyDescent="0.3">
      <c r="A387">
        <v>6384</v>
      </c>
      <c r="B387">
        <v>2</v>
      </c>
      <c r="C387" t="s">
        <v>966</v>
      </c>
      <c r="D387">
        <v>12</v>
      </c>
      <c r="E387" t="s">
        <v>959</v>
      </c>
      <c r="F387" t="s">
        <v>967</v>
      </c>
      <c r="G387" t="s">
        <v>118</v>
      </c>
      <c r="H387" t="s">
        <v>961</v>
      </c>
      <c r="I387">
        <v>1</v>
      </c>
      <c r="J387">
        <v>74647524</v>
      </c>
      <c r="K387" s="2">
        <v>45961</v>
      </c>
      <c r="L387" s="1">
        <v>12000</v>
      </c>
      <c r="M387" t="s">
        <v>962</v>
      </c>
      <c r="N387" t="s">
        <v>51</v>
      </c>
      <c r="O387" t="s">
        <v>968</v>
      </c>
      <c r="P387" s="1">
        <v>11500</v>
      </c>
      <c r="Q387">
        <v>12</v>
      </c>
      <c r="R387" t="s">
        <v>969</v>
      </c>
      <c r="S387" s="1">
        <f>Tabla1[[#This Row],[OS-Valor Unitario]]-Tabla1[[#This Row],[costo_antes_iva]]</f>
        <v>-500</v>
      </c>
      <c r="T387" s="1">
        <f>Tabla1[[#This Row],[OS-Valor Unitario]]*Tabla1[[#This Row],[OS-Cantidad]]</f>
        <v>138000</v>
      </c>
      <c r="U387" s="1">
        <f>Tabla1[[#This Row],[costo_antes_iva]]*Tabla1[[#This Row],[OS-Cantidad]]</f>
        <v>144000</v>
      </c>
      <c r="V387" s="1">
        <f>Tabla1[[#This Row],[Valor total OS]]-Tabla1[[#This Row],[valor total op]]</f>
        <v>-6000</v>
      </c>
      <c r="W387" s="1">
        <f>ROUNDDOWN(Tabla1[[#This Row],[Diferencia]]/200000,0)*200000</f>
        <v>0</v>
      </c>
    </row>
    <row r="388" spans="1:23" hidden="1" x14ac:dyDescent="0.3">
      <c r="A388">
        <v>6376</v>
      </c>
      <c r="B388">
        <v>7</v>
      </c>
      <c r="C388" t="s">
        <v>1214</v>
      </c>
      <c r="D388">
        <v>10</v>
      </c>
      <c r="E388" t="s">
        <v>1188</v>
      </c>
      <c r="F388" t="s">
        <v>1215</v>
      </c>
      <c r="G388" t="s">
        <v>336</v>
      </c>
      <c r="H388" t="s">
        <v>166</v>
      </c>
      <c r="I388">
        <v>1</v>
      </c>
      <c r="J388">
        <v>74394251</v>
      </c>
      <c r="K388" s="2">
        <v>45957</v>
      </c>
      <c r="L388" s="1">
        <v>2500</v>
      </c>
      <c r="M388" t="s">
        <v>1190</v>
      </c>
      <c r="N388" t="s">
        <v>51</v>
      </c>
      <c r="O388" t="s">
        <v>1216</v>
      </c>
      <c r="P388" s="1">
        <v>2000</v>
      </c>
      <c r="Q388">
        <v>12</v>
      </c>
      <c r="R388" t="s">
        <v>1217</v>
      </c>
      <c r="S388" s="1">
        <f>Tabla1[[#This Row],[OS-Valor Unitario]]-Tabla1[[#This Row],[costo_antes_iva]]</f>
        <v>-500</v>
      </c>
      <c r="T388" s="1">
        <f>Tabla1[[#This Row],[OS-Valor Unitario]]*Tabla1[[#This Row],[OS-Cantidad]]</f>
        <v>24000</v>
      </c>
      <c r="U388" s="1">
        <f>Tabla1[[#This Row],[costo_antes_iva]]*Tabla1[[#This Row],[OS-Cantidad]]</f>
        <v>30000</v>
      </c>
      <c r="V388" s="1">
        <f>Tabla1[[#This Row],[Valor total OS]]-Tabla1[[#This Row],[valor total op]]</f>
        <v>-6000</v>
      </c>
      <c r="W388" s="1">
        <f>ROUNDDOWN(Tabla1[[#This Row],[Diferencia]]/200000,0)*200000</f>
        <v>0</v>
      </c>
    </row>
    <row r="389" spans="1:23" hidden="1" x14ac:dyDescent="0.3">
      <c r="A389">
        <v>6376</v>
      </c>
      <c r="B389">
        <v>14</v>
      </c>
      <c r="C389" t="s">
        <v>1234</v>
      </c>
      <c r="D389">
        <v>12</v>
      </c>
      <c r="E389" t="s">
        <v>1188</v>
      </c>
      <c r="F389" t="s">
        <v>1235</v>
      </c>
      <c r="G389" t="s">
        <v>1236</v>
      </c>
      <c r="H389" t="s">
        <v>166</v>
      </c>
      <c r="I389">
        <v>1</v>
      </c>
      <c r="J389">
        <v>74394389</v>
      </c>
      <c r="K389" s="2">
        <v>45957</v>
      </c>
      <c r="L389" s="1">
        <v>5000</v>
      </c>
      <c r="M389" t="s">
        <v>1190</v>
      </c>
      <c r="N389" t="s">
        <v>51</v>
      </c>
      <c r="O389" t="s">
        <v>1237</v>
      </c>
      <c r="P389" s="1">
        <v>4500</v>
      </c>
      <c r="Q389">
        <v>12</v>
      </c>
      <c r="R389" t="s">
        <v>1238</v>
      </c>
      <c r="S389" s="1">
        <f>Tabla1[[#This Row],[OS-Valor Unitario]]-Tabla1[[#This Row],[costo_antes_iva]]</f>
        <v>-500</v>
      </c>
      <c r="T389" s="1">
        <f>Tabla1[[#This Row],[OS-Valor Unitario]]*Tabla1[[#This Row],[OS-Cantidad]]</f>
        <v>54000</v>
      </c>
      <c r="U389" s="1">
        <f>Tabla1[[#This Row],[costo_antes_iva]]*Tabla1[[#This Row],[OS-Cantidad]]</f>
        <v>60000</v>
      </c>
      <c r="V389" s="1">
        <f>Tabla1[[#This Row],[Valor total OS]]-Tabla1[[#This Row],[valor total op]]</f>
        <v>-6000</v>
      </c>
      <c r="W389" s="1">
        <f>ROUNDDOWN(Tabla1[[#This Row],[Diferencia]]/200000,0)*200000</f>
        <v>0</v>
      </c>
    </row>
    <row r="390" spans="1:23" hidden="1" x14ac:dyDescent="0.3">
      <c r="A390">
        <v>6376</v>
      </c>
      <c r="B390">
        <v>6</v>
      </c>
      <c r="C390" t="s">
        <v>1209</v>
      </c>
      <c r="D390">
        <v>5</v>
      </c>
      <c r="E390" t="s">
        <v>1188</v>
      </c>
      <c r="F390" t="s">
        <v>1210</v>
      </c>
      <c r="G390" t="s">
        <v>738</v>
      </c>
      <c r="H390" t="s">
        <v>166</v>
      </c>
      <c r="I390">
        <v>1</v>
      </c>
      <c r="J390">
        <v>74394200</v>
      </c>
      <c r="K390" s="2">
        <v>45957</v>
      </c>
      <c r="L390" s="1">
        <v>2000</v>
      </c>
      <c r="M390" t="s">
        <v>1190</v>
      </c>
      <c r="N390" t="s">
        <v>24</v>
      </c>
      <c r="O390" t="s">
        <v>1211</v>
      </c>
      <c r="P390" s="1">
        <v>1400</v>
      </c>
      <c r="Q390">
        <v>10</v>
      </c>
      <c r="R390" t="s">
        <v>1213</v>
      </c>
      <c r="S390" s="1">
        <f>Tabla1[[#This Row],[OS-Valor Unitario]]-Tabla1[[#This Row],[costo_antes_iva]]</f>
        <v>-600</v>
      </c>
      <c r="T390" s="1">
        <f>Tabla1[[#This Row],[OS-Valor Unitario]]*Tabla1[[#This Row],[OS-Cantidad]]</f>
        <v>14000</v>
      </c>
      <c r="U390" s="1">
        <f>Tabla1[[#This Row],[costo_antes_iva]]*Tabla1[[#This Row],[OS-Cantidad]]</f>
        <v>20000</v>
      </c>
      <c r="V390" s="1">
        <f>Tabla1[[#This Row],[Valor total OS]]-Tabla1[[#This Row],[valor total op]]</f>
        <v>-6000</v>
      </c>
      <c r="W390" s="1">
        <f>ROUNDDOWN(Tabla1[[#This Row],[Diferencia]]/200000,0)*200000</f>
        <v>0</v>
      </c>
    </row>
    <row r="391" spans="1:23" hidden="1" x14ac:dyDescent="0.3">
      <c r="A391">
        <v>6492</v>
      </c>
      <c r="B391">
        <v>23</v>
      </c>
      <c r="C391" t="s">
        <v>521</v>
      </c>
      <c r="D391">
        <v>7</v>
      </c>
      <c r="E391" t="s">
        <v>418</v>
      </c>
      <c r="F391" t="s">
        <v>522</v>
      </c>
      <c r="G391" t="s">
        <v>523</v>
      </c>
      <c r="H391" t="s">
        <v>317</v>
      </c>
      <c r="I391">
        <v>7</v>
      </c>
      <c r="J391">
        <v>77864470</v>
      </c>
      <c r="K391" s="2">
        <v>46020</v>
      </c>
      <c r="L391" s="1">
        <v>13000</v>
      </c>
      <c r="M391" t="s">
        <v>524</v>
      </c>
      <c r="N391" t="s">
        <v>51</v>
      </c>
      <c r="O391" t="s">
        <v>525</v>
      </c>
      <c r="P391" s="1">
        <v>12000</v>
      </c>
      <c r="Q391">
        <v>7</v>
      </c>
      <c r="R391" t="s">
        <v>527</v>
      </c>
      <c r="S391" s="1">
        <f>Tabla1[[#This Row],[OS-Valor Unitario]]-Tabla1[[#This Row],[costo_antes_iva]]</f>
        <v>-1000</v>
      </c>
      <c r="T391" s="1">
        <f>Tabla1[[#This Row],[OS-Valor Unitario]]*Tabla1[[#This Row],[OS-Cantidad]]</f>
        <v>84000</v>
      </c>
      <c r="U391" s="1">
        <f>Tabla1[[#This Row],[costo_antes_iva]]*Tabla1[[#This Row],[OS-Cantidad]]</f>
        <v>91000</v>
      </c>
      <c r="V391" s="1">
        <f>Tabla1[[#This Row],[Valor total OS]]-Tabla1[[#This Row],[valor total op]]</f>
        <v>-7000</v>
      </c>
      <c r="W391" s="1">
        <f>ROUNDDOWN(Tabla1[[#This Row],[Diferencia]]/200000,0)*200000</f>
        <v>0</v>
      </c>
    </row>
    <row r="392" spans="1:23" hidden="1" x14ac:dyDescent="0.3">
      <c r="A392">
        <v>6492</v>
      </c>
      <c r="B392">
        <v>23</v>
      </c>
      <c r="C392" t="s">
        <v>521</v>
      </c>
      <c r="D392">
        <v>7</v>
      </c>
      <c r="E392" t="s">
        <v>529</v>
      </c>
      <c r="F392" t="s">
        <v>522</v>
      </c>
      <c r="G392" t="s">
        <v>523</v>
      </c>
      <c r="H392" t="s">
        <v>317</v>
      </c>
      <c r="I392">
        <v>7</v>
      </c>
      <c r="J392">
        <v>77864470</v>
      </c>
      <c r="K392" s="2">
        <v>46020</v>
      </c>
      <c r="L392" s="1">
        <v>13000</v>
      </c>
      <c r="M392" t="s">
        <v>524</v>
      </c>
      <c r="N392" t="s">
        <v>51</v>
      </c>
      <c r="O392" t="s">
        <v>525</v>
      </c>
      <c r="P392" s="1">
        <v>12000</v>
      </c>
      <c r="Q392">
        <v>7</v>
      </c>
      <c r="R392" t="s">
        <v>527</v>
      </c>
      <c r="S392" s="1">
        <f>Tabla1[[#This Row],[OS-Valor Unitario]]-Tabla1[[#This Row],[costo_antes_iva]]</f>
        <v>-1000</v>
      </c>
      <c r="T392" s="1">
        <f>Tabla1[[#This Row],[OS-Valor Unitario]]*Tabla1[[#This Row],[OS-Cantidad]]</f>
        <v>84000</v>
      </c>
      <c r="U392" s="1">
        <f>Tabla1[[#This Row],[costo_antes_iva]]*Tabla1[[#This Row],[OS-Cantidad]]</f>
        <v>91000</v>
      </c>
      <c r="V392" s="1">
        <f>Tabla1[[#This Row],[Valor total OS]]-Tabla1[[#This Row],[valor total op]]</f>
        <v>-7000</v>
      </c>
      <c r="W392" s="1">
        <f>ROUNDDOWN(Tabla1[[#This Row],[Diferencia]]/200000,0)*200000</f>
        <v>0</v>
      </c>
    </row>
    <row r="393" spans="1:23" hidden="1" x14ac:dyDescent="0.3">
      <c r="A393">
        <v>6433</v>
      </c>
      <c r="B393">
        <v>7</v>
      </c>
      <c r="C393" t="s">
        <v>861</v>
      </c>
      <c r="D393">
        <v>7</v>
      </c>
      <c r="E393" t="s">
        <v>834</v>
      </c>
      <c r="F393" t="s">
        <v>862</v>
      </c>
      <c r="G393" t="s">
        <v>1382</v>
      </c>
      <c r="H393" t="s">
        <v>166</v>
      </c>
      <c r="I393">
        <v>0</v>
      </c>
      <c r="J393">
        <v>76289745</v>
      </c>
      <c r="K393" s="2">
        <v>45988</v>
      </c>
      <c r="L393" s="1">
        <v>3500</v>
      </c>
      <c r="M393" t="s">
        <v>837</v>
      </c>
      <c r="N393" t="s">
        <v>51</v>
      </c>
      <c r="O393" t="s">
        <v>863</v>
      </c>
      <c r="P393" s="1">
        <v>2500</v>
      </c>
      <c r="Q393">
        <v>7</v>
      </c>
      <c r="R393" t="s">
        <v>864</v>
      </c>
      <c r="S393" s="1">
        <f>Tabla1[[#This Row],[OS-Valor Unitario]]-Tabla1[[#This Row],[costo_antes_iva]]</f>
        <v>-1000</v>
      </c>
      <c r="T393" s="1">
        <f>Tabla1[[#This Row],[OS-Valor Unitario]]*Tabla1[[#This Row],[OS-Cantidad]]</f>
        <v>17500</v>
      </c>
      <c r="U393" s="1">
        <f>Tabla1[[#This Row],[costo_antes_iva]]*Tabla1[[#This Row],[OS-Cantidad]]</f>
        <v>24500</v>
      </c>
      <c r="V393" s="1">
        <f>Tabla1[[#This Row],[Valor total OS]]-Tabla1[[#This Row],[valor total op]]</f>
        <v>-7000</v>
      </c>
      <c r="W393" s="1">
        <f>ROUNDDOWN(Tabla1[[#This Row],[Diferencia]]/200000,0)*200000</f>
        <v>0</v>
      </c>
    </row>
    <row r="394" spans="1:23" hidden="1" x14ac:dyDescent="0.3">
      <c r="A394">
        <v>6436</v>
      </c>
      <c r="B394">
        <v>2</v>
      </c>
      <c r="C394" t="s">
        <v>816</v>
      </c>
      <c r="D394">
        <v>50</v>
      </c>
      <c r="E394" t="s">
        <v>810</v>
      </c>
      <c r="F394" t="s">
        <v>817</v>
      </c>
      <c r="G394" t="s">
        <v>545</v>
      </c>
      <c r="H394" t="s">
        <v>166</v>
      </c>
      <c r="I394">
        <v>50</v>
      </c>
      <c r="J394">
        <v>76366666</v>
      </c>
      <c r="K394" s="2">
        <v>45989</v>
      </c>
      <c r="L394" s="1">
        <v>1800</v>
      </c>
      <c r="M394" t="s">
        <v>812</v>
      </c>
      <c r="N394" t="s">
        <v>24</v>
      </c>
      <c r="O394" t="s">
        <v>818</v>
      </c>
      <c r="P394" s="1">
        <v>1650</v>
      </c>
      <c r="Q394">
        <v>50</v>
      </c>
      <c r="R394" t="s">
        <v>820</v>
      </c>
      <c r="S394" s="1">
        <f>Tabla1[[#This Row],[OS-Valor Unitario]]-Tabla1[[#This Row],[costo_antes_iva]]</f>
        <v>-150</v>
      </c>
      <c r="T394" s="1">
        <f>Tabla1[[#This Row],[OS-Valor Unitario]]*Tabla1[[#This Row],[OS-Cantidad]]</f>
        <v>82500</v>
      </c>
      <c r="U394" s="1">
        <f>Tabla1[[#This Row],[costo_antes_iva]]*Tabla1[[#This Row],[OS-Cantidad]]</f>
        <v>90000</v>
      </c>
      <c r="V394" s="1">
        <f>Tabla1[[#This Row],[Valor total OS]]-Tabla1[[#This Row],[valor total op]]</f>
        <v>-7500</v>
      </c>
      <c r="W394" s="1">
        <f>ROUNDDOWN(Tabla1[[#This Row],[Diferencia]]/200000,0)*200000</f>
        <v>0</v>
      </c>
    </row>
    <row r="395" spans="1:23" hidden="1" x14ac:dyDescent="0.3">
      <c r="A395">
        <v>6383</v>
      </c>
      <c r="B395">
        <v>13</v>
      </c>
      <c r="C395" t="s">
        <v>1023</v>
      </c>
      <c r="D395">
        <v>15</v>
      </c>
      <c r="E395" t="s">
        <v>978</v>
      </c>
      <c r="F395" t="s">
        <v>1024</v>
      </c>
      <c r="G395" t="s">
        <v>1380</v>
      </c>
      <c r="H395" t="s">
        <v>961</v>
      </c>
      <c r="I395">
        <v>1</v>
      </c>
      <c r="J395">
        <v>74549416</v>
      </c>
      <c r="K395" s="2">
        <v>45959</v>
      </c>
      <c r="L395" s="1">
        <v>14500</v>
      </c>
      <c r="M395" t="s">
        <v>980</v>
      </c>
      <c r="N395" t="s">
        <v>51</v>
      </c>
      <c r="O395" t="s">
        <v>1025</v>
      </c>
      <c r="P395" s="1">
        <v>14000</v>
      </c>
      <c r="Q395">
        <v>15</v>
      </c>
      <c r="R395" t="s">
        <v>1027</v>
      </c>
      <c r="S395" s="1">
        <f>Tabla1[[#This Row],[OS-Valor Unitario]]-Tabla1[[#This Row],[costo_antes_iva]]</f>
        <v>-500</v>
      </c>
      <c r="T395" s="1">
        <f>Tabla1[[#This Row],[OS-Valor Unitario]]*Tabla1[[#This Row],[OS-Cantidad]]</f>
        <v>210000</v>
      </c>
      <c r="U395" s="1">
        <f>Tabla1[[#This Row],[costo_antes_iva]]*Tabla1[[#This Row],[OS-Cantidad]]</f>
        <v>217500</v>
      </c>
      <c r="V395" s="1">
        <f>Tabla1[[#This Row],[Valor total OS]]-Tabla1[[#This Row],[valor total op]]</f>
        <v>-7500</v>
      </c>
      <c r="W395" s="1">
        <f>ROUNDDOWN(Tabla1[[#This Row],[Diferencia]]/200000,0)*200000</f>
        <v>0</v>
      </c>
    </row>
    <row r="396" spans="1:23" hidden="1" x14ac:dyDescent="0.3">
      <c r="A396">
        <v>6609</v>
      </c>
      <c r="B396">
        <v>2</v>
      </c>
      <c r="C396" t="s">
        <v>170</v>
      </c>
      <c r="D396">
        <v>20</v>
      </c>
      <c r="E396" t="s">
        <v>163</v>
      </c>
      <c r="F396" t="s">
        <v>171</v>
      </c>
      <c r="G396" t="s">
        <v>172</v>
      </c>
      <c r="H396" t="s">
        <v>166</v>
      </c>
      <c r="I396">
        <v>1</v>
      </c>
      <c r="J396">
        <v>80544582</v>
      </c>
      <c r="K396" s="2">
        <v>46076</v>
      </c>
      <c r="L396" s="1">
        <v>6500</v>
      </c>
      <c r="M396" t="s">
        <v>173</v>
      </c>
      <c r="N396" t="s">
        <v>51</v>
      </c>
      <c r="O396" t="s">
        <v>174</v>
      </c>
      <c r="P396" s="1">
        <v>6000</v>
      </c>
      <c r="Q396">
        <v>20</v>
      </c>
      <c r="R396" t="s">
        <v>175</v>
      </c>
      <c r="S396" s="1">
        <f>Tabla1[[#This Row],[OS-Valor Unitario]]-Tabla1[[#This Row],[costo_antes_iva]]</f>
        <v>-500</v>
      </c>
      <c r="T396" s="1">
        <f>Tabla1[[#This Row],[OS-Valor Unitario]]*Tabla1[[#This Row],[OS-Cantidad]]</f>
        <v>120000</v>
      </c>
      <c r="U396" s="1">
        <f>Tabla1[[#This Row],[costo_antes_iva]]*Tabla1[[#This Row],[OS-Cantidad]]</f>
        <v>130000</v>
      </c>
      <c r="V396" s="1">
        <f>Tabla1[[#This Row],[Valor total OS]]-Tabla1[[#This Row],[valor total op]]</f>
        <v>-10000</v>
      </c>
      <c r="W396" s="1">
        <f>ROUNDDOWN(Tabla1[[#This Row],[Diferencia]]/200000,0)*200000</f>
        <v>0</v>
      </c>
    </row>
    <row r="397" spans="1:23" hidden="1" x14ac:dyDescent="0.3">
      <c r="A397">
        <v>6381</v>
      </c>
      <c r="B397">
        <v>4</v>
      </c>
      <c r="C397" t="s">
        <v>1083</v>
      </c>
      <c r="D397">
        <v>4</v>
      </c>
      <c r="E397" t="s">
        <v>1068</v>
      </c>
      <c r="F397" t="s">
        <v>1084</v>
      </c>
      <c r="G397" t="s">
        <v>268</v>
      </c>
      <c r="H397" t="s">
        <v>294</v>
      </c>
      <c r="I397">
        <v>4</v>
      </c>
      <c r="J397">
        <v>74553216</v>
      </c>
      <c r="K397" s="2">
        <v>45959</v>
      </c>
      <c r="L397" s="1">
        <v>12000</v>
      </c>
      <c r="M397" t="s">
        <v>1085</v>
      </c>
      <c r="N397" t="s">
        <v>51</v>
      </c>
      <c r="O397" t="s">
        <v>1086</v>
      </c>
      <c r="P397" s="1">
        <v>9500</v>
      </c>
      <c r="Q397">
        <v>4</v>
      </c>
      <c r="R397" t="s">
        <v>1087</v>
      </c>
      <c r="S397" s="1">
        <f>Tabla1[[#This Row],[OS-Valor Unitario]]-Tabla1[[#This Row],[costo_antes_iva]]</f>
        <v>-2500</v>
      </c>
      <c r="T397" s="1">
        <f>Tabla1[[#This Row],[OS-Valor Unitario]]*Tabla1[[#This Row],[OS-Cantidad]]</f>
        <v>38000</v>
      </c>
      <c r="U397" s="1">
        <f>Tabla1[[#This Row],[costo_antes_iva]]*Tabla1[[#This Row],[OS-Cantidad]]</f>
        <v>48000</v>
      </c>
      <c r="V397" s="1">
        <f>Tabla1[[#This Row],[Valor total OS]]-Tabla1[[#This Row],[valor total op]]</f>
        <v>-10000</v>
      </c>
      <c r="W397" s="1">
        <f>ROUNDDOWN(Tabla1[[#This Row],[Diferencia]]/200000,0)*200000</f>
        <v>0</v>
      </c>
    </row>
    <row r="398" spans="1:23" hidden="1" x14ac:dyDescent="0.3">
      <c r="A398">
        <v>6612</v>
      </c>
      <c r="B398">
        <v>2</v>
      </c>
      <c r="C398" t="s">
        <v>146</v>
      </c>
      <c r="D398">
        <v>104</v>
      </c>
      <c r="E398" t="s">
        <v>139</v>
      </c>
      <c r="F398" t="s">
        <v>147</v>
      </c>
      <c r="G398" t="s">
        <v>141</v>
      </c>
      <c r="H398" t="s">
        <v>142</v>
      </c>
      <c r="I398">
        <v>84</v>
      </c>
      <c r="J398">
        <v>80671223</v>
      </c>
      <c r="K398" s="2">
        <v>46078</v>
      </c>
      <c r="L398" s="1">
        <v>3000</v>
      </c>
      <c r="M398" t="s">
        <v>143</v>
      </c>
      <c r="N398" t="s">
        <v>51</v>
      </c>
      <c r="O398" t="s">
        <v>148</v>
      </c>
      <c r="P398" s="1">
        <v>2900</v>
      </c>
      <c r="Q398">
        <v>104</v>
      </c>
      <c r="R398" t="s">
        <v>149</v>
      </c>
      <c r="S398" s="1">
        <f>Tabla1[[#This Row],[OS-Valor Unitario]]-Tabla1[[#This Row],[costo_antes_iva]]</f>
        <v>-100</v>
      </c>
      <c r="T398" s="1">
        <f>Tabla1[[#This Row],[OS-Valor Unitario]]*Tabla1[[#This Row],[OS-Cantidad]]</f>
        <v>301600</v>
      </c>
      <c r="U398" s="1">
        <f>Tabla1[[#This Row],[costo_antes_iva]]*Tabla1[[#This Row],[OS-Cantidad]]</f>
        <v>312000</v>
      </c>
      <c r="V398" s="1">
        <f>Tabla1[[#This Row],[Valor total OS]]-Tabla1[[#This Row],[valor total op]]</f>
        <v>-10400</v>
      </c>
      <c r="W398" s="1">
        <f>ROUNDDOWN(Tabla1[[#This Row],[Diferencia]]/200000,0)*200000</f>
        <v>0</v>
      </c>
    </row>
    <row r="399" spans="1:23" hidden="1" x14ac:dyDescent="0.3">
      <c r="A399">
        <v>6612</v>
      </c>
      <c r="B399">
        <v>2</v>
      </c>
      <c r="C399" t="s">
        <v>146</v>
      </c>
      <c r="D399">
        <v>104</v>
      </c>
      <c r="E399" t="s">
        <v>139</v>
      </c>
      <c r="F399" t="s">
        <v>147</v>
      </c>
      <c r="G399" t="s">
        <v>141</v>
      </c>
      <c r="H399" t="s">
        <v>142</v>
      </c>
      <c r="I399">
        <v>116</v>
      </c>
      <c r="J399">
        <v>80671346</v>
      </c>
      <c r="K399" s="2">
        <v>46078</v>
      </c>
      <c r="L399" s="1">
        <v>3000</v>
      </c>
      <c r="M399" t="s">
        <v>150</v>
      </c>
      <c r="N399" t="s">
        <v>51</v>
      </c>
      <c r="O399" t="s">
        <v>148</v>
      </c>
      <c r="P399" s="1">
        <v>2900</v>
      </c>
      <c r="Q399">
        <v>104</v>
      </c>
      <c r="R399" t="s">
        <v>149</v>
      </c>
      <c r="S399" s="1">
        <f>Tabla1[[#This Row],[OS-Valor Unitario]]-Tabla1[[#This Row],[costo_antes_iva]]</f>
        <v>-100</v>
      </c>
      <c r="T399" s="1">
        <f>Tabla1[[#This Row],[OS-Valor Unitario]]*Tabla1[[#This Row],[OS-Cantidad]]</f>
        <v>301600</v>
      </c>
      <c r="U399" s="1">
        <f>Tabla1[[#This Row],[costo_antes_iva]]*Tabla1[[#This Row],[OS-Cantidad]]</f>
        <v>312000</v>
      </c>
      <c r="V399" s="1">
        <f>Tabla1[[#This Row],[Valor total OS]]-Tabla1[[#This Row],[valor total op]]</f>
        <v>-10400</v>
      </c>
      <c r="W399" s="1">
        <f>ROUNDDOWN(Tabla1[[#This Row],[Diferencia]]/200000,0)*200000</f>
        <v>0</v>
      </c>
    </row>
    <row r="400" spans="1:23" hidden="1" x14ac:dyDescent="0.3">
      <c r="A400">
        <v>6433</v>
      </c>
      <c r="B400">
        <v>4</v>
      </c>
      <c r="C400" t="s">
        <v>848</v>
      </c>
      <c r="D400">
        <v>7</v>
      </c>
      <c r="E400" t="s">
        <v>834</v>
      </c>
      <c r="F400" t="s">
        <v>849</v>
      </c>
      <c r="G400" t="s">
        <v>753</v>
      </c>
      <c r="H400" t="s">
        <v>166</v>
      </c>
      <c r="I400">
        <v>0</v>
      </c>
      <c r="J400">
        <v>76289390</v>
      </c>
      <c r="K400" s="2">
        <v>45988</v>
      </c>
      <c r="L400" s="1">
        <v>7000</v>
      </c>
      <c r="M400" t="s">
        <v>837</v>
      </c>
      <c r="N400" t="s">
        <v>51</v>
      </c>
      <c r="O400" t="s">
        <v>850</v>
      </c>
      <c r="P400" s="1">
        <v>5500</v>
      </c>
      <c r="Q400">
        <v>7</v>
      </c>
      <c r="R400" t="s">
        <v>851</v>
      </c>
      <c r="S400" s="1">
        <f>Tabla1[[#This Row],[OS-Valor Unitario]]-Tabla1[[#This Row],[costo_antes_iva]]</f>
        <v>-1500</v>
      </c>
      <c r="T400" s="1">
        <f>Tabla1[[#This Row],[OS-Valor Unitario]]*Tabla1[[#This Row],[OS-Cantidad]]</f>
        <v>38500</v>
      </c>
      <c r="U400" s="1">
        <f>Tabla1[[#This Row],[costo_antes_iva]]*Tabla1[[#This Row],[OS-Cantidad]]</f>
        <v>49000</v>
      </c>
      <c r="V400" s="1">
        <f>Tabla1[[#This Row],[Valor total OS]]-Tabla1[[#This Row],[valor total op]]</f>
        <v>-10500</v>
      </c>
      <c r="W400" s="1">
        <f>ROUNDDOWN(Tabla1[[#This Row],[Diferencia]]/200000,0)*200000</f>
        <v>0</v>
      </c>
    </row>
    <row r="401" spans="1:23" hidden="1" x14ac:dyDescent="0.3">
      <c r="A401">
        <v>6373</v>
      </c>
      <c r="B401">
        <v>2</v>
      </c>
      <c r="C401" t="s">
        <v>1254</v>
      </c>
      <c r="D401">
        <v>16</v>
      </c>
      <c r="E401" t="s">
        <v>1248</v>
      </c>
      <c r="F401" t="s">
        <v>1255</v>
      </c>
      <c r="G401" t="s">
        <v>108</v>
      </c>
      <c r="H401" t="s">
        <v>166</v>
      </c>
      <c r="I401">
        <v>13</v>
      </c>
      <c r="J401">
        <v>74280393</v>
      </c>
      <c r="K401" s="2">
        <v>45954</v>
      </c>
      <c r="L401" s="1">
        <v>1700</v>
      </c>
      <c r="M401" t="s">
        <v>1250</v>
      </c>
      <c r="N401" t="s">
        <v>24</v>
      </c>
      <c r="O401" t="s">
        <v>1257</v>
      </c>
      <c r="P401" s="1">
        <v>1000</v>
      </c>
      <c r="Q401">
        <v>16</v>
      </c>
      <c r="R401" t="s">
        <v>1259</v>
      </c>
      <c r="S401" s="1">
        <f>Tabla1[[#This Row],[OS-Valor Unitario]]-Tabla1[[#This Row],[costo_antes_iva]]</f>
        <v>-700</v>
      </c>
      <c r="T401" s="1">
        <f>Tabla1[[#This Row],[OS-Valor Unitario]]*Tabla1[[#This Row],[OS-Cantidad]]</f>
        <v>16000</v>
      </c>
      <c r="U401" s="1">
        <f>Tabla1[[#This Row],[costo_antes_iva]]*Tabla1[[#This Row],[OS-Cantidad]]</f>
        <v>27200</v>
      </c>
      <c r="V401" s="1">
        <f>Tabla1[[#This Row],[Valor total OS]]-Tabla1[[#This Row],[valor total op]]</f>
        <v>-11200</v>
      </c>
      <c r="W401" s="1">
        <f>ROUNDDOWN(Tabla1[[#This Row],[Diferencia]]/200000,0)*200000</f>
        <v>0</v>
      </c>
    </row>
    <row r="402" spans="1:23" hidden="1" x14ac:dyDescent="0.3">
      <c r="A402">
        <v>6524</v>
      </c>
      <c r="B402">
        <v>1</v>
      </c>
      <c r="C402" t="s">
        <v>322</v>
      </c>
      <c r="D402">
        <v>12</v>
      </c>
      <c r="E402" t="s">
        <v>323</v>
      </c>
      <c r="F402" t="s">
        <v>324</v>
      </c>
      <c r="G402" t="s">
        <v>325</v>
      </c>
      <c r="H402" t="s">
        <v>166</v>
      </c>
      <c r="I402">
        <v>12</v>
      </c>
      <c r="J402">
        <v>78935301</v>
      </c>
      <c r="K402" s="2">
        <v>46045</v>
      </c>
      <c r="L402" s="1">
        <v>6000</v>
      </c>
      <c r="M402" t="s">
        <v>326</v>
      </c>
      <c r="N402" t="s">
        <v>51</v>
      </c>
      <c r="O402" t="s">
        <v>327</v>
      </c>
      <c r="P402" s="1">
        <v>5000</v>
      </c>
      <c r="Q402">
        <v>12</v>
      </c>
      <c r="R402" t="s">
        <v>328</v>
      </c>
      <c r="S402" s="1">
        <f>Tabla1[[#This Row],[OS-Valor Unitario]]-Tabla1[[#This Row],[costo_antes_iva]]</f>
        <v>-1000</v>
      </c>
      <c r="T402" s="1">
        <f>Tabla1[[#This Row],[OS-Valor Unitario]]*Tabla1[[#This Row],[OS-Cantidad]]</f>
        <v>60000</v>
      </c>
      <c r="U402" s="1">
        <f>Tabla1[[#This Row],[costo_antes_iva]]*Tabla1[[#This Row],[OS-Cantidad]]</f>
        <v>72000</v>
      </c>
      <c r="V402" s="1">
        <f>Tabla1[[#This Row],[Valor total OS]]-Tabla1[[#This Row],[valor total op]]</f>
        <v>-12000</v>
      </c>
      <c r="W402" s="1">
        <f>ROUNDDOWN(Tabla1[[#This Row],[Diferencia]]/200000,0)*200000</f>
        <v>0</v>
      </c>
    </row>
    <row r="403" spans="1:23" hidden="1" x14ac:dyDescent="0.3">
      <c r="A403">
        <v>6503</v>
      </c>
      <c r="B403">
        <v>1</v>
      </c>
      <c r="C403" t="s">
        <v>373</v>
      </c>
      <c r="D403">
        <v>30</v>
      </c>
      <c r="E403" t="s">
        <v>374</v>
      </c>
      <c r="F403" t="s">
        <v>375</v>
      </c>
      <c r="G403" t="s">
        <v>1376</v>
      </c>
      <c r="H403" t="s">
        <v>376</v>
      </c>
      <c r="I403">
        <v>30</v>
      </c>
      <c r="J403">
        <v>75856752</v>
      </c>
      <c r="K403" s="2">
        <v>45985</v>
      </c>
      <c r="L403" s="1">
        <v>2000</v>
      </c>
      <c r="M403" t="s">
        <v>377</v>
      </c>
      <c r="N403" t="s">
        <v>24</v>
      </c>
      <c r="O403" t="s">
        <v>378</v>
      </c>
      <c r="P403" s="1">
        <v>1500</v>
      </c>
      <c r="Q403">
        <v>30</v>
      </c>
      <c r="R403" t="s">
        <v>380</v>
      </c>
      <c r="S403" s="1">
        <f>Tabla1[[#This Row],[OS-Valor Unitario]]-Tabla1[[#This Row],[costo_antes_iva]]</f>
        <v>-500</v>
      </c>
      <c r="T403" s="1">
        <f>Tabla1[[#This Row],[OS-Valor Unitario]]*Tabla1[[#This Row],[OS-Cantidad]]</f>
        <v>45000</v>
      </c>
      <c r="U403" s="1">
        <f>Tabla1[[#This Row],[costo_antes_iva]]*Tabla1[[#This Row],[OS-Cantidad]]</f>
        <v>60000</v>
      </c>
      <c r="V403" s="1">
        <f>Tabla1[[#This Row],[Valor total OS]]-Tabla1[[#This Row],[valor total op]]</f>
        <v>-15000</v>
      </c>
      <c r="W403" s="1">
        <f>ROUNDDOWN(Tabla1[[#This Row],[Diferencia]]/200000,0)*200000</f>
        <v>0</v>
      </c>
    </row>
    <row r="404" spans="1:23" hidden="1" x14ac:dyDescent="0.3">
      <c r="A404">
        <v>6503</v>
      </c>
      <c r="B404">
        <v>2</v>
      </c>
      <c r="C404" t="s">
        <v>381</v>
      </c>
      <c r="D404">
        <v>30</v>
      </c>
      <c r="E404" t="s">
        <v>374</v>
      </c>
      <c r="F404" t="s">
        <v>382</v>
      </c>
      <c r="G404" t="s">
        <v>1376</v>
      </c>
      <c r="H404" t="s">
        <v>376</v>
      </c>
      <c r="I404">
        <v>30</v>
      </c>
      <c r="J404">
        <v>75856761</v>
      </c>
      <c r="K404" s="2">
        <v>45985</v>
      </c>
      <c r="L404" s="1">
        <v>2000</v>
      </c>
      <c r="M404" t="s">
        <v>377</v>
      </c>
      <c r="N404" t="s">
        <v>24</v>
      </c>
      <c r="O404" t="s">
        <v>383</v>
      </c>
      <c r="P404" s="1">
        <v>1500</v>
      </c>
      <c r="Q404">
        <v>30</v>
      </c>
      <c r="R404" t="s">
        <v>385</v>
      </c>
      <c r="S404" s="1">
        <f>Tabla1[[#This Row],[OS-Valor Unitario]]-Tabla1[[#This Row],[costo_antes_iva]]</f>
        <v>-500</v>
      </c>
      <c r="T404" s="1">
        <f>Tabla1[[#This Row],[OS-Valor Unitario]]*Tabla1[[#This Row],[OS-Cantidad]]</f>
        <v>45000</v>
      </c>
      <c r="U404" s="1">
        <f>Tabla1[[#This Row],[costo_antes_iva]]*Tabla1[[#This Row],[OS-Cantidad]]</f>
        <v>60000</v>
      </c>
      <c r="V404" s="1">
        <f>Tabla1[[#This Row],[Valor total OS]]-Tabla1[[#This Row],[valor total op]]</f>
        <v>-15000</v>
      </c>
      <c r="W404" s="1">
        <f>ROUNDDOWN(Tabla1[[#This Row],[Diferencia]]/200000,0)*200000</f>
        <v>0</v>
      </c>
    </row>
    <row r="405" spans="1:23" hidden="1" x14ac:dyDescent="0.3">
      <c r="A405">
        <v>6503</v>
      </c>
      <c r="B405">
        <v>3</v>
      </c>
      <c r="C405" t="s">
        <v>386</v>
      </c>
      <c r="D405">
        <v>30</v>
      </c>
      <c r="E405" t="s">
        <v>374</v>
      </c>
      <c r="F405" t="s">
        <v>387</v>
      </c>
      <c r="G405" t="s">
        <v>209</v>
      </c>
      <c r="H405" t="s">
        <v>376</v>
      </c>
      <c r="I405">
        <v>30</v>
      </c>
      <c r="J405">
        <v>75856770</v>
      </c>
      <c r="K405" s="2">
        <v>45985</v>
      </c>
      <c r="L405" s="1">
        <v>2000</v>
      </c>
      <c r="M405" t="s">
        <v>377</v>
      </c>
      <c r="N405" t="s">
        <v>24</v>
      </c>
      <c r="O405" t="s">
        <v>388</v>
      </c>
      <c r="P405" s="1">
        <v>1500</v>
      </c>
      <c r="Q405">
        <v>30</v>
      </c>
      <c r="R405" t="s">
        <v>390</v>
      </c>
      <c r="S405" s="1">
        <f>Tabla1[[#This Row],[OS-Valor Unitario]]-Tabla1[[#This Row],[costo_antes_iva]]</f>
        <v>-500</v>
      </c>
      <c r="T405" s="1">
        <f>Tabla1[[#This Row],[OS-Valor Unitario]]*Tabla1[[#This Row],[OS-Cantidad]]</f>
        <v>45000</v>
      </c>
      <c r="U405" s="1">
        <f>Tabla1[[#This Row],[costo_antes_iva]]*Tabla1[[#This Row],[OS-Cantidad]]</f>
        <v>60000</v>
      </c>
      <c r="V405" s="1">
        <f>Tabla1[[#This Row],[Valor total OS]]-Tabla1[[#This Row],[valor total op]]</f>
        <v>-15000</v>
      </c>
      <c r="W405" s="1">
        <f>ROUNDDOWN(Tabla1[[#This Row],[Diferencia]]/200000,0)*200000</f>
        <v>0</v>
      </c>
    </row>
    <row r="406" spans="1:23" hidden="1" x14ac:dyDescent="0.3">
      <c r="A406">
        <v>6485</v>
      </c>
      <c r="B406">
        <v>8</v>
      </c>
      <c r="C406" t="s">
        <v>682</v>
      </c>
      <c r="D406">
        <v>30</v>
      </c>
      <c r="E406" t="s">
        <v>650</v>
      </c>
      <c r="F406" t="s">
        <v>683</v>
      </c>
      <c r="G406" t="s">
        <v>684</v>
      </c>
      <c r="H406" t="s">
        <v>166</v>
      </c>
      <c r="I406">
        <v>1</v>
      </c>
      <c r="J406">
        <v>77662718</v>
      </c>
      <c r="K406" s="2">
        <v>46014</v>
      </c>
      <c r="L406" s="1">
        <v>3000</v>
      </c>
      <c r="M406" t="s">
        <v>652</v>
      </c>
      <c r="N406" t="s">
        <v>51</v>
      </c>
      <c r="O406" t="s">
        <v>685</v>
      </c>
      <c r="P406" s="1">
        <v>2500</v>
      </c>
      <c r="Q406">
        <v>30</v>
      </c>
      <c r="R406" t="s">
        <v>686</v>
      </c>
      <c r="S406" s="1">
        <f>Tabla1[[#This Row],[OS-Valor Unitario]]-Tabla1[[#This Row],[costo_antes_iva]]</f>
        <v>-500</v>
      </c>
      <c r="T406" s="1">
        <f>Tabla1[[#This Row],[OS-Valor Unitario]]*Tabla1[[#This Row],[OS-Cantidad]]</f>
        <v>75000</v>
      </c>
      <c r="U406" s="1">
        <f>Tabla1[[#This Row],[costo_antes_iva]]*Tabla1[[#This Row],[OS-Cantidad]]</f>
        <v>90000</v>
      </c>
      <c r="V406" s="1">
        <f>Tabla1[[#This Row],[Valor total OS]]-Tabla1[[#This Row],[valor total op]]</f>
        <v>-15000</v>
      </c>
      <c r="W406" s="1">
        <f>ROUNDDOWN(Tabla1[[#This Row],[Diferencia]]/200000,0)*200000</f>
        <v>0</v>
      </c>
    </row>
    <row r="407" spans="1:23" hidden="1" x14ac:dyDescent="0.3">
      <c r="A407">
        <v>6485</v>
      </c>
      <c r="B407">
        <v>8</v>
      </c>
      <c r="C407" t="s">
        <v>682</v>
      </c>
      <c r="D407">
        <v>30</v>
      </c>
      <c r="E407" t="s">
        <v>650</v>
      </c>
      <c r="F407" t="s">
        <v>683</v>
      </c>
      <c r="G407" t="s">
        <v>684</v>
      </c>
      <c r="H407" t="s">
        <v>166</v>
      </c>
      <c r="I407">
        <v>1</v>
      </c>
      <c r="J407">
        <v>77663093</v>
      </c>
      <c r="K407" s="2">
        <v>46014</v>
      </c>
      <c r="L407" s="1">
        <v>3000</v>
      </c>
      <c r="M407" t="s">
        <v>655</v>
      </c>
      <c r="N407" t="s">
        <v>51</v>
      </c>
      <c r="O407" t="s">
        <v>685</v>
      </c>
      <c r="P407" s="1">
        <v>2500</v>
      </c>
      <c r="Q407">
        <v>30</v>
      </c>
      <c r="R407" t="s">
        <v>686</v>
      </c>
      <c r="S407" s="1">
        <f>Tabla1[[#This Row],[OS-Valor Unitario]]-Tabla1[[#This Row],[costo_antes_iva]]</f>
        <v>-500</v>
      </c>
      <c r="T407" s="1">
        <f>Tabla1[[#This Row],[OS-Valor Unitario]]*Tabla1[[#This Row],[OS-Cantidad]]</f>
        <v>75000</v>
      </c>
      <c r="U407" s="1">
        <f>Tabla1[[#This Row],[costo_antes_iva]]*Tabla1[[#This Row],[OS-Cantidad]]</f>
        <v>90000</v>
      </c>
      <c r="V407" s="1">
        <f>Tabla1[[#This Row],[Valor total OS]]-Tabla1[[#This Row],[valor total op]]</f>
        <v>-15000</v>
      </c>
      <c r="W407" s="1">
        <f>ROUNDDOWN(Tabla1[[#This Row],[Diferencia]]/200000,0)*200000</f>
        <v>0</v>
      </c>
    </row>
    <row r="408" spans="1:23" hidden="1" x14ac:dyDescent="0.3">
      <c r="A408">
        <v>6381</v>
      </c>
      <c r="B408">
        <v>1</v>
      </c>
      <c r="C408" t="s">
        <v>1067</v>
      </c>
      <c r="D408">
        <v>78</v>
      </c>
      <c r="E408" t="s">
        <v>1068</v>
      </c>
      <c r="F408" t="s">
        <v>1069</v>
      </c>
      <c r="G408" t="s">
        <v>118</v>
      </c>
      <c r="H408" t="s">
        <v>294</v>
      </c>
      <c r="I408">
        <v>78</v>
      </c>
      <c r="J408">
        <v>74547203</v>
      </c>
      <c r="K408" s="2">
        <v>45959</v>
      </c>
      <c r="L408" s="1">
        <v>1800</v>
      </c>
      <c r="M408" t="s">
        <v>1070</v>
      </c>
      <c r="N408" t="s">
        <v>24</v>
      </c>
      <c r="O408" t="s">
        <v>1071</v>
      </c>
      <c r="P408" s="1">
        <v>1600</v>
      </c>
      <c r="Q408">
        <v>78</v>
      </c>
      <c r="R408" t="s">
        <v>1073</v>
      </c>
      <c r="S408" s="1">
        <f>Tabla1[[#This Row],[OS-Valor Unitario]]-Tabla1[[#This Row],[costo_antes_iva]]</f>
        <v>-200</v>
      </c>
      <c r="T408" s="1">
        <f>Tabla1[[#This Row],[OS-Valor Unitario]]*Tabla1[[#This Row],[OS-Cantidad]]</f>
        <v>124800</v>
      </c>
      <c r="U408" s="1">
        <f>Tabla1[[#This Row],[costo_antes_iva]]*Tabla1[[#This Row],[OS-Cantidad]]</f>
        <v>140400</v>
      </c>
      <c r="V408" s="1">
        <f>Tabla1[[#This Row],[Valor total OS]]-Tabla1[[#This Row],[valor total op]]</f>
        <v>-15600</v>
      </c>
      <c r="W408" s="1">
        <f>ROUNDDOWN(Tabla1[[#This Row],[Diferencia]]/200000,0)*200000</f>
        <v>0</v>
      </c>
    </row>
    <row r="409" spans="1:23" hidden="1" x14ac:dyDescent="0.3">
      <c r="A409">
        <v>6618</v>
      </c>
      <c r="B409">
        <v>5</v>
      </c>
      <c r="C409" t="s">
        <v>80</v>
      </c>
      <c r="D409">
        <v>26</v>
      </c>
      <c r="E409" t="s">
        <v>61</v>
      </c>
      <c r="F409" t="s">
        <v>81</v>
      </c>
      <c r="G409" t="s">
        <v>1376</v>
      </c>
      <c r="H409" t="s">
        <v>63</v>
      </c>
      <c r="I409">
        <v>1</v>
      </c>
      <c r="J409">
        <v>80759171</v>
      </c>
      <c r="K409" s="2">
        <v>46079</v>
      </c>
      <c r="L409" s="1">
        <v>3600</v>
      </c>
      <c r="M409" t="s">
        <v>64</v>
      </c>
      <c r="N409" t="s">
        <v>65</v>
      </c>
      <c r="O409" t="s">
        <v>82</v>
      </c>
      <c r="P409" s="1">
        <v>3000</v>
      </c>
      <c r="Q409">
        <v>26</v>
      </c>
      <c r="R409" t="s">
        <v>83</v>
      </c>
      <c r="S409" s="1">
        <f>Tabla1[[#This Row],[OS-Valor Unitario]]-Tabla1[[#This Row],[costo_antes_iva]]</f>
        <v>-600</v>
      </c>
      <c r="T409" s="1">
        <f>Tabla1[[#This Row],[OS-Valor Unitario]]*Tabla1[[#This Row],[OS-Cantidad]]</f>
        <v>78000</v>
      </c>
      <c r="U409" s="1">
        <f>Tabla1[[#This Row],[costo_antes_iva]]*Tabla1[[#This Row],[OS-Cantidad]]</f>
        <v>93600</v>
      </c>
      <c r="V409" s="1">
        <f>Tabla1[[#This Row],[Valor total OS]]-Tabla1[[#This Row],[valor total op]]</f>
        <v>-15600</v>
      </c>
      <c r="W409" s="1">
        <f>ROUNDDOWN(Tabla1[[#This Row],[Diferencia]]/200000,0)*200000</f>
        <v>0</v>
      </c>
    </row>
    <row r="410" spans="1:23" hidden="1" x14ac:dyDescent="0.3">
      <c r="A410">
        <v>6484</v>
      </c>
      <c r="B410">
        <v>2</v>
      </c>
      <c r="C410" t="s">
        <v>714</v>
      </c>
      <c r="D410">
        <v>45</v>
      </c>
      <c r="E410" t="s">
        <v>708</v>
      </c>
      <c r="F410" t="s">
        <v>715</v>
      </c>
      <c r="G410" t="s">
        <v>118</v>
      </c>
      <c r="H410" t="s">
        <v>166</v>
      </c>
      <c r="I410">
        <v>1</v>
      </c>
      <c r="J410">
        <v>77658380</v>
      </c>
      <c r="K410" s="2">
        <v>46014</v>
      </c>
      <c r="L410" s="1">
        <v>2000</v>
      </c>
      <c r="M410" t="s">
        <v>710</v>
      </c>
      <c r="N410" t="s">
        <v>24</v>
      </c>
      <c r="O410" t="s">
        <v>716</v>
      </c>
      <c r="P410" s="1">
        <v>1650</v>
      </c>
      <c r="Q410">
        <v>45</v>
      </c>
      <c r="R410" t="s">
        <v>718</v>
      </c>
      <c r="S410" s="1">
        <f>Tabla1[[#This Row],[OS-Valor Unitario]]-Tabla1[[#This Row],[costo_antes_iva]]</f>
        <v>-350</v>
      </c>
      <c r="T410" s="1">
        <f>Tabla1[[#This Row],[OS-Valor Unitario]]*Tabla1[[#This Row],[OS-Cantidad]]</f>
        <v>74250</v>
      </c>
      <c r="U410" s="1">
        <f>Tabla1[[#This Row],[costo_antes_iva]]*Tabla1[[#This Row],[OS-Cantidad]]</f>
        <v>90000</v>
      </c>
      <c r="V410" s="1">
        <f>Tabla1[[#This Row],[Valor total OS]]-Tabla1[[#This Row],[valor total op]]</f>
        <v>-15750</v>
      </c>
      <c r="W410" s="1">
        <f>ROUNDDOWN(Tabla1[[#This Row],[Diferencia]]/200000,0)*200000</f>
        <v>0</v>
      </c>
    </row>
    <row r="411" spans="1:23" hidden="1" x14ac:dyDescent="0.3">
      <c r="A411">
        <v>6371</v>
      </c>
      <c r="B411">
        <v>2</v>
      </c>
      <c r="C411" t="s">
        <v>1282</v>
      </c>
      <c r="D411">
        <v>16</v>
      </c>
      <c r="E411" t="s">
        <v>1276</v>
      </c>
      <c r="F411" t="s">
        <v>950</v>
      </c>
      <c r="G411" t="s">
        <v>523</v>
      </c>
      <c r="H411" t="s">
        <v>317</v>
      </c>
      <c r="I411">
        <v>16</v>
      </c>
      <c r="J411">
        <v>74212668</v>
      </c>
      <c r="K411" s="2">
        <v>45953</v>
      </c>
      <c r="L411" s="1">
        <v>13000</v>
      </c>
      <c r="M411" t="s">
        <v>957</v>
      </c>
      <c r="N411" t="s">
        <v>51</v>
      </c>
      <c r="O411" t="s">
        <v>1283</v>
      </c>
      <c r="P411" s="1">
        <v>12000</v>
      </c>
      <c r="Q411">
        <v>16</v>
      </c>
      <c r="R411" t="s">
        <v>1284</v>
      </c>
      <c r="S411" s="1">
        <f>Tabla1[[#This Row],[OS-Valor Unitario]]-Tabla1[[#This Row],[costo_antes_iva]]</f>
        <v>-1000</v>
      </c>
      <c r="T411" s="1">
        <f>Tabla1[[#This Row],[OS-Valor Unitario]]*Tabla1[[#This Row],[OS-Cantidad]]</f>
        <v>192000</v>
      </c>
      <c r="U411" s="1">
        <f>Tabla1[[#This Row],[costo_antes_iva]]*Tabla1[[#This Row],[OS-Cantidad]]</f>
        <v>208000</v>
      </c>
      <c r="V411" s="1">
        <f>Tabla1[[#This Row],[Valor total OS]]-Tabla1[[#This Row],[valor total op]]</f>
        <v>-16000</v>
      </c>
      <c r="W411" s="1">
        <f>ROUNDDOWN(Tabla1[[#This Row],[Diferencia]]/200000,0)*200000</f>
        <v>0</v>
      </c>
    </row>
    <row r="412" spans="1:23" hidden="1" x14ac:dyDescent="0.3">
      <c r="A412">
        <v>6612</v>
      </c>
      <c r="B412">
        <v>3</v>
      </c>
      <c r="C412" t="s">
        <v>151</v>
      </c>
      <c r="D412">
        <v>176</v>
      </c>
      <c r="E412" t="s">
        <v>139</v>
      </c>
      <c r="F412" t="s">
        <v>147</v>
      </c>
      <c r="G412" t="s">
        <v>141</v>
      </c>
      <c r="H412" t="s">
        <v>142</v>
      </c>
      <c r="I412">
        <v>84</v>
      </c>
      <c r="J412">
        <v>80671223</v>
      </c>
      <c r="K412" s="2">
        <v>46078</v>
      </c>
      <c r="L412" s="1">
        <v>3000</v>
      </c>
      <c r="M412" t="s">
        <v>143</v>
      </c>
      <c r="N412" t="s">
        <v>51</v>
      </c>
      <c r="O412" t="s">
        <v>152</v>
      </c>
      <c r="P412" s="1">
        <v>2900</v>
      </c>
      <c r="Q412">
        <v>176</v>
      </c>
      <c r="R412" t="s">
        <v>153</v>
      </c>
      <c r="S412" s="1">
        <f>Tabla1[[#This Row],[OS-Valor Unitario]]-Tabla1[[#This Row],[costo_antes_iva]]</f>
        <v>-100</v>
      </c>
      <c r="T412" s="1">
        <f>Tabla1[[#This Row],[OS-Valor Unitario]]*Tabla1[[#This Row],[OS-Cantidad]]</f>
        <v>510400</v>
      </c>
      <c r="U412" s="1">
        <f>Tabla1[[#This Row],[costo_antes_iva]]*Tabla1[[#This Row],[OS-Cantidad]]</f>
        <v>528000</v>
      </c>
      <c r="V412" s="1">
        <f>Tabla1[[#This Row],[Valor total OS]]-Tabla1[[#This Row],[valor total op]]</f>
        <v>-17600</v>
      </c>
      <c r="W412" s="1">
        <f>ROUNDDOWN(Tabla1[[#This Row],[Diferencia]]/200000,0)*200000</f>
        <v>0</v>
      </c>
    </row>
    <row r="413" spans="1:23" hidden="1" x14ac:dyDescent="0.3">
      <c r="A413">
        <v>6612</v>
      </c>
      <c r="B413">
        <v>3</v>
      </c>
      <c r="C413" t="s">
        <v>151</v>
      </c>
      <c r="D413">
        <v>176</v>
      </c>
      <c r="E413" t="s">
        <v>139</v>
      </c>
      <c r="F413" t="s">
        <v>147</v>
      </c>
      <c r="G413" t="s">
        <v>141</v>
      </c>
      <c r="H413" t="s">
        <v>142</v>
      </c>
      <c r="I413">
        <v>116</v>
      </c>
      <c r="J413">
        <v>80671346</v>
      </c>
      <c r="K413" s="2">
        <v>46078</v>
      </c>
      <c r="L413" s="1">
        <v>3000</v>
      </c>
      <c r="M413" t="s">
        <v>150</v>
      </c>
      <c r="N413" t="s">
        <v>51</v>
      </c>
      <c r="O413" t="s">
        <v>152</v>
      </c>
      <c r="P413" s="1">
        <v>2900</v>
      </c>
      <c r="Q413">
        <v>176</v>
      </c>
      <c r="R413" t="s">
        <v>153</v>
      </c>
      <c r="S413" s="1">
        <f>Tabla1[[#This Row],[OS-Valor Unitario]]-Tabla1[[#This Row],[costo_antes_iva]]</f>
        <v>-100</v>
      </c>
      <c r="T413" s="1">
        <f>Tabla1[[#This Row],[OS-Valor Unitario]]*Tabla1[[#This Row],[OS-Cantidad]]</f>
        <v>510400</v>
      </c>
      <c r="U413" s="1">
        <f>Tabla1[[#This Row],[costo_antes_iva]]*Tabla1[[#This Row],[OS-Cantidad]]</f>
        <v>528000</v>
      </c>
      <c r="V413" s="1">
        <f>Tabla1[[#This Row],[Valor total OS]]-Tabla1[[#This Row],[valor total op]]</f>
        <v>-17600</v>
      </c>
      <c r="W413" s="1">
        <f>ROUNDDOWN(Tabla1[[#This Row],[Diferencia]]/200000,0)*200000</f>
        <v>0</v>
      </c>
    </row>
    <row r="414" spans="1:23" hidden="1" x14ac:dyDescent="0.3">
      <c r="A414">
        <v>6484</v>
      </c>
      <c r="B414">
        <v>3</v>
      </c>
      <c r="C414" t="s">
        <v>719</v>
      </c>
      <c r="D414">
        <v>40</v>
      </c>
      <c r="E414" t="s">
        <v>708</v>
      </c>
      <c r="F414" t="s">
        <v>720</v>
      </c>
      <c r="G414" t="s">
        <v>242</v>
      </c>
      <c r="H414" t="s">
        <v>166</v>
      </c>
      <c r="I414">
        <v>1</v>
      </c>
      <c r="J414">
        <v>77658387</v>
      </c>
      <c r="K414" s="2">
        <v>46014</v>
      </c>
      <c r="L414" s="1">
        <v>2000</v>
      </c>
      <c r="M414" t="s">
        <v>710</v>
      </c>
      <c r="N414" t="s">
        <v>24</v>
      </c>
      <c r="O414" t="s">
        <v>721</v>
      </c>
      <c r="P414" s="1">
        <v>1650</v>
      </c>
      <c r="Q414">
        <v>51</v>
      </c>
      <c r="R414" t="s">
        <v>723</v>
      </c>
      <c r="S414" s="1">
        <f>Tabla1[[#This Row],[OS-Valor Unitario]]-Tabla1[[#This Row],[costo_antes_iva]]</f>
        <v>-350</v>
      </c>
      <c r="T414" s="1">
        <f>Tabla1[[#This Row],[OS-Valor Unitario]]*Tabla1[[#This Row],[OS-Cantidad]]</f>
        <v>84150</v>
      </c>
      <c r="U414" s="1">
        <f>Tabla1[[#This Row],[costo_antes_iva]]*Tabla1[[#This Row],[OS-Cantidad]]</f>
        <v>102000</v>
      </c>
      <c r="V414" s="1">
        <f>Tabla1[[#This Row],[Valor total OS]]-Tabla1[[#This Row],[valor total op]]</f>
        <v>-17850</v>
      </c>
      <c r="W414" s="1">
        <f>ROUNDDOWN(Tabla1[[#This Row],[Diferencia]]/200000,0)*200000</f>
        <v>0</v>
      </c>
    </row>
    <row r="415" spans="1:23" hidden="1" x14ac:dyDescent="0.3">
      <c r="A415">
        <v>6618</v>
      </c>
      <c r="B415">
        <v>2</v>
      </c>
      <c r="C415" t="s">
        <v>68</v>
      </c>
      <c r="D415">
        <v>30</v>
      </c>
      <c r="E415" t="s">
        <v>61</v>
      </c>
      <c r="F415" t="s">
        <v>69</v>
      </c>
      <c r="G415" t="s">
        <v>1377</v>
      </c>
      <c r="H415" t="s">
        <v>63</v>
      </c>
      <c r="I415">
        <v>1</v>
      </c>
      <c r="J415">
        <v>80759145</v>
      </c>
      <c r="K415" s="2">
        <v>46079</v>
      </c>
      <c r="L415" s="1">
        <v>3600</v>
      </c>
      <c r="M415" t="s">
        <v>64</v>
      </c>
      <c r="N415" t="s">
        <v>65</v>
      </c>
      <c r="O415" t="s">
        <v>70</v>
      </c>
      <c r="P415" s="1">
        <v>3000</v>
      </c>
      <c r="Q415">
        <v>30</v>
      </c>
      <c r="R415" t="s">
        <v>71</v>
      </c>
      <c r="S415" s="1">
        <f>Tabla1[[#This Row],[OS-Valor Unitario]]-Tabla1[[#This Row],[costo_antes_iva]]</f>
        <v>-600</v>
      </c>
      <c r="T415" s="1">
        <f>Tabla1[[#This Row],[OS-Valor Unitario]]*Tabla1[[#This Row],[OS-Cantidad]]</f>
        <v>90000</v>
      </c>
      <c r="U415" s="1">
        <f>Tabla1[[#This Row],[costo_antes_iva]]*Tabla1[[#This Row],[OS-Cantidad]]</f>
        <v>108000</v>
      </c>
      <c r="V415" s="1">
        <f>Tabla1[[#This Row],[Valor total OS]]-Tabla1[[#This Row],[valor total op]]</f>
        <v>-18000</v>
      </c>
      <c r="W415" s="1">
        <f>ROUNDDOWN(Tabla1[[#This Row],[Diferencia]]/200000,0)*200000</f>
        <v>0</v>
      </c>
    </row>
    <row r="416" spans="1:23" hidden="1" x14ac:dyDescent="0.3">
      <c r="A416">
        <v>6439</v>
      </c>
      <c r="B416">
        <v>3</v>
      </c>
      <c r="C416" t="s">
        <v>756</v>
      </c>
      <c r="D416">
        <v>18</v>
      </c>
      <c r="E416" t="s">
        <v>745</v>
      </c>
      <c r="F416" t="s">
        <v>757</v>
      </c>
      <c r="G416" t="s">
        <v>325</v>
      </c>
      <c r="H416" t="s">
        <v>166</v>
      </c>
      <c r="I416">
        <v>0</v>
      </c>
      <c r="J416">
        <v>76369153</v>
      </c>
      <c r="K416" s="2">
        <v>45989</v>
      </c>
      <c r="L416" s="1">
        <v>6000</v>
      </c>
      <c r="M416" t="s">
        <v>748</v>
      </c>
      <c r="N416" t="s">
        <v>51</v>
      </c>
      <c r="O416" t="s">
        <v>758</v>
      </c>
      <c r="P416" s="1">
        <v>5000</v>
      </c>
      <c r="Q416">
        <v>18</v>
      </c>
      <c r="R416" t="s">
        <v>759</v>
      </c>
      <c r="S416" s="1">
        <f>Tabla1[[#This Row],[OS-Valor Unitario]]-Tabla1[[#This Row],[costo_antes_iva]]</f>
        <v>-1000</v>
      </c>
      <c r="T416" s="1">
        <f>Tabla1[[#This Row],[OS-Valor Unitario]]*Tabla1[[#This Row],[OS-Cantidad]]</f>
        <v>90000</v>
      </c>
      <c r="U416" s="1">
        <f>Tabla1[[#This Row],[costo_antes_iva]]*Tabla1[[#This Row],[OS-Cantidad]]</f>
        <v>108000</v>
      </c>
      <c r="V416" s="1">
        <f>Tabla1[[#This Row],[Valor total OS]]-Tabla1[[#This Row],[valor total op]]</f>
        <v>-18000</v>
      </c>
      <c r="W416" s="1">
        <f>ROUNDDOWN(Tabla1[[#This Row],[Diferencia]]/200000,0)*200000</f>
        <v>0</v>
      </c>
    </row>
    <row r="417" spans="1:23" hidden="1" x14ac:dyDescent="0.3">
      <c r="A417">
        <v>6433</v>
      </c>
      <c r="B417">
        <v>5</v>
      </c>
      <c r="C417" t="s">
        <v>853</v>
      </c>
      <c r="D417">
        <v>18</v>
      </c>
      <c r="E417" t="s">
        <v>834</v>
      </c>
      <c r="F417" t="s">
        <v>854</v>
      </c>
      <c r="G417" t="s">
        <v>325</v>
      </c>
      <c r="H417" t="s">
        <v>166</v>
      </c>
      <c r="I417">
        <v>0</v>
      </c>
      <c r="J417">
        <v>76289435</v>
      </c>
      <c r="K417" s="2">
        <v>45988</v>
      </c>
      <c r="L417" s="1">
        <v>6000</v>
      </c>
      <c r="M417" t="s">
        <v>837</v>
      </c>
      <c r="N417" t="s">
        <v>51</v>
      </c>
      <c r="O417" t="s">
        <v>855</v>
      </c>
      <c r="P417" s="1">
        <v>5000</v>
      </c>
      <c r="Q417">
        <v>18</v>
      </c>
      <c r="R417" t="s">
        <v>856</v>
      </c>
      <c r="S417" s="1">
        <f>Tabla1[[#This Row],[OS-Valor Unitario]]-Tabla1[[#This Row],[costo_antes_iva]]</f>
        <v>-1000</v>
      </c>
      <c r="T417" s="1">
        <f>Tabla1[[#This Row],[OS-Valor Unitario]]*Tabla1[[#This Row],[OS-Cantidad]]</f>
        <v>90000</v>
      </c>
      <c r="U417" s="1">
        <f>Tabla1[[#This Row],[costo_antes_iva]]*Tabla1[[#This Row],[OS-Cantidad]]</f>
        <v>108000</v>
      </c>
      <c r="V417" s="1">
        <f>Tabla1[[#This Row],[Valor total OS]]-Tabla1[[#This Row],[valor total op]]</f>
        <v>-18000</v>
      </c>
      <c r="W417" s="1">
        <f>ROUNDDOWN(Tabla1[[#This Row],[Diferencia]]/200000,0)*200000</f>
        <v>0</v>
      </c>
    </row>
    <row r="418" spans="1:23" hidden="1" x14ac:dyDescent="0.3">
      <c r="A418">
        <v>6439</v>
      </c>
      <c r="B418">
        <v>2</v>
      </c>
      <c r="C418" t="s">
        <v>751</v>
      </c>
      <c r="D418">
        <v>12</v>
      </c>
      <c r="E418" t="s">
        <v>745</v>
      </c>
      <c r="F418" t="s">
        <v>752</v>
      </c>
      <c r="G418" t="s">
        <v>753</v>
      </c>
      <c r="H418" t="s">
        <v>166</v>
      </c>
      <c r="I418">
        <v>0</v>
      </c>
      <c r="J418">
        <v>76369089</v>
      </c>
      <c r="K418" s="2">
        <v>45989</v>
      </c>
      <c r="L418" s="1">
        <v>7000</v>
      </c>
      <c r="M418" t="s">
        <v>748</v>
      </c>
      <c r="N418" t="s">
        <v>51</v>
      </c>
      <c r="O418" t="s">
        <v>754</v>
      </c>
      <c r="P418" s="1">
        <v>5500</v>
      </c>
      <c r="Q418">
        <v>12</v>
      </c>
      <c r="R418" t="s">
        <v>755</v>
      </c>
      <c r="S418" s="1">
        <f>Tabla1[[#This Row],[OS-Valor Unitario]]-Tabla1[[#This Row],[costo_antes_iva]]</f>
        <v>-1500</v>
      </c>
      <c r="T418" s="1">
        <f>Tabla1[[#This Row],[OS-Valor Unitario]]*Tabla1[[#This Row],[OS-Cantidad]]</f>
        <v>66000</v>
      </c>
      <c r="U418" s="1">
        <f>Tabla1[[#This Row],[costo_antes_iva]]*Tabla1[[#This Row],[OS-Cantidad]]</f>
        <v>84000</v>
      </c>
      <c r="V418" s="1">
        <f>Tabla1[[#This Row],[Valor total OS]]-Tabla1[[#This Row],[valor total op]]</f>
        <v>-18000</v>
      </c>
      <c r="W418" s="1">
        <f>ROUNDDOWN(Tabla1[[#This Row],[Diferencia]]/200000,0)*200000</f>
        <v>0</v>
      </c>
    </row>
    <row r="419" spans="1:23" hidden="1" x14ac:dyDescent="0.3">
      <c r="A419">
        <v>6376</v>
      </c>
      <c r="B419">
        <v>2</v>
      </c>
      <c r="C419" t="s">
        <v>1187</v>
      </c>
      <c r="D419">
        <v>12</v>
      </c>
      <c r="E419" t="s">
        <v>1188</v>
      </c>
      <c r="F419" t="s">
        <v>1189</v>
      </c>
      <c r="G419" t="s">
        <v>753</v>
      </c>
      <c r="H419" t="s">
        <v>166</v>
      </c>
      <c r="I419">
        <v>1</v>
      </c>
      <c r="J419">
        <v>74394103</v>
      </c>
      <c r="K419" s="2">
        <v>45957</v>
      </c>
      <c r="L419" s="1">
        <v>7000</v>
      </c>
      <c r="M419" t="s">
        <v>1190</v>
      </c>
      <c r="N419" t="s">
        <v>51</v>
      </c>
      <c r="O419" t="s">
        <v>1191</v>
      </c>
      <c r="P419" s="1">
        <v>5500</v>
      </c>
      <c r="Q419">
        <v>12</v>
      </c>
      <c r="R419" t="s">
        <v>1192</v>
      </c>
      <c r="S419" s="1">
        <f>Tabla1[[#This Row],[OS-Valor Unitario]]-Tabla1[[#This Row],[costo_antes_iva]]</f>
        <v>-1500</v>
      </c>
      <c r="T419" s="1">
        <f>Tabla1[[#This Row],[OS-Valor Unitario]]*Tabla1[[#This Row],[OS-Cantidad]]</f>
        <v>66000</v>
      </c>
      <c r="U419" s="1">
        <f>Tabla1[[#This Row],[costo_antes_iva]]*Tabla1[[#This Row],[OS-Cantidad]]</f>
        <v>84000</v>
      </c>
      <c r="V419" s="1">
        <f>Tabla1[[#This Row],[Valor total OS]]-Tabla1[[#This Row],[valor total op]]</f>
        <v>-18000</v>
      </c>
      <c r="W419" s="1">
        <f>ROUNDDOWN(Tabla1[[#This Row],[Diferencia]]/200000,0)*200000</f>
        <v>0</v>
      </c>
    </row>
    <row r="420" spans="1:23" hidden="1" x14ac:dyDescent="0.3">
      <c r="A420">
        <v>6484</v>
      </c>
      <c r="B420">
        <v>4</v>
      </c>
      <c r="C420" t="s">
        <v>724</v>
      </c>
      <c r="D420">
        <v>52</v>
      </c>
      <c r="E420" t="s">
        <v>708</v>
      </c>
      <c r="F420" t="s">
        <v>725</v>
      </c>
      <c r="G420" t="s">
        <v>242</v>
      </c>
      <c r="H420" t="s">
        <v>166</v>
      </c>
      <c r="I420">
        <v>1</v>
      </c>
      <c r="J420">
        <v>77658397</v>
      </c>
      <c r="K420" s="2">
        <v>46014</v>
      </c>
      <c r="L420" s="1">
        <v>2000</v>
      </c>
      <c r="M420" t="s">
        <v>710</v>
      </c>
      <c r="N420" t="s">
        <v>24</v>
      </c>
      <c r="O420" t="s">
        <v>726</v>
      </c>
      <c r="P420" s="1">
        <v>1650</v>
      </c>
      <c r="Q420">
        <v>52</v>
      </c>
      <c r="R420" t="s">
        <v>728</v>
      </c>
      <c r="S420" s="1">
        <f>Tabla1[[#This Row],[OS-Valor Unitario]]-Tabla1[[#This Row],[costo_antes_iva]]</f>
        <v>-350</v>
      </c>
      <c r="T420" s="1">
        <f>Tabla1[[#This Row],[OS-Valor Unitario]]*Tabla1[[#This Row],[OS-Cantidad]]</f>
        <v>85800</v>
      </c>
      <c r="U420" s="1">
        <f>Tabla1[[#This Row],[costo_antes_iva]]*Tabla1[[#This Row],[OS-Cantidad]]</f>
        <v>104000</v>
      </c>
      <c r="V420" s="1">
        <f>Tabla1[[#This Row],[Valor total OS]]-Tabla1[[#This Row],[valor total op]]</f>
        <v>-18200</v>
      </c>
      <c r="W420" s="1">
        <f>ROUNDDOWN(Tabla1[[#This Row],[Diferencia]]/200000,0)*200000</f>
        <v>0</v>
      </c>
    </row>
    <row r="421" spans="1:23" hidden="1" x14ac:dyDescent="0.3">
      <c r="A421">
        <v>6609</v>
      </c>
      <c r="B421">
        <v>1</v>
      </c>
      <c r="C421" t="s">
        <v>162</v>
      </c>
      <c r="D421">
        <v>20</v>
      </c>
      <c r="E421" t="s">
        <v>163</v>
      </c>
      <c r="F421" t="s">
        <v>164</v>
      </c>
      <c r="G421" t="s">
        <v>165</v>
      </c>
      <c r="H421" t="s">
        <v>166</v>
      </c>
      <c r="I421">
        <v>1</v>
      </c>
      <c r="J421">
        <v>80544569</v>
      </c>
      <c r="K421" s="2">
        <v>46076</v>
      </c>
      <c r="L421" s="1">
        <v>5500</v>
      </c>
      <c r="M421" t="s">
        <v>167</v>
      </c>
      <c r="N421" t="s">
        <v>51</v>
      </c>
      <c r="O421" t="s">
        <v>168</v>
      </c>
      <c r="P421" s="1">
        <v>4500</v>
      </c>
      <c r="Q421">
        <v>20</v>
      </c>
      <c r="R421" t="s">
        <v>169</v>
      </c>
      <c r="S421" s="1">
        <f>Tabla1[[#This Row],[OS-Valor Unitario]]-Tabla1[[#This Row],[costo_antes_iva]]</f>
        <v>-1000</v>
      </c>
      <c r="T421" s="1">
        <f>Tabla1[[#This Row],[OS-Valor Unitario]]*Tabla1[[#This Row],[OS-Cantidad]]</f>
        <v>90000</v>
      </c>
      <c r="U421" s="1">
        <f>Tabla1[[#This Row],[costo_antes_iva]]*Tabla1[[#This Row],[OS-Cantidad]]</f>
        <v>110000</v>
      </c>
      <c r="V421" s="1">
        <f>Tabla1[[#This Row],[Valor total OS]]-Tabla1[[#This Row],[valor total op]]</f>
        <v>-20000</v>
      </c>
      <c r="W421" s="1">
        <f>ROUNDDOWN(Tabla1[[#This Row],[Diferencia]]/200000,0)*200000</f>
        <v>0</v>
      </c>
    </row>
    <row r="422" spans="1:23" hidden="1" x14ac:dyDescent="0.3">
      <c r="A422">
        <v>6620</v>
      </c>
      <c r="B422">
        <v>9</v>
      </c>
      <c r="C422" t="s">
        <v>45</v>
      </c>
      <c r="D422">
        <v>35</v>
      </c>
      <c r="E422" t="s">
        <v>46</v>
      </c>
      <c r="F422" t="s">
        <v>47</v>
      </c>
      <c r="G422" t="s">
        <v>48</v>
      </c>
      <c r="H422" t="s">
        <v>49</v>
      </c>
      <c r="I422">
        <v>1</v>
      </c>
      <c r="J422">
        <v>80608068</v>
      </c>
      <c r="K422" s="2">
        <v>46077</v>
      </c>
      <c r="L422" s="1">
        <v>1800</v>
      </c>
      <c r="M422" t="s">
        <v>50</v>
      </c>
      <c r="N422" t="s">
        <v>24</v>
      </c>
      <c r="O422" t="s">
        <v>52</v>
      </c>
      <c r="P422" s="1">
        <v>1200</v>
      </c>
      <c r="Q422">
        <v>35</v>
      </c>
      <c r="R422" t="s">
        <v>54</v>
      </c>
      <c r="S422" s="1">
        <f>Tabla1[[#This Row],[OS-Valor Unitario]]-Tabla1[[#This Row],[costo_antes_iva]]</f>
        <v>-600</v>
      </c>
      <c r="T422" s="1">
        <f>Tabla1[[#This Row],[OS-Valor Unitario]]*Tabla1[[#This Row],[OS-Cantidad]]</f>
        <v>42000</v>
      </c>
      <c r="U422" s="1">
        <f>Tabla1[[#This Row],[costo_antes_iva]]*Tabla1[[#This Row],[OS-Cantidad]]</f>
        <v>63000</v>
      </c>
      <c r="V422" s="1">
        <f>Tabla1[[#This Row],[Valor total OS]]-Tabla1[[#This Row],[valor total op]]</f>
        <v>-21000</v>
      </c>
      <c r="W422" s="1">
        <f>ROUNDDOWN(Tabla1[[#This Row],[Diferencia]]/200000,0)*200000</f>
        <v>0</v>
      </c>
    </row>
    <row r="423" spans="1:23" hidden="1" x14ac:dyDescent="0.3">
      <c r="A423">
        <v>6527</v>
      </c>
      <c r="B423">
        <v>1</v>
      </c>
      <c r="C423" t="s">
        <v>306</v>
      </c>
      <c r="D423">
        <v>60</v>
      </c>
      <c r="E423" t="s">
        <v>307</v>
      </c>
      <c r="F423" t="s">
        <v>308</v>
      </c>
      <c r="G423" t="s">
        <v>118</v>
      </c>
      <c r="H423" t="s">
        <v>309</v>
      </c>
      <c r="I423">
        <v>60</v>
      </c>
      <c r="J423">
        <v>79104810</v>
      </c>
      <c r="K423" s="2">
        <v>46049</v>
      </c>
      <c r="L423" s="1">
        <v>1400</v>
      </c>
      <c r="M423" t="s">
        <v>310</v>
      </c>
      <c r="N423" t="s">
        <v>24</v>
      </c>
      <c r="O423" t="s">
        <v>311</v>
      </c>
      <c r="P423" s="1">
        <v>1300</v>
      </c>
      <c r="Q423">
        <v>225</v>
      </c>
      <c r="R423" t="s">
        <v>312</v>
      </c>
      <c r="S423" s="1">
        <f>Tabla1[[#This Row],[OS-Valor Unitario]]-Tabla1[[#This Row],[costo_antes_iva]]</f>
        <v>-100</v>
      </c>
      <c r="T423" s="1">
        <f>Tabla1[[#This Row],[OS-Valor Unitario]]*Tabla1[[#This Row],[OS-Cantidad]]</f>
        <v>292500</v>
      </c>
      <c r="U423" s="1">
        <f>Tabla1[[#This Row],[costo_antes_iva]]*Tabla1[[#This Row],[OS-Cantidad]]</f>
        <v>315000</v>
      </c>
      <c r="V423" s="1">
        <f>Tabla1[[#This Row],[Valor total OS]]-Tabla1[[#This Row],[valor total op]]</f>
        <v>-22500</v>
      </c>
      <c r="W423" s="1">
        <f>ROUNDDOWN(Tabla1[[#This Row],[Diferencia]]/200000,0)*200000</f>
        <v>0</v>
      </c>
    </row>
    <row r="424" spans="1:23" hidden="1" x14ac:dyDescent="0.3">
      <c r="A424">
        <v>6433</v>
      </c>
      <c r="B424">
        <v>6</v>
      </c>
      <c r="C424" t="s">
        <v>857</v>
      </c>
      <c r="D424">
        <v>24</v>
      </c>
      <c r="E424" t="s">
        <v>834</v>
      </c>
      <c r="F424" t="s">
        <v>858</v>
      </c>
      <c r="G424" t="s">
        <v>325</v>
      </c>
      <c r="H424" t="s">
        <v>166</v>
      </c>
      <c r="I424">
        <v>0</v>
      </c>
      <c r="J424">
        <v>76289454</v>
      </c>
      <c r="K424" s="2">
        <v>45988</v>
      </c>
      <c r="L424" s="1">
        <v>6000</v>
      </c>
      <c r="M424" t="s">
        <v>837</v>
      </c>
      <c r="N424" t="s">
        <v>51</v>
      </c>
      <c r="O424" t="s">
        <v>859</v>
      </c>
      <c r="P424" s="1">
        <v>5000</v>
      </c>
      <c r="Q424">
        <v>24</v>
      </c>
      <c r="R424" t="s">
        <v>860</v>
      </c>
      <c r="S424" s="1">
        <f>Tabla1[[#This Row],[OS-Valor Unitario]]-Tabla1[[#This Row],[costo_antes_iva]]</f>
        <v>-1000</v>
      </c>
      <c r="T424" s="1">
        <f>Tabla1[[#This Row],[OS-Valor Unitario]]*Tabla1[[#This Row],[OS-Cantidad]]</f>
        <v>120000</v>
      </c>
      <c r="U424" s="1">
        <f>Tabla1[[#This Row],[costo_antes_iva]]*Tabla1[[#This Row],[OS-Cantidad]]</f>
        <v>144000</v>
      </c>
      <c r="V424" s="1">
        <f>Tabla1[[#This Row],[Valor total OS]]-Tabla1[[#This Row],[valor total op]]</f>
        <v>-24000</v>
      </c>
      <c r="W424" s="1">
        <f>ROUNDDOWN(Tabla1[[#This Row],[Diferencia]]/200000,0)*200000</f>
        <v>0</v>
      </c>
    </row>
    <row r="425" spans="1:23" hidden="1" x14ac:dyDescent="0.3">
      <c r="A425">
        <v>6373</v>
      </c>
      <c r="B425">
        <v>2</v>
      </c>
      <c r="C425" t="s">
        <v>1254</v>
      </c>
      <c r="D425">
        <v>16</v>
      </c>
      <c r="E425" t="s">
        <v>1248</v>
      </c>
      <c r="F425" t="s">
        <v>1255</v>
      </c>
      <c r="G425" t="s">
        <v>738</v>
      </c>
      <c r="H425" t="s">
        <v>166</v>
      </c>
      <c r="I425">
        <v>16</v>
      </c>
      <c r="J425">
        <v>74289414</v>
      </c>
      <c r="K425" s="2">
        <v>45954</v>
      </c>
      <c r="L425" s="1">
        <v>2500</v>
      </c>
      <c r="M425" t="s">
        <v>1256</v>
      </c>
      <c r="N425" t="s">
        <v>24</v>
      </c>
      <c r="O425" t="s">
        <v>1257</v>
      </c>
      <c r="P425" s="1">
        <v>1000</v>
      </c>
      <c r="Q425">
        <v>16</v>
      </c>
      <c r="R425" t="s">
        <v>1259</v>
      </c>
      <c r="S425" s="1">
        <f>Tabla1[[#This Row],[OS-Valor Unitario]]-Tabla1[[#This Row],[costo_antes_iva]]</f>
        <v>-1500</v>
      </c>
      <c r="T425" s="1">
        <f>Tabla1[[#This Row],[OS-Valor Unitario]]*Tabla1[[#This Row],[OS-Cantidad]]</f>
        <v>16000</v>
      </c>
      <c r="U425" s="1">
        <f>Tabla1[[#This Row],[costo_antes_iva]]*Tabla1[[#This Row],[OS-Cantidad]]</f>
        <v>40000</v>
      </c>
      <c r="V425" s="1">
        <f>Tabla1[[#This Row],[Valor total OS]]-Tabla1[[#This Row],[valor total op]]</f>
        <v>-24000</v>
      </c>
      <c r="W425" s="1">
        <f>ROUNDDOWN(Tabla1[[#This Row],[Diferencia]]/200000,0)*200000</f>
        <v>0</v>
      </c>
    </row>
    <row r="426" spans="1:23" hidden="1" x14ac:dyDescent="0.3">
      <c r="A426">
        <v>6371</v>
      </c>
      <c r="B426">
        <v>3</v>
      </c>
      <c r="C426" t="s">
        <v>1286</v>
      </c>
      <c r="D426">
        <v>12</v>
      </c>
      <c r="E426" t="s">
        <v>1276</v>
      </c>
      <c r="F426" t="s">
        <v>1287</v>
      </c>
      <c r="G426" t="s">
        <v>474</v>
      </c>
      <c r="H426" t="s">
        <v>317</v>
      </c>
      <c r="I426">
        <v>12</v>
      </c>
      <c r="J426">
        <v>74212941</v>
      </c>
      <c r="K426" s="2">
        <v>45953</v>
      </c>
      <c r="L426" s="1">
        <v>6200</v>
      </c>
      <c r="M426" t="s">
        <v>1288</v>
      </c>
      <c r="N426" t="s">
        <v>65</v>
      </c>
      <c r="O426" t="s">
        <v>1289</v>
      </c>
      <c r="P426" s="1">
        <v>4200</v>
      </c>
      <c r="Q426">
        <v>12</v>
      </c>
      <c r="R426" t="s">
        <v>1291</v>
      </c>
      <c r="S426" s="1">
        <f>Tabla1[[#This Row],[OS-Valor Unitario]]-Tabla1[[#This Row],[costo_antes_iva]]</f>
        <v>-2000</v>
      </c>
      <c r="T426" s="1">
        <f>Tabla1[[#This Row],[OS-Valor Unitario]]*Tabla1[[#This Row],[OS-Cantidad]]</f>
        <v>50400</v>
      </c>
      <c r="U426" s="1">
        <f>Tabla1[[#This Row],[costo_antes_iva]]*Tabla1[[#This Row],[OS-Cantidad]]</f>
        <v>74400</v>
      </c>
      <c r="V426" s="1">
        <f>Tabla1[[#This Row],[Valor total OS]]-Tabla1[[#This Row],[valor total op]]</f>
        <v>-24000</v>
      </c>
      <c r="W426" s="1">
        <f>ROUNDDOWN(Tabla1[[#This Row],[Diferencia]]/200000,0)*200000</f>
        <v>0</v>
      </c>
    </row>
    <row r="427" spans="1:23" hidden="1" x14ac:dyDescent="0.3">
      <c r="A427">
        <v>6484</v>
      </c>
      <c r="B427">
        <v>1</v>
      </c>
      <c r="C427" t="s">
        <v>707</v>
      </c>
      <c r="D427">
        <v>80</v>
      </c>
      <c r="E427" t="s">
        <v>708</v>
      </c>
      <c r="F427" t="s">
        <v>709</v>
      </c>
      <c r="G427" t="s">
        <v>394</v>
      </c>
      <c r="H427" t="s">
        <v>166</v>
      </c>
      <c r="I427">
        <v>1</v>
      </c>
      <c r="J427">
        <v>77658373</v>
      </c>
      <c r="K427" s="2">
        <v>46014</v>
      </c>
      <c r="L427" s="1">
        <v>2000</v>
      </c>
      <c r="M427" t="s">
        <v>710</v>
      </c>
      <c r="N427" t="s">
        <v>24</v>
      </c>
      <c r="O427" t="s">
        <v>711</v>
      </c>
      <c r="P427" s="1">
        <v>1650</v>
      </c>
      <c r="Q427">
        <v>80</v>
      </c>
      <c r="R427" t="s">
        <v>713</v>
      </c>
      <c r="S427" s="1">
        <f>Tabla1[[#This Row],[OS-Valor Unitario]]-Tabla1[[#This Row],[costo_antes_iva]]</f>
        <v>-350</v>
      </c>
      <c r="T427" s="1">
        <f>Tabla1[[#This Row],[OS-Valor Unitario]]*Tabla1[[#This Row],[OS-Cantidad]]</f>
        <v>132000</v>
      </c>
      <c r="U427" s="1">
        <f>Tabla1[[#This Row],[costo_antes_iva]]*Tabla1[[#This Row],[OS-Cantidad]]</f>
        <v>160000</v>
      </c>
      <c r="V427" s="1">
        <f>Tabla1[[#This Row],[Valor total OS]]-Tabla1[[#This Row],[valor total op]]</f>
        <v>-28000</v>
      </c>
      <c r="W427" s="1">
        <f>ROUNDDOWN(Tabla1[[#This Row],[Diferencia]]/200000,0)*200000</f>
        <v>0</v>
      </c>
    </row>
    <row r="428" spans="1:23" hidden="1" x14ac:dyDescent="0.3">
      <c r="A428">
        <v>6379</v>
      </c>
      <c r="B428">
        <v>9</v>
      </c>
      <c r="C428" t="s">
        <v>1136</v>
      </c>
      <c r="D428">
        <v>29</v>
      </c>
      <c r="E428" t="s">
        <v>1095</v>
      </c>
      <c r="F428" t="s">
        <v>1137</v>
      </c>
      <c r="G428" t="s">
        <v>973</v>
      </c>
      <c r="H428" t="s">
        <v>1097</v>
      </c>
      <c r="I428">
        <v>29</v>
      </c>
      <c r="J428">
        <v>74473717</v>
      </c>
      <c r="K428" s="2">
        <v>45958</v>
      </c>
      <c r="L428" s="1">
        <v>16000</v>
      </c>
      <c r="M428" t="s">
        <v>1098</v>
      </c>
      <c r="N428" t="s">
        <v>51</v>
      </c>
      <c r="O428" t="s">
        <v>1138</v>
      </c>
      <c r="P428" s="1">
        <v>15000</v>
      </c>
      <c r="Q428">
        <v>29</v>
      </c>
      <c r="R428" t="s">
        <v>1139</v>
      </c>
      <c r="S428" s="1">
        <f>Tabla1[[#This Row],[OS-Valor Unitario]]-Tabla1[[#This Row],[costo_antes_iva]]</f>
        <v>-1000</v>
      </c>
      <c r="T428" s="1">
        <f>Tabla1[[#This Row],[OS-Valor Unitario]]*Tabla1[[#This Row],[OS-Cantidad]]</f>
        <v>435000</v>
      </c>
      <c r="U428" s="1">
        <f>Tabla1[[#This Row],[costo_antes_iva]]*Tabla1[[#This Row],[OS-Cantidad]]</f>
        <v>464000</v>
      </c>
      <c r="V428" s="1">
        <f>Tabla1[[#This Row],[Valor total OS]]-Tabla1[[#This Row],[valor total op]]</f>
        <v>-29000</v>
      </c>
      <c r="W428" s="1">
        <f>ROUNDDOWN(Tabla1[[#This Row],[Diferencia]]/200000,0)*200000</f>
        <v>0</v>
      </c>
    </row>
    <row r="429" spans="1:23" hidden="1" x14ac:dyDescent="0.3">
      <c r="A429">
        <v>6435</v>
      </c>
      <c r="B429">
        <v>1</v>
      </c>
      <c r="C429" t="s">
        <v>826</v>
      </c>
      <c r="D429">
        <v>90</v>
      </c>
      <c r="E429" t="s">
        <v>827</v>
      </c>
      <c r="F429" t="s">
        <v>828</v>
      </c>
      <c r="G429" t="s">
        <v>738</v>
      </c>
      <c r="H429" t="s">
        <v>166</v>
      </c>
      <c r="I429">
        <v>1</v>
      </c>
      <c r="J429">
        <v>76364635</v>
      </c>
      <c r="K429" s="2">
        <v>45989</v>
      </c>
      <c r="L429" s="1">
        <v>2000</v>
      </c>
      <c r="M429" t="s">
        <v>829</v>
      </c>
      <c r="N429" t="s">
        <v>24</v>
      </c>
      <c r="O429" t="s">
        <v>830</v>
      </c>
      <c r="P429" s="1">
        <v>1650</v>
      </c>
      <c r="Q429">
        <v>90</v>
      </c>
      <c r="R429" t="s">
        <v>832</v>
      </c>
      <c r="S429" s="1">
        <f>Tabla1[[#This Row],[OS-Valor Unitario]]-Tabla1[[#This Row],[costo_antes_iva]]</f>
        <v>-350</v>
      </c>
      <c r="T429" s="1">
        <f>Tabla1[[#This Row],[OS-Valor Unitario]]*Tabla1[[#This Row],[OS-Cantidad]]</f>
        <v>148500</v>
      </c>
      <c r="U429" s="1">
        <f>Tabla1[[#This Row],[costo_antes_iva]]*Tabla1[[#This Row],[OS-Cantidad]]</f>
        <v>180000</v>
      </c>
      <c r="V429" s="1">
        <f>Tabla1[[#This Row],[Valor total OS]]-Tabla1[[#This Row],[valor total op]]</f>
        <v>-31500</v>
      </c>
      <c r="W429" s="1">
        <f>ROUNDDOWN(Tabla1[[#This Row],[Diferencia]]/200000,0)*200000</f>
        <v>0</v>
      </c>
    </row>
    <row r="430" spans="1:23" hidden="1" x14ac:dyDescent="0.3">
      <c r="A430">
        <v>6373</v>
      </c>
      <c r="B430">
        <v>2</v>
      </c>
      <c r="C430" t="s">
        <v>1254</v>
      </c>
      <c r="D430">
        <v>16</v>
      </c>
      <c r="E430" t="s">
        <v>1248</v>
      </c>
      <c r="F430" t="s">
        <v>1255</v>
      </c>
      <c r="G430" t="s">
        <v>738</v>
      </c>
      <c r="H430" t="s">
        <v>166</v>
      </c>
      <c r="I430">
        <v>16</v>
      </c>
      <c r="J430">
        <v>74289414</v>
      </c>
      <c r="K430" s="2">
        <v>45954</v>
      </c>
      <c r="L430" s="1">
        <v>17000</v>
      </c>
      <c r="M430" t="s">
        <v>1256</v>
      </c>
      <c r="N430" t="s">
        <v>51</v>
      </c>
      <c r="O430" t="s">
        <v>1257</v>
      </c>
      <c r="P430" s="1">
        <v>15000</v>
      </c>
      <c r="Q430">
        <v>16</v>
      </c>
      <c r="R430" t="s">
        <v>1258</v>
      </c>
      <c r="S430" s="1">
        <f>Tabla1[[#This Row],[OS-Valor Unitario]]-Tabla1[[#This Row],[costo_antes_iva]]</f>
        <v>-2000</v>
      </c>
      <c r="T430" s="1">
        <f>Tabla1[[#This Row],[OS-Valor Unitario]]*Tabla1[[#This Row],[OS-Cantidad]]</f>
        <v>240000</v>
      </c>
      <c r="U430" s="1">
        <f>Tabla1[[#This Row],[costo_antes_iva]]*Tabla1[[#This Row],[OS-Cantidad]]</f>
        <v>272000</v>
      </c>
      <c r="V430" s="1">
        <f>Tabla1[[#This Row],[Valor total OS]]-Tabla1[[#This Row],[valor total op]]</f>
        <v>-32000</v>
      </c>
      <c r="W430" s="1">
        <f>ROUNDDOWN(Tabla1[[#This Row],[Diferencia]]/200000,0)*200000</f>
        <v>0</v>
      </c>
    </row>
    <row r="431" spans="1:23" hidden="1" x14ac:dyDescent="0.3">
      <c r="A431">
        <v>6370</v>
      </c>
      <c r="B431">
        <v>2</v>
      </c>
      <c r="C431" t="s">
        <v>1299</v>
      </c>
      <c r="D431">
        <v>58</v>
      </c>
      <c r="E431" t="s">
        <v>1293</v>
      </c>
      <c r="F431" t="s">
        <v>1300</v>
      </c>
      <c r="G431" t="s">
        <v>370</v>
      </c>
      <c r="H431" t="s">
        <v>1295</v>
      </c>
      <c r="I431">
        <v>58</v>
      </c>
      <c r="J431">
        <v>74208232</v>
      </c>
      <c r="K431" s="2">
        <v>45953</v>
      </c>
      <c r="L431" s="1">
        <v>3800</v>
      </c>
      <c r="M431" t="s">
        <v>1301</v>
      </c>
      <c r="N431" t="s">
        <v>24</v>
      </c>
      <c r="O431" t="s">
        <v>1302</v>
      </c>
      <c r="P431" s="1">
        <v>3200</v>
      </c>
      <c r="Q431">
        <v>58</v>
      </c>
      <c r="R431" t="s">
        <v>1303</v>
      </c>
      <c r="S431" s="1">
        <f>Tabla1[[#This Row],[OS-Valor Unitario]]-Tabla1[[#This Row],[costo_antes_iva]]</f>
        <v>-600</v>
      </c>
      <c r="T431" s="1">
        <f>Tabla1[[#This Row],[OS-Valor Unitario]]*Tabla1[[#This Row],[OS-Cantidad]]</f>
        <v>185600</v>
      </c>
      <c r="U431" s="1">
        <f>Tabla1[[#This Row],[costo_antes_iva]]*Tabla1[[#This Row],[OS-Cantidad]]</f>
        <v>220400</v>
      </c>
      <c r="V431" s="1">
        <f>Tabla1[[#This Row],[Valor total OS]]-Tabla1[[#This Row],[valor total op]]</f>
        <v>-34800</v>
      </c>
      <c r="W431" s="1">
        <f>ROUNDDOWN(Tabla1[[#This Row],[Diferencia]]/200000,0)*200000</f>
        <v>0</v>
      </c>
    </row>
    <row r="432" spans="1:23" hidden="1" x14ac:dyDescent="0.3">
      <c r="A432">
        <v>6485</v>
      </c>
      <c r="B432">
        <v>3</v>
      </c>
      <c r="C432" t="s">
        <v>660</v>
      </c>
      <c r="D432">
        <v>50</v>
      </c>
      <c r="E432" t="s">
        <v>650</v>
      </c>
      <c r="F432" t="s">
        <v>661</v>
      </c>
      <c r="G432" t="s">
        <v>118</v>
      </c>
      <c r="H432" t="s">
        <v>166</v>
      </c>
      <c r="I432">
        <v>1</v>
      </c>
      <c r="J432">
        <v>77662399</v>
      </c>
      <c r="K432" s="2">
        <v>46014</v>
      </c>
      <c r="L432" s="1">
        <v>1800</v>
      </c>
      <c r="M432" t="s">
        <v>652</v>
      </c>
      <c r="N432" t="s">
        <v>24</v>
      </c>
      <c r="O432" t="s">
        <v>662</v>
      </c>
      <c r="P432" s="1">
        <v>1100</v>
      </c>
      <c r="Q432">
        <v>50</v>
      </c>
      <c r="R432" t="s">
        <v>664</v>
      </c>
      <c r="S432" s="1">
        <f>Tabla1[[#This Row],[OS-Valor Unitario]]-Tabla1[[#This Row],[costo_antes_iva]]</f>
        <v>-700</v>
      </c>
      <c r="T432" s="1">
        <f>Tabla1[[#This Row],[OS-Valor Unitario]]*Tabla1[[#This Row],[OS-Cantidad]]</f>
        <v>55000</v>
      </c>
      <c r="U432" s="1">
        <f>Tabla1[[#This Row],[costo_antes_iva]]*Tabla1[[#This Row],[OS-Cantidad]]</f>
        <v>90000</v>
      </c>
      <c r="V432" s="1">
        <f>Tabla1[[#This Row],[Valor total OS]]-Tabla1[[#This Row],[valor total op]]</f>
        <v>-35000</v>
      </c>
      <c r="W432" s="1">
        <f>ROUNDDOWN(Tabla1[[#This Row],[Diferencia]]/200000,0)*200000</f>
        <v>0</v>
      </c>
    </row>
    <row r="433" spans="1:23" hidden="1" x14ac:dyDescent="0.3">
      <c r="A433">
        <v>6485</v>
      </c>
      <c r="B433">
        <v>3</v>
      </c>
      <c r="C433" t="s">
        <v>660</v>
      </c>
      <c r="D433">
        <v>50</v>
      </c>
      <c r="E433" t="s">
        <v>650</v>
      </c>
      <c r="F433" t="s">
        <v>661</v>
      </c>
      <c r="G433" t="s">
        <v>118</v>
      </c>
      <c r="H433" t="s">
        <v>166</v>
      </c>
      <c r="I433">
        <v>1</v>
      </c>
      <c r="J433">
        <v>77662717</v>
      </c>
      <c r="K433" s="2">
        <v>46014</v>
      </c>
      <c r="L433" s="1">
        <v>1800</v>
      </c>
      <c r="M433" t="s">
        <v>655</v>
      </c>
      <c r="N433" t="s">
        <v>24</v>
      </c>
      <c r="O433" t="s">
        <v>662</v>
      </c>
      <c r="P433" s="1">
        <v>1100</v>
      </c>
      <c r="Q433">
        <v>50</v>
      </c>
      <c r="R433" t="s">
        <v>664</v>
      </c>
      <c r="S433" s="1">
        <f>Tabla1[[#This Row],[OS-Valor Unitario]]-Tabla1[[#This Row],[costo_antes_iva]]</f>
        <v>-700</v>
      </c>
      <c r="T433" s="1">
        <f>Tabla1[[#This Row],[OS-Valor Unitario]]*Tabla1[[#This Row],[OS-Cantidad]]</f>
        <v>55000</v>
      </c>
      <c r="U433" s="1">
        <f>Tabla1[[#This Row],[costo_antes_iva]]*Tabla1[[#This Row],[OS-Cantidad]]</f>
        <v>90000</v>
      </c>
      <c r="V433" s="1">
        <f>Tabla1[[#This Row],[Valor total OS]]-Tabla1[[#This Row],[valor total op]]</f>
        <v>-35000</v>
      </c>
      <c r="W433" s="1">
        <f>ROUNDDOWN(Tabla1[[#This Row],[Diferencia]]/200000,0)*200000</f>
        <v>0</v>
      </c>
    </row>
    <row r="434" spans="1:23" hidden="1" x14ac:dyDescent="0.3">
      <c r="A434">
        <v>6485</v>
      </c>
      <c r="B434">
        <v>6</v>
      </c>
      <c r="C434" t="s">
        <v>673</v>
      </c>
      <c r="D434">
        <v>50</v>
      </c>
      <c r="E434" t="s">
        <v>650</v>
      </c>
      <c r="F434" t="s">
        <v>674</v>
      </c>
      <c r="G434" t="s">
        <v>447</v>
      </c>
      <c r="H434" t="s">
        <v>166</v>
      </c>
      <c r="I434">
        <v>1</v>
      </c>
      <c r="J434">
        <v>77662497</v>
      </c>
      <c r="K434" s="2">
        <v>46014</v>
      </c>
      <c r="L434" s="1">
        <v>1800</v>
      </c>
      <c r="M434" t="s">
        <v>652</v>
      </c>
      <c r="N434" t="s">
        <v>24</v>
      </c>
      <c r="O434" t="s">
        <v>675</v>
      </c>
      <c r="P434" s="1">
        <v>1100</v>
      </c>
      <c r="Q434">
        <v>50</v>
      </c>
      <c r="R434" t="s">
        <v>677</v>
      </c>
      <c r="S434" s="1">
        <f>Tabla1[[#This Row],[OS-Valor Unitario]]-Tabla1[[#This Row],[costo_antes_iva]]</f>
        <v>-700</v>
      </c>
      <c r="T434" s="1">
        <f>Tabla1[[#This Row],[OS-Valor Unitario]]*Tabla1[[#This Row],[OS-Cantidad]]</f>
        <v>55000</v>
      </c>
      <c r="U434" s="1">
        <f>Tabla1[[#This Row],[costo_antes_iva]]*Tabla1[[#This Row],[OS-Cantidad]]</f>
        <v>90000</v>
      </c>
      <c r="V434" s="1">
        <f>Tabla1[[#This Row],[Valor total OS]]-Tabla1[[#This Row],[valor total op]]</f>
        <v>-35000</v>
      </c>
      <c r="W434" s="1">
        <f>ROUNDDOWN(Tabla1[[#This Row],[Diferencia]]/200000,0)*200000</f>
        <v>0</v>
      </c>
    </row>
    <row r="435" spans="1:23" hidden="1" x14ac:dyDescent="0.3">
      <c r="A435">
        <v>6485</v>
      </c>
      <c r="B435">
        <v>6</v>
      </c>
      <c r="C435" t="s">
        <v>673</v>
      </c>
      <c r="D435">
        <v>50</v>
      </c>
      <c r="E435" t="s">
        <v>650</v>
      </c>
      <c r="F435" t="s">
        <v>674</v>
      </c>
      <c r="G435" t="s">
        <v>447</v>
      </c>
      <c r="H435" t="s">
        <v>166</v>
      </c>
      <c r="I435">
        <v>1</v>
      </c>
      <c r="J435">
        <v>77662894</v>
      </c>
      <c r="K435" s="2">
        <v>46014</v>
      </c>
      <c r="L435" s="1">
        <v>1800</v>
      </c>
      <c r="M435" t="s">
        <v>655</v>
      </c>
      <c r="N435" t="s">
        <v>24</v>
      </c>
      <c r="O435" t="s">
        <v>675</v>
      </c>
      <c r="P435" s="1">
        <v>1100</v>
      </c>
      <c r="Q435">
        <v>50</v>
      </c>
      <c r="R435" t="s">
        <v>677</v>
      </c>
      <c r="S435" s="1">
        <f>Tabla1[[#This Row],[OS-Valor Unitario]]-Tabla1[[#This Row],[costo_antes_iva]]</f>
        <v>-700</v>
      </c>
      <c r="T435" s="1">
        <f>Tabla1[[#This Row],[OS-Valor Unitario]]*Tabla1[[#This Row],[OS-Cantidad]]</f>
        <v>55000</v>
      </c>
      <c r="U435" s="1">
        <f>Tabla1[[#This Row],[costo_antes_iva]]*Tabla1[[#This Row],[OS-Cantidad]]</f>
        <v>90000</v>
      </c>
      <c r="V435" s="1">
        <f>Tabla1[[#This Row],[Valor total OS]]-Tabla1[[#This Row],[valor total op]]</f>
        <v>-35000</v>
      </c>
      <c r="W435" s="1">
        <f>ROUNDDOWN(Tabla1[[#This Row],[Diferencia]]/200000,0)*200000</f>
        <v>0</v>
      </c>
    </row>
    <row r="436" spans="1:23" hidden="1" x14ac:dyDescent="0.3">
      <c r="A436">
        <v>6439</v>
      </c>
      <c r="B436">
        <v>5</v>
      </c>
      <c r="C436" t="s">
        <v>766</v>
      </c>
      <c r="D436">
        <v>70</v>
      </c>
      <c r="E436" t="s">
        <v>745</v>
      </c>
      <c r="F436" t="s">
        <v>767</v>
      </c>
      <c r="G436" t="s">
        <v>1382</v>
      </c>
      <c r="H436" t="s">
        <v>166</v>
      </c>
      <c r="I436">
        <v>0</v>
      </c>
      <c r="J436">
        <v>76369395</v>
      </c>
      <c r="K436" s="2">
        <v>45989</v>
      </c>
      <c r="L436" s="1">
        <v>3500</v>
      </c>
      <c r="M436" t="s">
        <v>748</v>
      </c>
      <c r="N436" t="s">
        <v>51</v>
      </c>
      <c r="O436" t="s">
        <v>768</v>
      </c>
      <c r="P436" s="1">
        <v>3000</v>
      </c>
      <c r="Q436">
        <v>72</v>
      </c>
      <c r="R436" t="s">
        <v>769</v>
      </c>
      <c r="S436" s="1">
        <f>Tabla1[[#This Row],[OS-Valor Unitario]]-Tabla1[[#This Row],[costo_antes_iva]]</f>
        <v>-500</v>
      </c>
      <c r="T436" s="1">
        <f>Tabla1[[#This Row],[OS-Valor Unitario]]*Tabla1[[#This Row],[OS-Cantidad]]</f>
        <v>216000</v>
      </c>
      <c r="U436" s="1">
        <f>Tabla1[[#This Row],[costo_antes_iva]]*Tabla1[[#This Row],[OS-Cantidad]]</f>
        <v>252000</v>
      </c>
      <c r="V436" s="1">
        <f>Tabla1[[#This Row],[Valor total OS]]-Tabla1[[#This Row],[valor total op]]</f>
        <v>-36000</v>
      </c>
      <c r="W436" s="1">
        <f>ROUNDDOWN(Tabla1[[#This Row],[Diferencia]]/200000,0)*200000</f>
        <v>0</v>
      </c>
    </row>
    <row r="437" spans="1:23" hidden="1" x14ac:dyDescent="0.3">
      <c r="A437">
        <v>6493</v>
      </c>
      <c r="B437">
        <v>1</v>
      </c>
      <c r="C437" t="s">
        <v>404</v>
      </c>
      <c r="D437">
        <v>40</v>
      </c>
      <c r="E437" t="s">
        <v>405</v>
      </c>
      <c r="F437" t="s">
        <v>406</v>
      </c>
      <c r="G437" t="s">
        <v>407</v>
      </c>
      <c r="H437" t="s">
        <v>408</v>
      </c>
      <c r="I437">
        <v>34</v>
      </c>
      <c r="J437">
        <v>77898260</v>
      </c>
      <c r="K437" s="2">
        <v>46021</v>
      </c>
      <c r="L437" s="1">
        <v>18000</v>
      </c>
      <c r="M437" t="s">
        <v>409</v>
      </c>
      <c r="N437" t="s">
        <v>51</v>
      </c>
      <c r="O437" t="s">
        <v>410</v>
      </c>
      <c r="P437" s="1">
        <v>17000</v>
      </c>
      <c r="Q437">
        <v>40</v>
      </c>
      <c r="R437" t="s">
        <v>412</v>
      </c>
      <c r="S437" s="1">
        <f>Tabla1[[#This Row],[OS-Valor Unitario]]-Tabla1[[#This Row],[costo_antes_iva]]</f>
        <v>-1000</v>
      </c>
      <c r="T437" s="1">
        <f>Tabla1[[#This Row],[OS-Valor Unitario]]*Tabla1[[#This Row],[OS-Cantidad]]</f>
        <v>680000</v>
      </c>
      <c r="U437" s="1">
        <f>Tabla1[[#This Row],[costo_antes_iva]]*Tabla1[[#This Row],[OS-Cantidad]]</f>
        <v>720000</v>
      </c>
      <c r="V437" s="1">
        <f>Tabla1[[#This Row],[Valor total OS]]-Tabla1[[#This Row],[valor total op]]</f>
        <v>-40000</v>
      </c>
      <c r="W437" s="1">
        <f>ROUNDDOWN(Tabla1[[#This Row],[Diferencia]]/200000,0)*200000</f>
        <v>0</v>
      </c>
    </row>
    <row r="438" spans="1:23" hidden="1" x14ac:dyDescent="0.3">
      <c r="A438">
        <v>6612</v>
      </c>
      <c r="B438">
        <v>1</v>
      </c>
      <c r="C438" t="s">
        <v>138</v>
      </c>
      <c r="D438">
        <v>427</v>
      </c>
      <c r="E438" t="s">
        <v>139</v>
      </c>
      <c r="F438" t="s">
        <v>140</v>
      </c>
      <c r="G438" t="s">
        <v>141</v>
      </c>
      <c r="H438" t="s">
        <v>142</v>
      </c>
      <c r="I438">
        <v>327</v>
      </c>
      <c r="J438">
        <v>80671217</v>
      </c>
      <c r="K438" s="2">
        <v>46078</v>
      </c>
      <c r="L438" s="1">
        <v>3000</v>
      </c>
      <c r="M438" t="s">
        <v>143</v>
      </c>
      <c r="N438" t="s">
        <v>51</v>
      </c>
      <c r="O438" t="s">
        <v>144</v>
      </c>
      <c r="P438" s="1">
        <v>2900</v>
      </c>
      <c r="Q438">
        <v>427</v>
      </c>
      <c r="R438" t="s">
        <v>145</v>
      </c>
      <c r="S438" s="1">
        <f>Tabla1[[#This Row],[OS-Valor Unitario]]-Tabla1[[#This Row],[costo_antes_iva]]</f>
        <v>-100</v>
      </c>
      <c r="T438" s="1">
        <f>Tabla1[[#This Row],[OS-Valor Unitario]]*Tabla1[[#This Row],[OS-Cantidad]]</f>
        <v>1238300</v>
      </c>
      <c r="U438" s="1">
        <f>Tabla1[[#This Row],[costo_antes_iva]]*Tabla1[[#This Row],[OS-Cantidad]]</f>
        <v>1281000</v>
      </c>
      <c r="V438" s="1">
        <f>Tabla1[[#This Row],[Valor total OS]]-Tabla1[[#This Row],[valor total op]]</f>
        <v>-42700</v>
      </c>
      <c r="W438" s="1">
        <f>ROUNDDOWN(Tabla1[[#This Row],[Diferencia]]/200000,0)*200000</f>
        <v>0</v>
      </c>
    </row>
    <row r="439" spans="1:23" hidden="1" x14ac:dyDescent="0.3">
      <c r="A439">
        <v>6452</v>
      </c>
      <c r="B439">
        <v>1</v>
      </c>
      <c r="C439" t="s">
        <v>735</v>
      </c>
      <c r="D439">
        <v>11</v>
      </c>
      <c r="E439" t="s">
        <v>736</v>
      </c>
      <c r="F439" t="s">
        <v>737</v>
      </c>
      <c r="G439" t="s">
        <v>738</v>
      </c>
      <c r="H439" t="s">
        <v>739</v>
      </c>
      <c r="I439">
        <v>11</v>
      </c>
      <c r="J439">
        <v>75989815</v>
      </c>
      <c r="K439" s="2">
        <v>45986</v>
      </c>
      <c r="L439" s="1">
        <v>7500</v>
      </c>
      <c r="M439" t="s">
        <v>740</v>
      </c>
      <c r="N439" t="s">
        <v>65</v>
      </c>
      <c r="O439" t="s">
        <v>741</v>
      </c>
      <c r="P439" s="1">
        <v>2500</v>
      </c>
      <c r="Q439">
        <v>11</v>
      </c>
      <c r="R439" t="s">
        <v>743</v>
      </c>
      <c r="S439" s="1">
        <f>Tabla1[[#This Row],[OS-Valor Unitario]]-Tabla1[[#This Row],[costo_antes_iva]]</f>
        <v>-5000</v>
      </c>
      <c r="T439" s="1">
        <f>Tabla1[[#This Row],[OS-Valor Unitario]]*Tabla1[[#This Row],[OS-Cantidad]]</f>
        <v>27500</v>
      </c>
      <c r="U439" s="1">
        <f>Tabla1[[#This Row],[costo_antes_iva]]*Tabla1[[#This Row],[OS-Cantidad]]</f>
        <v>82500</v>
      </c>
      <c r="V439" s="1">
        <f>Tabla1[[#This Row],[Valor total OS]]-Tabla1[[#This Row],[valor total op]]</f>
        <v>-55000</v>
      </c>
      <c r="W439" s="1">
        <f>ROUNDDOWN(Tabla1[[#This Row],[Diferencia]]/200000,0)*200000</f>
        <v>0</v>
      </c>
    </row>
    <row r="440" spans="1:23" hidden="1" x14ac:dyDescent="0.3">
      <c r="A440">
        <v>6618</v>
      </c>
      <c r="B440">
        <v>3</v>
      </c>
      <c r="C440" t="s">
        <v>72</v>
      </c>
      <c r="D440">
        <v>96</v>
      </c>
      <c r="E440" t="s">
        <v>61</v>
      </c>
      <c r="F440" t="s">
        <v>73</v>
      </c>
      <c r="G440" t="s">
        <v>1377</v>
      </c>
      <c r="H440" t="s">
        <v>63</v>
      </c>
      <c r="I440">
        <v>1</v>
      </c>
      <c r="J440">
        <v>80759154</v>
      </c>
      <c r="K440" s="2">
        <v>46079</v>
      </c>
      <c r="L440" s="1">
        <v>3600</v>
      </c>
      <c r="M440" t="s">
        <v>64</v>
      </c>
      <c r="N440" t="s">
        <v>65</v>
      </c>
      <c r="O440" t="s">
        <v>74</v>
      </c>
      <c r="P440" s="1">
        <v>3000</v>
      </c>
      <c r="Q440">
        <v>96</v>
      </c>
      <c r="R440" t="s">
        <v>75</v>
      </c>
      <c r="S440" s="1">
        <f>Tabla1[[#This Row],[OS-Valor Unitario]]-Tabla1[[#This Row],[costo_antes_iva]]</f>
        <v>-600</v>
      </c>
      <c r="T440" s="1">
        <f>Tabla1[[#This Row],[OS-Valor Unitario]]*Tabla1[[#This Row],[OS-Cantidad]]</f>
        <v>288000</v>
      </c>
      <c r="U440" s="1">
        <f>Tabla1[[#This Row],[costo_antes_iva]]*Tabla1[[#This Row],[OS-Cantidad]]</f>
        <v>345600</v>
      </c>
      <c r="V440" s="1">
        <f>Tabla1[[#This Row],[Valor total OS]]-Tabla1[[#This Row],[valor total op]]</f>
        <v>-57600</v>
      </c>
      <c r="W440" s="1">
        <f>ROUNDDOWN(Tabla1[[#This Row],[Diferencia]]/200000,0)*200000</f>
        <v>0</v>
      </c>
    </row>
    <row r="441" spans="1:23" hidden="1" x14ac:dyDescent="0.3">
      <c r="A441">
        <v>6425</v>
      </c>
      <c r="B441">
        <v>2</v>
      </c>
      <c r="C441" t="s">
        <v>908</v>
      </c>
      <c r="D441">
        <v>170</v>
      </c>
      <c r="E441" t="s">
        <v>902</v>
      </c>
      <c r="F441" t="s">
        <v>909</v>
      </c>
      <c r="G441" t="s">
        <v>1376</v>
      </c>
      <c r="H441" t="s">
        <v>166</v>
      </c>
      <c r="I441">
        <v>170</v>
      </c>
      <c r="J441">
        <v>75861971</v>
      </c>
      <c r="K441" s="2">
        <v>45985</v>
      </c>
      <c r="L441" s="1">
        <v>2000</v>
      </c>
      <c r="M441" t="s">
        <v>910</v>
      </c>
      <c r="N441" t="s">
        <v>24</v>
      </c>
      <c r="O441" t="s">
        <v>911</v>
      </c>
      <c r="P441" s="1">
        <v>1650</v>
      </c>
      <c r="Q441">
        <v>182</v>
      </c>
      <c r="R441" t="s">
        <v>913</v>
      </c>
      <c r="S441" s="1">
        <f>Tabla1[[#This Row],[OS-Valor Unitario]]-Tabla1[[#This Row],[costo_antes_iva]]</f>
        <v>-350</v>
      </c>
      <c r="T441" s="1">
        <f>Tabla1[[#This Row],[OS-Valor Unitario]]*Tabla1[[#This Row],[OS-Cantidad]]</f>
        <v>300300</v>
      </c>
      <c r="U441" s="1">
        <f>Tabla1[[#This Row],[costo_antes_iva]]*Tabla1[[#This Row],[OS-Cantidad]]</f>
        <v>364000</v>
      </c>
      <c r="V441" s="1">
        <f>Tabla1[[#This Row],[Valor total OS]]-Tabla1[[#This Row],[valor total op]]</f>
        <v>-63700</v>
      </c>
      <c r="W441" s="1">
        <f>ROUNDDOWN(Tabla1[[#This Row],[Diferencia]]/200000,0)*200000</f>
        <v>0</v>
      </c>
    </row>
    <row r="442" spans="1:23" hidden="1" x14ac:dyDescent="0.3">
      <c r="A442">
        <v>6486</v>
      </c>
      <c r="B442">
        <v>7</v>
      </c>
      <c r="C442" t="s">
        <v>631</v>
      </c>
      <c r="D442">
        <v>50</v>
      </c>
      <c r="E442" t="s">
        <v>602</v>
      </c>
      <c r="F442" t="s">
        <v>632</v>
      </c>
      <c r="G442" t="s">
        <v>633</v>
      </c>
      <c r="H442" t="s">
        <v>166</v>
      </c>
      <c r="I442">
        <v>1</v>
      </c>
      <c r="J442">
        <v>77668035</v>
      </c>
      <c r="K442" s="2">
        <v>46014</v>
      </c>
      <c r="L442" s="1">
        <v>11000</v>
      </c>
      <c r="M442" t="s">
        <v>604</v>
      </c>
      <c r="N442" t="s">
        <v>51</v>
      </c>
      <c r="O442" t="s">
        <v>634</v>
      </c>
      <c r="P442" s="1">
        <v>9000</v>
      </c>
      <c r="Q442">
        <v>34</v>
      </c>
      <c r="R442" t="s">
        <v>635</v>
      </c>
      <c r="S442" s="1">
        <f>Tabla1[[#This Row],[OS-Valor Unitario]]-Tabla1[[#This Row],[costo_antes_iva]]</f>
        <v>-2000</v>
      </c>
      <c r="T442" s="1">
        <f>Tabla1[[#This Row],[OS-Valor Unitario]]*Tabla1[[#This Row],[OS-Cantidad]]</f>
        <v>306000</v>
      </c>
      <c r="U442" s="1">
        <f>Tabla1[[#This Row],[costo_antes_iva]]*Tabla1[[#This Row],[OS-Cantidad]]</f>
        <v>374000</v>
      </c>
      <c r="V442" s="1">
        <f>Tabla1[[#This Row],[Valor total OS]]-Tabla1[[#This Row],[valor total op]]</f>
        <v>-68000</v>
      </c>
      <c r="W442" s="1">
        <f>ROUNDDOWN(Tabla1[[#This Row],[Diferencia]]/200000,0)*200000</f>
        <v>0</v>
      </c>
    </row>
    <row r="443" spans="1:23" hidden="1" x14ac:dyDescent="0.3">
      <c r="A443">
        <v>6618</v>
      </c>
      <c r="B443">
        <v>6</v>
      </c>
      <c r="C443" t="s">
        <v>84</v>
      </c>
      <c r="D443">
        <v>144</v>
      </c>
      <c r="E443" t="s">
        <v>61</v>
      </c>
      <c r="F443" t="s">
        <v>85</v>
      </c>
      <c r="G443" t="s">
        <v>1376</v>
      </c>
      <c r="H443" t="s">
        <v>63</v>
      </c>
      <c r="I443">
        <v>1</v>
      </c>
      <c r="J443">
        <v>80759181</v>
      </c>
      <c r="K443" s="2">
        <v>46079</v>
      </c>
      <c r="L443" s="1">
        <v>3600</v>
      </c>
      <c r="M443" t="s">
        <v>64</v>
      </c>
      <c r="N443" t="s">
        <v>65</v>
      </c>
      <c r="O443" t="s">
        <v>86</v>
      </c>
      <c r="P443" s="1">
        <v>3000</v>
      </c>
      <c r="Q443">
        <v>144</v>
      </c>
      <c r="R443" t="s">
        <v>87</v>
      </c>
      <c r="S443" s="1">
        <f>Tabla1[[#This Row],[OS-Valor Unitario]]-Tabla1[[#This Row],[costo_antes_iva]]</f>
        <v>-600</v>
      </c>
      <c r="T443" s="1">
        <f>Tabla1[[#This Row],[OS-Valor Unitario]]*Tabla1[[#This Row],[OS-Cantidad]]</f>
        <v>432000</v>
      </c>
      <c r="U443" s="1">
        <f>Tabla1[[#This Row],[costo_antes_iva]]*Tabla1[[#This Row],[OS-Cantidad]]</f>
        <v>518400</v>
      </c>
      <c r="V443" s="1">
        <f>Tabla1[[#This Row],[Valor total OS]]-Tabla1[[#This Row],[valor total op]]</f>
        <v>-86400</v>
      </c>
      <c r="W443" s="1">
        <f>ROUNDDOWN(Tabla1[[#This Row],[Diferencia]]/200000,0)*200000</f>
        <v>0</v>
      </c>
    </row>
    <row r="444" spans="1:23" hidden="1" x14ac:dyDescent="0.3">
      <c r="A444">
        <v>6616</v>
      </c>
      <c r="B444">
        <v>3</v>
      </c>
      <c r="C444" t="s">
        <v>128</v>
      </c>
      <c r="D444">
        <v>300</v>
      </c>
      <c r="E444" t="s">
        <v>116</v>
      </c>
      <c r="F444" t="s">
        <v>129</v>
      </c>
      <c r="G444" t="s">
        <v>1383</v>
      </c>
      <c r="H444" t="s">
        <v>119</v>
      </c>
      <c r="I444">
        <v>300</v>
      </c>
      <c r="J444">
        <v>80743985</v>
      </c>
      <c r="K444" s="2">
        <v>46079</v>
      </c>
      <c r="L444" s="1">
        <v>1700</v>
      </c>
      <c r="M444" t="s">
        <v>120</v>
      </c>
      <c r="N444" t="s">
        <v>24</v>
      </c>
      <c r="O444" t="s">
        <v>130</v>
      </c>
      <c r="P444" s="1">
        <v>1400</v>
      </c>
      <c r="Q444">
        <v>300</v>
      </c>
      <c r="R444" t="s">
        <v>131</v>
      </c>
      <c r="S444" s="1">
        <f>Tabla1[[#This Row],[OS-Valor Unitario]]-Tabla1[[#This Row],[costo_antes_iva]]</f>
        <v>-300</v>
      </c>
      <c r="T444" s="1">
        <f>Tabla1[[#This Row],[OS-Valor Unitario]]*Tabla1[[#This Row],[OS-Cantidad]]</f>
        <v>420000</v>
      </c>
      <c r="U444" s="1">
        <f>Tabla1[[#This Row],[costo_antes_iva]]*Tabla1[[#This Row],[OS-Cantidad]]</f>
        <v>510000</v>
      </c>
      <c r="V444" s="1">
        <f>Tabla1[[#This Row],[Valor total OS]]-Tabla1[[#This Row],[valor total op]]</f>
        <v>-90000</v>
      </c>
      <c r="W444" s="1">
        <f>ROUNDDOWN(Tabla1[[#This Row],[Diferencia]]/200000,0)*200000</f>
        <v>0</v>
      </c>
    </row>
    <row r="445" spans="1:23" hidden="1" x14ac:dyDescent="0.3">
      <c r="A445">
        <v>6534</v>
      </c>
      <c r="B445">
        <v>1</v>
      </c>
      <c r="C445" t="s">
        <v>252</v>
      </c>
      <c r="D445">
        <v>100</v>
      </c>
      <c r="E445" t="s">
        <v>253</v>
      </c>
      <c r="F445" t="s">
        <v>254</v>
      </c>
      <c r="G445" t="s">
        <v>1376</v>
      </c>
      <c r="H445" t="s">
        <v>255</v>
      </c>
      <c r="I445">
        <v>100</v>
      </c>
      <c r="J445">
        <v>79197797</v>
      </c>
      <c r="K445" s="2">
        <v>46051</v>
      </c>
      <c r="L445" s="1">
        <v>6000</v>
      </c>
      <c r="M445" t="s">
        <v>256</v>
      </c>
      <c r="N445" t="s">
        <v>51</v>
      </c>
      <c r="O445" t="s">
        <v>257</v>
      </c>
      <c r="P445" s="1">
        <v>5000</v>
      </c>
      <c r="Q445">
        <v>100</v>
      </c>
      <c r="R445" t="s">
        <v>258</v>
      </c>
      <c r="S445" s="1">
        <f>Tabla1[[#This Row],[OS-Valor Unitario]]-Tabla1[[#This Row],[costo_antes_iva]]</f>
        <v>-1000</v>
      </c>
      <c r="T445" s="1">
        <f>Tabla1[[#This Row],[OS-Valor Unitario]]*Tabla1[[#This Row],[OS-Cantidad]]</f>
        <v>500000</v>
      </c>
      <c r="U445" s="1">
        <f>Tabla1[[#This Row],[costo_antes_iva]]*Tabla1[[#This Row],[OS-Cantidad]]</f>
        <v>600000</v>
      </c>
      <c r="V445" s="1">
        <f>Tabla1[[#This Row],[Valor total OS]]-Tabla1[[#This Row],[valor total op]]</f>
        <v>-100000</v>
      </c>
      <c r="W445" s="1">
        <f>ROUNDDOWN(Tabla1[[#This Row],[Diferencia]]/200000,0)*200000</f>
        <v>0</v>
      </c>
    </row>
    <row r="446" spans="1:23" hidden="1" x14ac:dyDescent="0.3">
      <c r="A446">
        <v>6486</v>
      </c>
      <c r="B446">
        <v>9</v>
      </c>
      <c r="C446" t="s">
        <v>641</v>
      </c>
      <c r="D446">
        <v>60</v>
      </c>
      <c r="E446" t="s">
        <v>602</v>
      </c>
      <c r="F446" t="s">
        <v>642</v>
      </c>
      <c r="G446" t="s">
        <v>125</v>
      </c>
      <c r="H446" t="s">
        <v>166</v>
      </c>
      <c r="I446">
        <v>1</v>
      </c>
      <c r="J446">
        <v>77668056</v>
      </c>
      <c r="K446" s="2">
        <v>46014</v>
      </c>
      <c r="L446" s="1">
        <v>11000</v>
      </c>
      <c r="M446" t="s">
        <v>604</v>
      </c>
      <c r="N446" t="s">
        <v>51</v>
      </c>
      <c r="O446" t="s">
        <v>643</v>
      </c>
      <c r="P446" s="1">
        <v>9000</v>
      </c>
      <c r="Q446">
        <v>60</v>
      </c>
      <c r="R446" t="s">
        <v>644</v>
      </c>
      <c r="S446" s="1">
        <f>Tabla1[[#This Row],[OS-Valor Unitario]]-Tabla1[[#This Row],[costo_antes_iva]]</f>
        <v>-2000</v>
      </c>
      <c r="T446" s="1">
        <f>Tabla1[[#This Row],[OS-Valor Unitario]]*Tabla1[[#This Row],[OS-Cantidad]]</f>
        <v>540000</v>
      </c>
      <c r="U446" s="1">
        <f>Tabla1[[#This Row],[costo_antes_iva]]*Tabla1[[#This Row],[OS-Cantidad]]</f>
        <v>660000</v>
      </c>
      <c r="V446" s="1">
        <f>Tabla1[[#This Row],[Valor total OS]]-Tabla1[[#This Row],[valor total op]]</f>
        <v>-120000</v>
      </c>
      <c r="W446" s="1">
        <f>ROUNDDOWN(Tabla1[[#This Row],[Diferencia]]/200000,0)*200000</f>
        <v>0</v>
      </c>
    </row>
    <row r="447" spans="1:23" hidden="1" x14ac:dyDescent="0.3">
      <c r="A447">
        <v>6371</v>
      </c>
      <c r="B447">
        <v>2</v>
      </c>
      <c r="C447" t="s">
        <v>1282</v>
      </c>
      <c r="D447">
        <v>16</v>
      </c>
      <c r="E447" t="s">
        <v>1276</v>
      </c>
      <c r="F447" t="s">
        <v>950</v>
      </c>
      <c r="G447" t="s">
        <v>21</v>
      </c>
      <c r="H447" t="s">
        <v>317</v>
      </c>
      <c r="I447">
        <v>1</v>
      </c>
      <c r="J447">
        <v>75728285</v>
      </c>
      <c r="K447" s="2">
        <v>45982</v>
      </c>
      <c r="L447" s="1">
        <v>19610</v>
      </c>
      <c r="M447" t="s">
        <v>951</v>
      </c>
      <c r="N447" t="s">
        <v>51</v>
      </c>
      <c r="O447" t="s">
        <v>1283</v>
      </c>
      <c r="P447" s="1">
        <v>12000</v>
      </c>
      <c r="Q447">
        <v>16</v>
      </c>
      <c r="R447" t="s">
        <v>1284</v>
      </c>
      <c r="S447" s="1">
        <f>Tabla1[[#This Row],[OS-Valor Unitario]]-Tabla1[[#This Row],[costo_antes_iva]]</f>
        <v>-7610</v>
      </c>
      <c r="T447" s="1">
        <f>Tabla1[[#This Row],[OS-Valor Unitario]]*Tabla1[[#This Row],[OS-Cantidad]]</f>
        <v>192000</v>
      </c>
      <c r="U447" s="1">
        <f>Tabla1[[#This Row],[costo_antes_iva]]*Tabla1[[#This Row],[OS-Cantidad]]</f>
        <v>313760</v>
      </c>
      <c r="V447" s="1">
        <f>Tabla1[[#This Row],[Valor total OS]]-Tabla1[[#This Row],[valor total op]]</f>
        <v>-121760</v>
      </c>
      <c r="W447" s="1">
        <f>ROUNDDOWN(Tabla1[[#This Row],[Diferencia]]/200000,0)*200000</f>
        <v>0</v>
      </c>
    </row>
    <row r="448" spans="1:23" hidden="1" x14ac:dyDescent="0.3">
      <c r="A448">
        <v>6381</v>
      </c>
      <c r="B448">
        <v>2</v>
      </c>
      <c r="C448" t="s">
        <v>1074</v>
      </c>
      <c r="D448">
        <v>52</v>
      </c>
      <c r="E448" t="s">
        <v>1068</v>
      </c>
      <c r="F448" t="s">
        <v>1075</v>
      </c>
      <c r="G448" t="s">
        <v>268</v>
      </c>
      <c r="H448" t="s">
        <v>294</v>
      </c>
      <c r="I448">
        <v>52</v>
      </c>
      <c r="J448">
        <v>74547210</v>
      </c>
      <c r="K448" s="2">
        <v>45959</v>
      </c>
      <c r="L448" s="1">
        <v>12000</v>
      </c>
      <c r="M448" t="s">
        <v>1070</v>
      </c>
      <c r="N448" t="s">
        <v>51</v>
      </c>
      <c r="O448" t="s">
        <v>1076</v>
      </c>
      <c r="P448" s="1">
        <v>9500</v>
      </c>
      <c r="Q448">
        <v>52</v>
      </c>
      <c r="R448" t="s">
        <v>1077</v>
      </c>
      <c r="S448" s="1">
        <f>Tabla1[[#This Row],[OS-Valor Unitario]]-Tabla1[[#This Row],[costo_antes_iva]]</f>
        <v>-2500</v>
      </c>
      <c r="T448" s="1">
        <f>Tabla1[[#This Row],[OS-Valor Unitario]]*Tabla1[[#This Row],[OS-Cantidad]]</f>
        <v>494000</v>
      </c>
      <c r="U448" s="1">
        <f>Tabla1[[#This Row],[costo_antes_iva]]*Tabla1[[#This Row],[OS-Cantidad]]</f>
        <v>624000</v>
      </c>
      <c r="V448" s="1">
        <f>Tabla1[[#This Row],[Valor total OS]]-Tabla1[[#This Row],[valor total op]]</f>
        <v>-130000</v>
      </c>
      <c r="W448" s="1">
        <f>ROUNDDOWN(Tabla1[[#This Row],[Diferencia]]/200000,0)*200000</f>
        <v>0</v>
      </c>
    </row>
    <row r="449" spans="1:23" hidden="1" x14ac:dyDescent="0.3">
      <c r="A449">
        <v>6492</v>
      </c>
      <c r="B449">
        <v>3</v>
      </c>
      <c r="C449" t="s">
        <v>424</v>
      </c>
      <c r="D449">
        <v>70</v>
      </c>
      <c r="E449" t="s">
        <v>418</v>
      </c>
      <c r="F449" t="s">
        <v>425</v>
      </c>
      <c r="G449" t="s">
        <v>398</v>
      </c>
      <c r="H449" t="s">
        <v>317</v>
      </c>
      <c r="I449">
        <v>70</v>
      </c>
      <c r="J449">
        <v>77864545</v>
      </c>
      <c r="K449" s="2">
        <v>46020</v>
      </c>
      <c r="L449" s="1">
        <v>12500</v>
      </c>
      <c r="M449" t="s">
        <v>420</v>
      </c>
      <c r="N449" t="s">
        <v>400</v>
      </c>
      <c r="O449" t="s">
        <v>426</v>
      </c>
      <c r="P449" s="1">
        <v>10400</v>
      </c>
      <c r="Q449">
        <v>70</v>
      </c>
      <c r="R449" t="s">
        <v>427</v>
      </c>
      <c r="S449" s="1">
        <f>Tabla1[[#This Row],[OS-Valor Unitario]]-Tabla1[[#This Row],[costo_antes_iva]]</f>
        <v>-2100</v>
      </c>
      <c r="T449" s="1">
        <f>Tabla1[[#This Row],[OS-Valor Unitario]]*Tabla1[[#This Row],[OS-Cantidad]]</f>
        <v>728000</v>
      </c>
      <c r="U449" s="1">
        <f>Tabla1[[#This Row],[costo_antes_iva]]*Tabla1[[#This Row],[OS-Cantidad]]</f>
        <v>875000</v>
      </c>
      <c r="V449" s="1">
        <f>Tabla1[[#This Row],[Valor total OS]]-Tabla1[[#This Row],[valor total op]]</f>
        <v>-147000</v>
      </c>
      <c r="W449" s="1">
        <f>ROUNDDOWN(Tabla1[[#This Row],[Diferencia]]/200000,0)*200000</f>
        <v>0</v>
      </c>
    </row>
    <row r="450" spans="1:23" hidden="1" x14ac:dyDescent="0.3">
      <c r="A450">
        <v>6492</v>
      </c>
      <c r="B450">
        <v>3</v>
      </c>
      <c r="C450" t="s">
        <v>424</v>
      </c>
      <c r="D450">
        <v>70</v>
      </c>
      <c r="E450" t="s">
        <v>529</v>
      </c>
      <c r="F450" t="s">
        <v>425</v>
      </c>
      <c r="G450" t="s">
        <v>398</v>
      </c>
      <c r="H450" t="s">
        <v>317</v>
      </c>
      <c r="I450">
        <v>70</v>
      </c>
      <c r="J450">
        <v>77864545</v>
      </c>
      <c r="K450" s="2">
        <v>46020</v>
      </c>
      <c r="L450" s="1">
        <v>12500</v>
      </c>
      <c r="M450" t="s">
        <v>420</v>
      </c>
      <c r="N450" t="s">
        <v>400</v>
      </c>
      <c r="O450" t="s">
        <v>426</v>
      </c>
      <c r="P450" s="1">
        <v>10400</v>
      </c>
      <c r="Q450">
        <v>70</v>
      </c>
      <c r="R450" t="s">
        <v>427</v>
      </c>
      <c r="S450" s="1">
        <f>Tabla1[[#This Row],[OS-Valor Unitario]]-Tabla1[[#This Row],[costo_antes_iva]]</f>
        <v>-2100</v>
      </c>
      <c r="T450" s="1">
        <f>Tabla1[[#This Row],[OS-Valor Unitario]]*Tabla1[[#This Row],[OS-Cantidad]]</f>
        <v>728000</v>
      </c>
      <c r="U450" s="1">
        <f>Tabla1[[#This Row],[costo_antes_iva]]*Tabla1[[#This Row],[OS-Cantidad]]</f>
        <v>875000</v>
      </c>
      <c r="V450" s="1">
        <f>Tabla1[[#This Row],[Valor total OS]]-Tabla1[[#This Row],[valor total op]]</f>
        <v>-147000</v>
      </c>
      <c r="W450" s="1">
        <f>ROUNDDOWN(Tabla1[[#This Row],[Diferencia]]/200000,0)*200000</f>
        <v>0</v>
      </c>
    </row>
    <row r="451" spans="1:23" hidden="1" x14ac:dyDescent="0.3">
      <c r="A451">
        <v>6529</v>
      </c>
      <c r="B451">
        <v>1</v>
      </c>
      <c r="C451" t="s">
        <v>291</v>
      </c>
      <c r="D451">
        <v>75</v>
      </c>
      <c r="E451" t="s">
        <v>292</v>
      </c>
      <c r="F451" t="s">
        <v>293</v>
      </c>
      <c r="G451" t="s">
        <v>1378</v>
      </c>
      <c r="H451" t="s">
        <v>294</v>
      </c>
      <c r="I451">
        <v>75</v>
      </c>
      <c r="J451">
        <v>79110649</v>
      </c>
      <c r="K451" s="2">
        <v>46049</v>
      </c>
      <c r="L451" s="1">
        <v>6000</v>
      </c>
      <c r="M451" t="s">
        <v>295</v>
      </c>
      <c r="N451" t="s">
        <v>51</v>
      </c>
      <c r="O451" t="s">
        <v>296</v>
      </c>
      <c r="P451" s="1">
        <v>4000</v>
      </c>
      <c r="Q451">
        <v>76</v>
      </c>
      <c r="R451" t="s">
        <v>297</v>
      </c>
      <c r="S451" s="1">
        <f>Tabla1[[#This Row],[OS-Valor Unitario]]-Tabla1[[#This Row],[costo_antes_iva]]</f>
        <v>-2000</v>
      </c>
      <c r="T451" s="1">
        <f>Tabla1[[#This Row],[OS-Valor Unitario]]*Tabla1[[#This Row],[OS-Cantidad]]</f>
        <v>304000</v>
      </c>
      <c r="U451" s="1">
        <f>Tabla1[[#This Row],[costo_antes_iva]]*Tabla1[[#This Row],[OS-Cantidad]]</f>
        <v>456000</v>
      </c>
      <c r="V451" s="1">
        <f>Tabla1[[#This Row],[Valor total OS]]-Tabla1[[#This Row],[valor total op]]</f>
        <v>-152000</v>
      </c>
      <c r="W451" s="1">
        <f>ROUNDDOWN(Tabla1[[#This Row],[Diferencia]]/200000,0)*200000</f>
        <v>0</v>
      </c>
    </row>
    <row r="452" spans="1:23" hidden="1" x14ac:dyDescent="0.3">
      <c r="A452">
        <v>6415</v>
      </c>
      <c r="B452">
        <v>1</v>
      </c>
      <c r="C452" t="s">
        <v>948</v>
      </c>
      <c r="D452">
        <v>80</v>
      </c>
      <c r="E452" t="s">
        <v>949</v>
      </c>
      <c r="F452" t="s">
        <v>950</v>
      </c>
      <c r="G452" t="s">
        <v>398</v>
      </c>
      <c r="H452" t="s">
        <v>317</v>
      </c>
      <c r="I452">
        <v>76</v>
      </c>
      <c r="J452">
        <v>75885113</v>
      </c>
      <c r="K452" s="2">
        <v>45986</v>
      </c>
      <c r="L452" s="1">
        <v>12500</v>
      </c>
      <c r="M452" t="s">
        <v>955</v>
      </c>
      <c r="N452" t="s">
        <v>400</v>
      </c>
      <c r="O452" t="s">
        <v>952</v>
      </c>
      <c r="P452" s="1">
        <v>10400</v>
      </c>
      <c r="Q452">
        <v>80</v>
      </c>
      <c r="R452" t="s">
        <v>956</v>
      </c>
      <c r="S452" s="1">
        <f>Tabla1[[#This Row],[OS-Valor Unitario]]-Tabla1[[#This Row],[costo_antes_iva]]</f>
        <v>-2100</v>
      </c>
      <c r="T452" s="1">
        <f>Tabla1[[#This Row],[OS-Valor Unitario]]*Tabla1[[#This Row],[OS-Cantidad]]</f>
        <v>832000</v>
      </c>
      <c r="U452" s="1">
        <f>Tabla1[[#This Row],[costo_antes_iva]]*Tabla1[[#This Row],[OS-Cantidad]]</f>
        <v>1000000</v>
      </c>
      <c r="V452" s="1">
        <f>Tabla1[[#This Row],[Valor total OS]]-Tabla1[[#This Row],[valor total op]]</f>
        <v>-168000</v>
      </c>
      <c r="W452" s="1">
        <f>ROUNDDOWN(Tabla1[[#This Row],[Diferencia]]/200000,0)*200000</f>
        <v>0</v>
      </c>
    </row>
    <row r="453" spans="1:23" hidden="1" x14ac:dyDescent="0.3">
      <c r="A453">
        <v>6492</v>
      </c>
      <c r="B453">
        <v>15</v>
      </c>
      <c r="C453" t="s">
        <v>482</v>
      </c>
      <c r="D453">
        <v>50</v>
      </c>
      <c r="E453" t="s">
        <v>418</v>
      </c>
      <c r="F453" t="s">
        <v>470</v>
      </c>
      <c r="G453" t="s">
        <v>474</v>
      </c>
      <c r="H453" t="s">
        <v>317</v>
      </c>
      <c r="I453">
        <v>50</v>
      </c>
      <c r="J453">
        <v>77869378</v>
      </c>
      <c r="K453" s="2">
        <v>46020</v>
      </c>
      <c r="L453" s="1">
        <v>12500</v>
      </c>
      <c r="M453" t="s">
        <v>475</v>
      </c>
      <c r="N453" t="s">
        <v>51</v>
      </c>
      <c r="O453" t="s">
        <v>483</v>
      </c>
      <c r="P453" s="1">
        <v>9000</v>
      </c>
      <c r="Q453">
        <v>50</v>
      </c>
      <c r="R453" t="s">
        <v>484</v>
      </c>
      <c r="S453" s="1">
        <f>Tabla1[[#This Row],[OS-Valor Unitario]]-Tabla1[[#This Row],[costo_antes_iva]]</f>
        <v>-3500</v>
      </c>
      <c r="T453" s="1">
        <f>Tabla1[[#This Row],[OS-Valor Unitario]]*Tabla1[[#This Row],[OS-Cantidad]]</f>
        <v>450000</v>
      </c>
      <c r="U453" s="1">
        <f>Tabla1[[#This Row],[costo_antes_iva]]*Tabla1[[#This Row],[OS-Cantidad]]</f>
        <v>625000</v>
      </c>
      <c r="V453" s="1">
        <f>Tabla1[[#This Row],[Valor total OS]]-Tabla1[[#This Row],[valor total op]]</f>
        <v>-175000</v>
      </c>
      <c r="W453" s="1">
        <f>ROUNDDOWN(Tabla1[[#This Row],[Diferencia]]/200000,0)*200000</f>
        <v>0</v>
      </c>
    </row>
    <row r="454" spans="1:23" hidden="1" x14ac:dyDescent="0.3">
      <c r="A454">
        <v>6492</v>
      </c>
      <c r="B454">
        <v>15</v>
      </c>
      <c r="C454" t="s">
        <v>482</v>
      </c>
      <c r="D454">
        <v>50</v>
      </c>
      <c r="E454" t="s">
        <v>529</v>
      </c>
      <c r="F454" t="s">
        <v>470</v>
      </c>
      <c r="G454" t="s">
        <v>474</v>
      </c>
      <c r="H454" t="s">
        <v>317</v>
      </c>
      <c r="I454">
        <v>50</v>
      </c>
      <c r="J454">
        <v>77869378</v>
      </c>
      <c r="K454" s="2">
        <v>46020</v>
      </c>
      <c r="L454" s="1">
        <v>12500</v>
      </c>
      <c r="M454" t="s">
        <v>475</v>
      </c>
      <c r="N454" t="s">
        <v>51</v>
      </c>
      <c r="O454" t="s">
        <v>483</v>
      </c>
      <c r="P454" s="1">
        <v>9000</v>
      </c>
      <c r="Q454">
        <v>50</v>
      </c>
      <c r="R454" t="s">
        <v>484</v>
      </c>
      <c r="S454" s="1">
        <f>Tabla1[[#This Row],[OS-Valor Unitario]]-Tabla1[[#This Row],[costo_antes_iva]]</f>
        <v>-3500</v>
      </c>
      <c r="T454" s="1">
        <f>Tabla1[[#This Row],[OS-Valor Unitario]]*Tabla1[[#This Row],[OS-Cantidad]]</f>
        <v>450000</v>
      </c>
      <c r="U454" s="1">
        <f>Tabla1[[#This Row],[costo_antes_iva]]*Tabla1[[#This Row],[OS-Cantidad]]</f>
        <v>625000</v>
      </c>
      <c r="V454" s="1">
        <f>Tabla1[[#This Row],[Valor total OS]]-Tabla1[[#This Row],[valor total op]]</f>
        <v>-175000</v>
      </c>
      <c r="W454" s="1">
        <f>ROUNDDOWN(Tabla1[[#This Row],[Diferencia]]/200000,0)*200000</f>
        <v>0</v>
      </c>
    </row>
    <row r="455" spans="1:23" hidden="1" x14ac:dyDescent="0.3">
      <c r="A455">
        <v>6383</v>
      </c>
      <c r="B455">
        <v>4</v>
      </c>
      <c r="C455" t="s">
        <v>994</v>
      </c>
      <c r="D455">
        <v>196</v>
      </c>
      <c r="E455" t="s">
        <v>978</v>
      </c>
      <c r="F455" t="s">
        <v>995</v>
      </c>
      <c r="G455" t="s">
        <v>242</v>
      </c>
      <c r="H455" t="s">
        <v>961</v>
      </c>
      <c r="I455">
        <v>1</v>
      </c>
      <c r="J455">
        <v>74549241</v>
      </c>
      <c r="K455" s="2">
        <v>45959</v>
      </c>
      <c r="L455" s="1">
        <v>12500</v>
      </c>
      <c r="M455" t="s">
        <v>980</v>
      </c>
      <c r="N455" t="s">
        <v>51</v>
      </c>
      <c r="O455" t="s">
        <v>996</v>
      </c>
      <c r="P455" s="1">
        <v>11500</v>
      </c>
      <c r="Q455">
        <v>196</v>
      </c>
      <c r="R455" t="s">
        <v>998</v>
      </c>
      <c r="S455" s="1">
        <f>Tabla1[[#This Row],[OS-Valor Unitario]]-Tabla1[[#This Row],[costo_antes_iva]]</f>
        <v>-1000</v>
      </c>
      <c r="T455" s="1">
        <f>Tabla1[[#This Row],[OS-Valor Unitario]]*Tabla1[[#This Row],[OS-Cantidad]]</f>
        <v>2254000</v>
      </c>
      <c r="U455" s="1">
        <f>Tabla1[[#This Row],[costo_antes_iva]]*Tabla1[[#This Row],[OS-Cantidad]]</f>
        <v>2450000</v>
      </c>
      <c r="V455" s="1">
        <f>Tabla1[[#This Row],[Valor total OS]]-Tabla1[[#This Row],[valor total op]]</f>
        <v>-196000</v>
      </c>
      <c r="W455" s="1">
        <f>ROUNDDOWN(Tabla1[[#This Row],[Diferencia]]/200000,0)*200000</f>
        <v>0</v>
      </c>
    </row>
    <row r="456" spans="1:23" hidden="1" x14ac:dyDescent="0.3">
      <c r="A456">
        <v>6415</v>
      </c>
      <c r="B456">
        <v>1</v>
      </c>
      <c r="C456" t="s">
        <v>948</v>
      </c>
      <c r="D456">
        <v>80</v>
      </c>
      <c r="E456" t="s">
        <v>949</v>
      </c>
      <c r="F456" t="s">
        <v>950</v>
      </c>
      <c r="G456" t="s">
        <v>268</v>
      </c>
      <c r="H456" t="s">
        <v>317</v>
      </c>
      <c r="I456">
        <v>144</v>
      </c>
      <c r="J456">
        <v>74212373</v>
      </c>
      <c r="K456" s="2">
        <v>45953</v>
      </c>
      <c r="L456" s="1">
        <v>7500</v>
      </c>
      <c r="M456" t="s">
        <v>954</v>
      </c>
      <c r="N456" t="s">
        <v>51</v>
      </c>
      <c r="O456" t="s">
        <v>952</v>
      </c>
      <c r="P456" s="1">
        <v>5000</v>
      </c>
      <c r="Q456">
        <v>80</v>
      </c>
      <c r="R456" t="s">
        <v>953</v>
      </c>
      <c r="S456" s="1">
        <f>Tabla1[[#This Row],[OS-Valor Unitario]]-Tabla1[[#This Row],[costo_antes_iva]]</f>
        <v>-2500</v>
      </c>
      <c r="T456" s="1">
        <f>Tabla1[[#This Row],[OS-Valor Unitario]]*Tabla1[[#This Row],[OS-Cantidad]]</f>
        <v>400000</v>
      </c>
      <c r="U456" s="1">
        <f>Tabla1[[#This Row],[costo_antes_iva]]*Tabla1[[#This Row],[OS-Cantidad]]</f>
        <v>600000</v>
      </c>
      <c r="V456" s="1">
        <f>Tabla1[[#This Row],[Valor total OS]]-Tabla1[[#This Row],[valor total op]]</f>
        <v>-200000</v>
      </c>
      <c r="W456" s="1">
        <f>ROUNDDOWN(Tabla1[[#This Row],[Diferencia]]/200000,0)*200000</f>
        <v>-200000</v>
      </c>
    </row>
    <row r="457" spans="1:23" hidden="1" x14ac:dyDescent="0.3">
      <c r="A457">
        <v>6371</v>
      </c>
      <c r="B457">
        <v>1</v>
      </c>
      <c r="C457" t="s">
        <v>1275</v>
      </c>
      <c r="D457">
        <v>48</v>
      </c>
      <c r="E457" t="s">
        <v>1276</v>
      </c>
      <c r="F457" t="s">
        <v>1277</v>
      </c>
      <c r="G457" t="s">
        <v>474</v>
      </c>
      <c r="H457" t="s">
        <v>317</v>
      </c>
      <c r="I457">
        <v>48</v>
      </c>
      <c r="J457">
        <v>74212926</v>
      </c>
      <c r="K457" s="2">
        <v>45953</v>
      </c>
      <c r="L457" s="1">
        <v>12500</v>
      </c>
      <c r="M457" t="s">
        <v>1278</v>
      </c>
      <c r="N457" t="s">
        <v>51</v>
      </c>
      <c r="O457" t="s">
        <v>1279</v>
      </c>
      <c r="P457" s="1">
        <v>8000</v>
      </c>
      <c r="Q457">
        <v>48</v>
      </c>
      <c r="R457" t="s">
        <v>1281</v>
      </c>
      <c r="S457" s="1">
        <f>Tabla1[[#This Row],[OS-Valor Unitario]]-Tabla1[[#This Row],[costo_antes_iva]]</f>
        <v>-4500</v>
      </c>
      <c r="T457" s="1">
        <f>Tabla1[[#This Row],[OS-Valor Unitario]]*Tabla1[[#This Row],[OS-Cantidad]]</f>
        <v>384000</v>
      </c>
      <c r="U457" s="1">
        <f>Tabla1[[#This Row],[costo_antes_iva]]*Tabla1[[#This Row],[OS-Cantidad]]</f>
        <v>600000</v>
      </c>
      <c r="V457" s="1">
        <f>Tabla1[[#This Row],[Valor total OS]]-Tabla1[[#This Row],[valor total op]]</f>
        <v>-216000</v>
      </c>
      <c r="W457" s="1">
        <f>ROUNDDOWN(Tabla1[[#This Row],[Diferencia]]/200000,0)*200000</f>
        <v>-200000</v>
      </c>
    </row>
    <row r="458" spans="1:23" hidden="1" x14ac:dyDescent="0.3">
      <c r="A458">
        <v>6381</v>
      </c>
      <c r="B458">
        <v>2</v>
      </c>
      <c r="C458" t="s">
        <v>1074</v>
      </c>
      <c r="D458">
        <v>52</v>
      </c>
      <c r="E458" t="s">
        <v>1068</v>
      </c>
      <c r="F458" t="s">
        <v>1075</v>
      </c>
      <c r="G458" t="s">
        <v>118</v>
      </c>
      <c r="H458" t="s">
        <v>294</v>
      </c>
      <c r="I458">
        <v>6</v>
      </c>
      <c r="J458">
        <v>74553143</v>
      </c>
      <c r="K458" s="2">
        <v>45959</v>
      </c>
      <c r="L458" s="1">
        <v>14000</v>
      </c>
      <c r="M458" t="s">
        <v>1078</v>
      </c>
      <c r="N458" t="s">
        <v>51</v>
      </c>
      <c r="O458" t="s">
        <v>1076</v>
      </c>
      <c r="P458" s="1">
        <v>9500</v>
      </c>
      <c r="Q458">
        <v>52</v>
      </c>
      <c r="R458" t="s">
        <v>1077</v>
      </c>
      <c r="S458" s="1">
        <f>Tabla1[[#This Row],[OS-Valor Unitario]]-Tabla1[[#This Row],[costo_antes_iva]]</f>
        <v>-4500</v>
      </c>
      <c r="T458" s="1">
        <f>Tabla1[[#This Row],[OS-Valor Unitario]]*Tabla1[[#This Row],[OS-Cantidad]]</f>
        <v>494000</v>
      </c>
      <c r="U458" s="1">
        <f>Tabla1[[#This Row],[costo_antes_iva]]*Tabla1[[#This Row],[OS-Cantidad]]</f>
        <v>728000</v>
      </c>
      <c r="V458" s="1">
        <f>Tabla1[[#This Row],[Valor total OS]]-Tabla1[[#This Row],[valor total op]]</f>
        <v>-234000</v>
      </c>
      <c r="W458" s="1">
        <f>ROUNDDOWN(Tabla1[[#This Row],[Diferencia]]/200000,0)*200000</f>
        <v>-200000</v>
      </c>
    </row>
    <row r="459" spans="1:23" hidden="1" x14ac:dyDescent="0.3">
      <c r="A459">
        <v>6425</v>
      </c>
      <c r="B459">
        <v>1</v>
      </c>
      <c r="C459" t="s">
        <v>901</v>
      </c>
      <c r="D459">
        <v>680</v>
      </c>
      <c r="E459" t="s">
        <v>902</v>
      </c>
      <c r="F459" t="s">
        <v>903</v>
      </c>
      <c r="G459" t="s">
        <v>1376</v>
      </c>
      <c r="H459" t="s">
        <v>166</v>
      </c>
      <c r="I459">
        <v>680</v>
      </c>
      <c r="J459">
        <v>75860551</v>
      </c>
      <c r="K459" s="2">
        <v>45985</v>
      </c>
      <c r="L459" s="1">
        <v>2000</v>
      </c>
      <c r="M459" t="s">
        <v>904</v>
      </c>
      <c r="N459" t="s">
        <v>24</v>
      </c>
      <c r="O459" t="s">
        <v>905</v>
      </c>
      <c r="P459" s="1">
        <v>1650</v>
      </c>
      <c r="Q459">
        <v>680</v>
      </c>
      <c r="R459" t="s">
        <v>907</v>
      </c>
      <c r="S459" s="1">
        <f>Tabla1[[#This Row],[OS-Valor Unitario]]-Tabla1[[#This Row],[costo_antes_iva]]</f>
        <v>-350</v>
      </c>
      <c r="T459" s="1">
        <f>Tabla1[[#This Row],[OS-Valor Unitario]]*Tabla1[[#This Row],[OS-Cantidad]]</f>
        <v>1122000</v>
      </c>
      <c r="U459" s="1">
        <f>Tabla1[[#This Row],[costo_antes_iva]]*Tabla1[[#This Row],[OS-Cantidad]]</f>
        <v>1360000</v>
      </c>
      <c r="V459" s="1">
        <f>Tabla1[[#This Row],[Valor total OS]]-Tabla1[[#This Row],[valor total op]]</f>
        <v>-238000</v>
      </c>
      <c r="W459" s="1">
        <f>ROUNDDOWN(Tabla1[[#This Row],[Diferencia]]/200000,0)*200000</f>
        <v>-200000</v>
      </c>
    </row>
    <row r="460" spans="1:23" hidden="1" x14ac:dyDescent="0.3">
      <c r="A460">
        <v>6492</v>
      </c>
      <c r="B460">
        <v>15</v>
      </c>
      <c r="C460" t="s">
        <v>482</v>
      </c>
      <c r="D460">
        <v>50</v>
      </c>
      <c r="E460" t="s">
        <v>418</v>
      </c>
      <c r="F460" t="s">
        <v>470</v>
      </c>
      <c r="G460" t="s">
        <v>474</v>
      </c>
      <c r="H460" t="s">
        <v>317</v>
      </c>
      <c r="I460">
        <v>50</v>
      </c>
      <c r="J460">
        <v>77869378</v>
      </c>
      <c r="K460" s="2">
        <v>46020</v>
      </c>
      <c r="L460" s="1">
        <v>6000</v>
      </c>
      <c r="M460" t="s">
        <v>475</v>
      </c>
      <c r="N460" t="s">
        <v>400</v>
      </c>
      <c r="O460" t="s">
        <v>483</v>
      </c>
      <c r="P460" s="1">
        <v>1156</v>
      </c>
      <c r="Q460">
        <v>50</v>
      </c>
      <c r="R460" t="s">
        <v>485</v>
      </c>
      <c r="S460" s="1">
        <f>Tabla1[[#This Row],[OS-Valor Unitario]]-Tabla1[[#This Row],[costo_antes_iva]]</f>
        <v>-4844</v>
      </c>
      <c r="T460" s="1">
        <f>Tabla1[[#This Row],[OS-Valor Unitario]]*Tabla1[[#This Row],[OS-Cantidad]]</f>
        <v>57800</v>
      </c>
      <c r="U460" s="1">
        <f>Tabla1[[#This Row],[costo_antes_iva]]*Tabla1[[#This Row],[OS-Cantidad]]</f>
        <v>300000</v>
      </c>
      <c r="V460" s="1">
        <f>Tabla1[[#This Row],[Valor total OS]]-Tabla1[[#This Row],[valor total op]]</f>
        <v>-242200</v>
      </c>
      <c r="W460" s="1">
        <f>ROUNDDOWN(Tabla1[[#This Row],[Diferencia]]/200000,0)*200000</f>
        <v>-200000</v>
      </c>
    </row>
    <row r="461" spans="1:23" hidden="1" x14ac:dyDescent="0.3">
      <c r="A461">
        <v>6492</v>
      </c>
      <c r="B461">
        <v>15</v>
      </c>
      <c r="C461" t="s">
        <v>482</v>
      </c>
      <c r="D461">
        <v>50</v>
      </c>
      <c r="E461" t="s">
        <v>418</v>
      </c>
      <c r="F461" t="s">
        <v>470</v>
      </c>
      <c r="G461" t="s">
        <v>474</v>
      </c>
      <c r="H461" t="s">
        <v>317</v>
      </c>
      <c r="I461">
        <v>10</v>
      </c>
      <c r="J461">
        <v>77863835</v>
      </c>
      <c r="K461" s="2">
        <v>46020</v>
      </c>
      <c r="L461" s="1">
        <v>6000</v>
      </c>
      <c r="M461" t="s">
        <v>476</v>
      </c>
      <c r="N461" t="s">
        <v>400</v>
      </c>
      <c r="O461" t="s">
        <v>483</v>
      </c>
      <c r="P461" s="1">
        <v>1156</v>
      </c>
      <c r="Q461">
        <v>50</v>
      </c>
      <c r="R461" t="s">
        <v>485</v>
      </c>
      <c r="S461" s="1">
        <f>Tabla1[[#This Row],[OS-Valor Unitario]]-Tabla1[[#This Row],[costo_antes_iva]]</f>
        <v>-4844</v>
      </c>
      <c r="T461" s="1">
        <f>Tabla1[[#This Row],[OS-Valor Unitario]]*Tabla1[[#This Row],[OS-Cantidad]]</f>
        <v>57800</v>
      </c>
      <c r="U461" s="1">
        <f>Tabla1[[#This Row],[costo_antes_iva]]*Tabla1[[#This Row],[OS-Cantidad]]</f>
        <v>300000</v>
      </c>
      <c r="V461" s="1">
        <f>Tabla1[[#This Row],[Valor total OS]]-Tabla1[[#This Row],[valor total op]]</f>
        <v>-242200</v>
      </c>
      <c r="W461" s="1">
        <f>ROUNDDOWN(Tabla1[[#This Row],[Diferencia]]/200000,0)*200000</f>
        <v>-200000</v>
      </c>
    </row>
    <row r="462" spans="1:23" hidden="1" x14ac:dyDescent="0.3">
      <c r="A462">
        <v>6492</v>
      </c>
      <c r="B462">
        <v>15</v>
      </c>
      <c r="C462" t="s">
        <v>482</v>
      </c>
      <c r="D462">
        <v>50</v>
      </c>
      <c r="E462" t="s">
        <v>529</v>
      </c>
      <c r="F462" t="s">
        <v>470</v>
      </c>
      <c r="G462" t="s">
        <v>474</v>
      </c>
      <c r="H462" t="s">
        <v>317</v>
      </c>
      <c r="I462">
        <v>50</v>
      </c>
      <c r="J462">
        <v>77869378</v>
      </c>
      <c r="K462" s="2">
        <v>46020</v>
      </c>
      <c r="L462" s="1">
        <v>6000</v>
      </c>
      <c r="M462" t="s">
        <v>475</v>
      </c>
      <c r="N462" t="s">
        <v>400</v>
      </c>
      <c r="O462" t="s">
        <v>483</v>
      </c>
      <c r="P462" s="1">
        <v>1156</v>
      </c>
      <c r="Q462">
        <v>50</v>
      </c>
      <c r="R462" t="s">
        <v>485</v>
      </c>
      <c r="S462" s="1">
        <f>Tabla1[[#This Row],[OS-Valor Unitario]]-Tabla1[[#This Row],[costo_antes_iva]]</f>
        <v>-4844</v>
      </c>
      <c r="T462" s="1">
        <f>Tabla1[[#This Row],[OS-Valor Unitario]]*Tabla1[[#This Row],[OS-Cantidad]]</f>
        <v>57800</v>
      </c>
      <c r="U462" s="1">
        <f>Tabla1[[#This Row],[costo_antes_iva]]*Tabla1[[#This Row],[OS-Cantidad]]</f>
        <v>300000</v>
      </c>
      <c r="V462" s="1">
        <f>Tabla1[[#This Row],[Valor total OS]]-Tabla1[[#This Row],[valor total op]]</f>
        <v>-242200</v>
      </c>
      <c r="W462" s="1">
        <f>ROUNDDOWN(Tabla1[[#This Row],[Diferencia]]/200000,0)*200000</f>
        <v>-200000</v>
      </c>
    </row>
    <row r="463" spans="1:23" hidden="1" x14ac:dyDescent="0.3">
      <c r="A463">
        <v>6492</v>
      </c>
      <c r="B463">
        <v>15</v>
      </c>
      <c r="C463" t="s">
        <v>482</v>
      </c>
      <c r="D463">
        <v>50</v>
      </c>
      <c r="E463" t="s">
        <v>529</v>
      </c>
      <c r="F463" t="s">
        <v>470</v>
      </c>
      <c r="G463" t="s">
        <v>474</v>
      </c>
      <c r="H463" t="s">
        <v>317</v>
      </c>
      <c r="I463">
        <v>10</v>
      </c>
      <c r="J463">
        <v>77863835</v>
      </c>
      <c r="K463" s="2">
        <v>46020</v>
      </c>
      <c r="L463" s="1">
        <v>6000</v>
      </c>
      <c r="M463" t="s">
        <v>476</v>
      </c>
      <c r="N463" t="s">
        <v>400</v>
      </c>
      <c r="O463" t="s">
        <v>483</v>
      </c>
      <c r="P463" s="1">
        <v>1156</v>
      </c>
      <c r="Q463">
        <v>50</v>
      </c>
      <c r="R463" t="s">
        <v>485</v>
      </c>
      <c r="S463" s="1">
        <f>Tabla1[[#This Row],[OS-Valor Unitario]]-Tabla1[[#This Row],[costo_antes_iva]]</f>
        <v>-4844</v>
      </c>
      <c r="T463" s="1">
        <f>Tabla1[[#This Row],[OS-Valor Unitario]]*Tabla1[[#This Row],[OS-Cantidad]]</f>
        <v>57800</v>
      </c>
      <c r="U463" s="1">
        <f>Tabla1[[#This Row],[costo_antes_iva]]*Tabla1[[#This Row],[OS-Cantidad]]</f>
        <v>300000</v>
      </c>
      <c r="V463" s="1">
        <f>Tabla1[[#This Row],[Valor total OS]]-Tabla1[[#This Row],[valor total op]]</f>
        <v>-242200</v>
      </c>
      <c r="W463" s="1">
        <f>ROUNDDOWN(Tabla1[[#This Row],[Diferencia]]/200000,0)*200000</f>
        <v>-200000</v>
      </c>
    </row>
    <row r="464" spans="1:23" hidden="1" x14ac:dyDescent="0.3">
      <c r="A464">
        <v>6364</v>
      </c>
      <c r="B464">
        <v>6</v>
      </c>
      <c r="C464" t="s">
        <v>1304</v>
      </c>
      <c r="D464">
        <v>70</v>
      </c>
      <c r="E464" t="s">
        <v>1305</v>
      </c>
      <c r="F464" t="s">
        <v>1306</v>
      </c>
      <c r="G464" t="s">
        <v>1307</v>
      </c>
      <c r="H464" t="s">
        <v>309</v>
      </c>
      <c r="I464">
        <v>70</v>
      </c>
      <c r="J464">
        <v>74126431</v>
      </c>
      <c r="K464" s="2">
        <v>45952</v>
      </c>
      <c r="L464" s="1">
        <v>4250</v>
      </c>
      <c r="M464" t="s">
        <v>1308</v>
      </c>
      <c r="N464" t="s">
        <v>24</v>
      </c>
      <c r="O464" t="s">
        <v>1309</v>
      </c>
      <c r="P464" s="1">
        <v>2000</v>
      </c>
      <c r="Q464">
        <v>122</v>
      </c>
      <c r="R464" t="s">
        <v>1311</v>
      </c>
      <c r="S464" s="1">
        <f>Tabla1[[#This Row],[OS-Valor Unitario]]-Tabla1[[#This Row],[costo_antes_iva]]</f>
        <v>-2250</v>
      </c>
      <c r="T464" s="1">
        <f>Tabla1[[#This Row],[OS-Valor Unitario]]*Tabla1[[#This Row],[OS-Cantidad]]</f>
        <v>244000</v>
      </c>
      <c r="U464" s="1">
        <f>Tabla1[[#This Row],[costo_antes_iva]]*Tabla1[[#This Row],[OS-Cantidad]]</f>
        <v>518500</v>
      </c>
      <c r="V464" s="1">
        <f>Tabla1[[#This Row],[Valor total OS]]-Tabla1[[#This Row],[valor total op]]</f>
        <v>-274500</v>
      </c>
      <c r="W464" s="1">
        <f>ROUNDDOWN(Tabla1[[#This Row],[Diferencia]]/200000,0)*200000</f>
        <v>-200000</v>
      </c>
    </row>
    <row r="465" spans="1:23" hidden="1" x14ac:dyDescent="0.3">
      <c r="A465">
        <v>6491</v>
      </c>
      <c r="B465">
        <v>1</v>
      </c>
      <c r="C465" t="s">
        <v>530</v>
      </c>
      <c r="D465">
        <v>50</v>
      </c>
      <c r="E465" t="s">
        <v>531</v>
      </c>
      <c r="F465" t="s">
        <v>532</v>
      </c>
      <c r="G465" t="s">
        <v>209</v>
      </c>
      <c r="H465" t="s">
        <v>533</v>
      </c>
      <c r="I465">
        <v>50</v>
      </c>
      <c r="J465">
        <v>77868928</v>
      </c>
      <c r="K465" s="2">
        <v>46020</v>
      </c>
      <c r="L465" s="1">
        <v>7500</v>
      </c>
      <c r="M465" t="s">
        <v>534</v>
      </c>
      <c r="N465" t="s">
        <v>51</v>
      </c>
      <c r="O465" t="s">
        <v>535</v>
      </c>
      <c r="P465" s="1">
        <v>4500</v>
      </c>
      <c r="Q465">
        <v>100</v>
      </c>
      <c r="R465" t="s">
        <v>536</v>
      </c>
      <c r="S465" s="1">
        <f>Tabla1[[#This Row],[OS-Valor Unitario]]-Tabla1[[#This Row],[costo_antes_iva]]</f>
        <v>-3000</v>
      </c>
      <c r="T465" s="1">
        <f>Tabla1[[#This Row],[OS-Valor Unitario]]*Tabla1[[#This Row],[OS-Cantidad]]</f>
        <v>450000</v>
      </c>
      <c r="U465" s="1">
        <f>Tabla1[[#This Row],[costo_antes_iva]]*Tabla1[[#This Row],[OS-Cantidad]]</f>
        <v>750000</v>
      </c>
      <c r="V465" s="1">
        <f>Tabla1[[#This Row],[Valor total OS]]-Tabla1[[#This Row],[valor total op]]</f>
        <v>-300000</v>
      </c>
      <c r="W465" s="1">
        <f>ROUNDDOWN(Tabla1[[#This Row],[Diferencia]]/200000,0)*200000</f>
        <v>-200000</v>
      </c>
    </row>
    <row r="466" spans="1:23" hidden="1" x14ac:dyDescent="0.3">
      <c r="A466">
        <v>6379</v>
      </c>
      <c r="B466">
        <v>5</v>
      </c>
      <c r="C466" t="s">
        <v>1119</v>
      </c>
      <c r="D466">
        <v>44</v>
      </c>
      <c r="E466" t="s">
        <v>1095</v>
      </c>
      <c r="F466" t="s">
        <v>1108</v>
      </c>
      <c r="G466" t="s">
        <v>394</v>
      </c>
      <c r="H466" t="s">
        <v>1097</v>
      </c>
      <c r="I466">
        <v>34</v>
      </c>
      <c r="J466">
        <v>74474148</v>
      </c>
      <c r="K466" s="2">
        <v>45958</v>
      </c>
      <c r="L466" s="1">
        <v>12000</v>
      </c>
      <c r="M466" t="s">
        <v>1109</v>
      </c>
      <c r="N466" t="s">
        <v>51</v>
      </c>
      <c r="O466" t="s">
        <v>1120</v>
      </c>
      <c r="P466" s="1">
        <v>5000</v>
      </c>
      <c r="Q466">
        <v>44</v>
      </c>
      <c r="R466" t="s">
        <v>1122</v>
      </c>
      <c r="S466" s="1">
        <f>Tabla1[[#This Row],[OS-Valor Unitario]]-Tabla1[[#This Row],[costo_antes_iva]]</f>
        <v>-7000</v>
      </c>
      <c r="T466" s="1">
        <f>Tabla1[[#This Row],[OS-Valor Unitario]]*Tabla1[[#This Row],[OS-Cantidad]]</f>
        <v>220000</v>
      </c>
      <c r="U466" s="1">
        <f>Tabla1[[#This Row],[costo_antes_iva]]*Tabla1[[#This Row],[OS-Cantidad]]</f>
        <v>528000</v>
      </c>
      <c r="V466" s="1">
        <f>Tabla1[[#This Row],[Valor total OS]]-Tabla1[[#This Row],[valor total op]]</f>
        <v>-308000</v>
      </c>
      <c r="W466" s="1">
        <f>ROUNDDOWN(Tabla1[[#This Row],[Diferencia]]/200000,0)*200000</f>
        <v>-200000</v>
      </c>
    </row>
    <row r="467" spans="1:23" hidden="1" x14ac:dyDescent="0.3">
      <c r="A467">
        <v>6543</v>
      </c>
      <c r="B467">
        <v>3</v>
      </c>
      <c r="C467" t="s">
        <v>180</v>
      </c>
      <c r="D467">
        <v>1650</v>
      </c>
      <c r="E467" t="s">
        <v>181</v>
      </c>
      <c r="F467" t="s">
        <v>182</v>
      </c>
      <c r="G467" t="s">
        <v>183</v>
      </c>
      <c r="H467" t="s">
        <v>184</v>
      </c>
      <c r="I467">
        <v>1650</v>
      </c>
      <c r="J467">
        <v>79260234</v>
      </c>
      <c r="K467" s="2">
        <v>46052</v>
      </c>
      <c r="L467" s="1">
        <v>3000</v>
      </c>
      <c r="M467" t="s">
        <v>185</v>
      </c>
      <c r="N467" t="s">
        <v>65</v>
      </c>
      <c r="O467" t="s">
        <v>186</v>
      </c>
      <c r="P467" s="1">
        <v>2800</v>
      </c>
      <c r="Q467">
        <v>1663</v>
      </c>
      <c r="R467" t="s">
        <v>188</v>
      </c>
      <c r="S467" s="1">
        <f>Tabla1[[#This Row],[OS-Valor Unitario]]-Tabla1[[#This Row],[costo_antes_iva]]</f>
        <v>-200</v>
      </c>
      <c r="T467" s="1">
        <f>Tabla1[[#This Row],[OS-Valor Unitario]]*Tabla1[[#This Row],[OS-Cantidad]]</f>
        <v>4656400</v>
      </c>
      <c r="U467" s="1">
        <f>Tabla1[[#This Row],[costo_antes_iva]]*Tabla1[[#This Row],[OS-Cantidad]]</f>
        <v>4989000</v>
      </c>
      <c r="V467" s="1">
        <f>Tabla1[[#This Row],[Valor total OS]]-Tabla1[[#This Row],[valor total op]]</f>
        <v>-332600</v>
      </c>
      <c r="W467" s="1">
        <f>ROUNDDOWN(Tabla1[[#This Row],[Diferencia]]/200000,0)*200000</f>
        <v>-200000</v>
      </c>
    </row>
    <row r="468" spans="1:23" hidden="1" x14ac:dyDescent="0.3">
      <c r="A468">
        <v>6485</v>
      </c>
      <c r="B468">
        <v>4</v>
      </c>
      <c r="C468" t="s">
        <v>665</v>
      </c>
      <c r="D468">
        <v>35</v>
      </c>
      <c r="E468" t="s">
        <v>650</v>
      </c>
      <c r="F468" t="s">
        <v>666</v>
      </c>
      <c r="G468" t="s">
        <v>242</v>
      </c>
      <c r="H468" t="s">
        <v>166</v>
      </c>
      <c r="I468">
        <v>1</v>
      </c>
      <c r="J468">
        <v>77662467</v>
      </c>
      <c r="K468" s="2">
        <v>46014</v>
      </c>
      <c r="L468" s="1">
        <v>12000</v>
      </c>
      <c r="M468" t="s">
        <v>652</v>
      </c>
      <c r="N468" t="s">
        <v>51</v>
      </c>
      <c r="O468" t="s">
        <v>667</v>
      </c>
      <c r="P468" s="1">
        <v>2400</v>
      </c>
      <c r="Q468">
        <v>35</v>
      </c>
      <c r="R468" t="s">
        <v>668</v>
      </c>
      <c r="S468" s="1">
        <f>Tabla1[[#This Row],[OS-Valor Unitario]]-Tabla1[[#This Row],[costo_antes_iva]]</f>
        <v>-9600</v>
      </c>
      <c r="T468" s="1">
        <f>Tabla1[[#This Row],[OS-Valor Unitario]]*Tabla1[[#This Row],[OS-Cantidad]]</f>
        <v>84000</v>
      </c>
      <c r="U468" s="1">
        <f>Tabla1[[#This Row],[costo_antes_iva]]*Tabla1[[#This Row],[OS-Cantidad]]</f>
        <v>420000</v>
      </c>
      <c r="V468" s="1">
        <f>Tabla1[[#This Row],[Valor total OS]]-Tabla1[[#This Row],[valor total op]]</f>
        <v>-336000</v>
      </c>
      <c r="W468" s="1">
        <f>ROUNDDOWN(Tabla1[[#This Row],[Diferencia]]/200000,0)*200000</f>
        <v>-200000</v>
      </c>
    </row>
    <row r="469" spans="1:23" hidden="1" x14ac:dyDescent="0.3">
      <c r="A469">
        <v>6485</v>
      </c>
      <c r="B469">
        <v>4</v>
      </c>
      <c r="C469" t="s">
        <v>665</v>
      </c>
      <c r="D469">
        <v>35</v>
      </c>
      <c r="E469" t="s">
        <v>650</v>
      </c>
      <c r="F469" t="s">
        <v>666</v>
      </c>
      <c r="G469" t="s">
        <v>242</v>
      </c>
      <c r="H469" t="s">
        <v>166</v>
      </c>
      <c r="I469">
        <v>1</v>
      </c>
      <c r="J469">
        <v>77662810</v>
      </c>
      <c r="K469" s="2">
        <v>46014</v>
      </c>
      <c r="L469" s="1">
        <v>12000</v>
      </c>
      <c r="M469" t="s">
        <v>655</v>
      </c>
      <c r="N469" t="s">
        <v>51</v>
      </c>
      <c r="O469" t="s">
        <v>667</v>
      </c>
      <c r="P469" s="1">
        <v>2400</v>
      </c>
      <c r="Q469">
        <v>35</v>
      </c>
      <c r="R469" t="s">
        <v>668</v>
      </c>
      <c r="S469" s="1">
        <f>Tabla1[[#This Row],[OS-Valor Unitario]]-Tabla1[[#This Row],[costo_antes_iva]]</f>
        <v>-9600</v>
      </c>
      <c r="T469" s="1">
        <f>Tabla1[[#This Row],[OS-Valor Unitario]]*Tabla1[[#This Row],[OS-Cantidad]]</f>
        <v>84000</v>
      </c>
      <c r="U469" s="1">
        <f>Tabla1[[#This Row],[costo_antes_iva]]*Tabla1[[#This Row],[OS-Cantidad]]</f>
        <v>420000</v>
      </c>
      <c r="V469" s="1">
        <f>Tabla1[[#This Row],[Valor total OS]]-Tabla1[[#This Row],[valor total op]]</f>
        <v>-336000</v>
      </c>
      <c r="W469" s="1">
        <f>ROUNDDOWN(Tabla1[[#This Row],[Diferencia]]/200000,0)*200000</f>
        <v>-200000</v>
      </c>
    </row>
    <row r="470" spans="1:23" hidden="1" x14ac:dyDescent="0.3">
      <c r="A470">
        <v>6620</v>
      </c>
      <c r="B470">
        <v>9</v>
      </c>
      <c r="C470" t="s">
        <v>45</v>
      </c>
      <c r="D470">
        <v>35</v>
      </c>
      <c r="E470" t="s">
        <v>46</v>
      </c>
      <c r="F470" t="s">
        <v>47</v>
      </c>
      <c r="G470" t="s">
        <v>48</v>
      </c>
      <c r="H470" t="s">
        <v>49</v>
      </c>
      <c r="I470">
        <v>1</v>
      </c>
      <c r="J470">
        <v>80608068</v>
      </c>
      <c r="K470" s="2">
        <v>46077</v>
      </c>
      <c r="L470" s="1">
        <v>105000</v>
      </c>
      <c r="M470" t="s">
        <v>50</v>
      </c>
      <c r="N470" t="s">
        <v>51</v>
      </c>
      <c r="O470" t="s">
        <v>52</v>
      </c>
      <c r="P470" s="1">
        <v>95300</v>
      </c>
      <c r="Q470">
        <v>35</v>
      </c>
      <c r="R470" t="s">
        <v>53</v>
      </c>
      <c r="S470" s="1">
        <f>Tabla1[[#This Row],[OS-Valor Unitario]]-Tabla1[[#This Row],[costo_antes_iva]]</f>
        <v>-9700</v>
      </c>
      <c r="T470" s="1">
        <f>Tabla1[[#This Row],[OS-Valor Unitario]]*Tabla1[[#This Row],[OS-Cantidad]]</f>
        <v>3335500</v>
      </c>
      <c r="U470" s="1">
        <f>Tabla1[[#This Row],[costo_antes_iva]]*Tabla1[[#This Row],[OS-Cantidad]]</f>
        <v>3675000</v>
      </c>
      <c r="V470" s="1">
        <f>Tabla1[[#This Row],[Valor total OS]]-Tabla1[[#This Row],[valor total op]]</f>
        <v>-339500</v>
      </c>
      <c r="W470" s="1">
        <f>ROUNDDOWN(Tabla1[[#This Row],[Diferencia]]/200000,0)*200000</f>
        <v>-200000</v>
      </c>
    </row>
    <row r="471" spans="1:23" hidden="1" x14ac:dyDescent="0.3">
      <c r="A471">
        <v>6383</v>
      </c>
      <c r="B471">
        <v>3</v>
      </c>
      <c r="C471" t="s">
        <v>989</v>
      </c>
      <c r="D471">
        <v>378</v>
      </c>
      <c r="E471" t="s">
        <v>978</v>
      </c>
      <c r="F471" t="s">
        <v>990</v>
      </c>
      <c r="G471" t="s">
        <v>118</v>
      </c>
      <c r="H471" t="s">
        <v>961</v>
      </c>
      <c r="I471">
        <v>1</v>
      </c>
      <c r="J471">
        <v>74549234</v>
      </c>
      <c r="K471" s="2">
        <v>45959</v>
      </c>
      <c r="L471" s="1">
        <v>12500</v>
      </c>
      <c r="M471" t="s">
        <v>980</v>
      </c>
      <c r="N471" t="s">
        <v>51</v>
      </c>
      <c r="O471" t="s">
        <v>991</v>
      </c>
      <c r="P471" s="1">
        <v>11500</v>
      </c>
      <c r="Q471">
        <v>378</v>
      </c>
      <c r="R471" t="s">
        <v>993</v>
      </c>
      <c r="S471" s="1">
        <f>Tabla1[[#This Row],[OS-Valor Unitario]]-Tabla1[[#This Row],[costo_antes_iva]]</f>
        <v>-1000</v>
      </c>
      <c r="T471" s="1">
        <f>Tabla1[[#This Row],[OS-Valor Unitario]]*Tabla1[[#This Row],[OS-Cantidad]]</f>
        <v>4347000</v>
      </c>
      <c r="U471" s="1">
        <f>Tabla1[[#This Row],[costo_antes_iva]]*Tabla1[[#This Row],[OS-Cantidad]]</f>
        <v>4725000</v>
      </c>
      <c r="V471" s="1">
        <f>Tabla1[[#This Row],[Valor total OS]]-Tabla1[[#This Row],[valor total op]]</f>
        <v>-378000</v>
      </c>
      <c r="W471" s="1">
        <f>ROUNDDOWN(Tabla1[[#This Row],[Diferencia]]/200000,0)*200000</f>
        <v>-200000</v>
      </c>
    </row>
    <row r="472" spans="1:23" hidden="1" x14ac:dyDescent="0.3">
      <c r="A472">
        <v>6496</v>
      </c>
      <c r="B472">
        <v>2</v>
      </c>
      <c r="C472" t="s">
        <v>391</v>
      </c>
      <c r="D472">
        <v>200</v>
      </c>
      <c r="E472" t="s">
        <v>392</v>
      </c>
      <c r="F472" t="s">
        <v>393</v>
      </c>
      <c r="G472" t="s">
        <v>398</v>
      </c>
      <c r="H472" t="s">
        <v>317</v>
      </c>
      <c r="I472">
        <v>200</v>
      </c>
      <c r="J472">
        <v>77935140</v>
      </c>
      <c r="K472" s="2">
        <v>46022</v>
      </c>
      <c r="L472" s="1">
        <v>12500</v>
      </c>
      <c r="M472" t="s">
        <v>399</v>
      </c>
      <c r="N472" t="s">
        <v>400</v>
      </c>
      <c r="O472" t="s">
        <v>396</v>
      </c>
      <c r="P472" s="1">
        <v>10400</v>
      </c>
      <c r="Q472">
        <v>200</v>
      </c>
      <c r="R472" t="s">
        <v>401</v>
      </c>
      <c r="S472" s="1">
        <f>Tabla1[[#This Row],[OS-Valor Unitario]]-Tabla1[[#This Row],[costo_antes_iva]]</f>
        <v>-2100</v>
      </c>
      <c r="T472" s="1">
        <f>Tabla1[[#This Row],[OS-Valor Unitario]]*Tabla1[[#This Row],[OS-Cantidad]]</f>
        <v>2080000</v>
      </c>
      <c r="U472" s="1">
        <f>Tabla1[[#This Row],[costo_antes_iva]]*Tabla1[[#This Row],[OS-Cantidad]]</f>
        <v>2500000</v>
      </c>
      <c r="V472" s="1">
        <f>Tabla1[[#This Row],[Valor total OS]]-Tabla1[[#This Row],[valor total op]]</f>
        <v>-420000</v>
      </c>
      <c r="W472" s="1">
        <f>ROUNDDOWN(Tabla1[[#This Row],[Diferencia]]/200000,0)*200000</f>
        <v>-400000</v>
      </c>
    </row>
    <row r="473" spans="1:23" hidden="1" x14ac:dyDescent="0.3">
      <c r="A473">
        <v>6496</v>
      </c>
      <c r="B473">
        <v>2</v>
      </c>
      <c r="C473" t="s">
        <v>391</v>
      </c>
      <c r="D473">
        <v>200</v>
      </c>
      <c r="E473" t="s">
        <v>392</v>
      </c>
      <c r="F473" t="s">
        <v>393</v>
      </c>
      <c r="G473" t="s">
        <v>398</v>
      </c>
      <c r="H473" t="s">
        <v>317</v>
      </c>
      <c r="I473">
        <v>1150</v>
      </c>
      <c r="J473">
        <v>76177272</v>
      </c>
      <c r="K473" s="2">
        <v>45987</v>
      </c>
      <c r="L473" s="1">
        <v>12500</v>
      </c>
      <c r="M473" t="s">
        <v>402</v>
      </c>
      <c r="N473" t="s">
        <v>400</v>
      </c>
      <c r="O473" t="s">
        <v>396</v>
      </c>
      <c r="P473" s="1">
        <v>10400</v>
      </c>
      <c r="Q473">
        <v>200</v>
      </c>
      <c r="R473" t="s">
        <v>401</v>
      </c>
      <c r="S473" s="1">
        <f>Tabla1[[#This Row],[OS-Valor Unitario]]-Tabla1[[#This Row],[costo_antes_iva]]</f>
        <v>-2100</v>
      </c>
      <c r="T473" s="1">
        <f>Tabla1[[#This Row],[OS-Valor Unitario]]*Tabla1[[#This Row],[OS-Cantidad]]</f>
        <v>2080000</v>
      </c>
      <c r="U473" s="1">
        <f>Tabla1[[#This Row],[costo_antes_iva]]*Tabla1[[#This Row],[OS-Cantidad]]</f>
        <v>2500000</v>
      </c>
      <c r="V473" s="1">
        <f>Tabla1[[#This Row],[Valor total OS]]-Tabla1[[#This Row],[valor total op]]</f>
        <v>-420000</v>
      </c>
      <c r="W473" s="1">
        <f>ROUNDDOWN(Tabla1[[#This Row],[Diferencia]]/200000,0)*200000</f>
        <v>-400000</v>
      </c>
    </row>
    <row r="474" spans="1:23" hidden="1" x14ac:dyDescent="0.3">
      <c r="A474">
        <v>6496</v>
      </c>
      <c r="B474">
        <v>2</v>
      </c>
      <c r="C474" t="s">
        <v>391</v>
      </c>
      <c r="D474">
        <v>200</v>
      </c>
      <c r="E474" t="s">
        <v>392</v>
      </c>
      <c r="F474" t="s">
        <v>393</v>
      </c>
      <c r="G474" t="s">
        <v>398</v>
      </c>
      <c r="H474" t="s">
        <v>317</v>
      </c>
      <c r="I474">
        <v>5</v>
      </c>
      <c r="J474">
        <v>75885191</v>
      </c>
      <c r="K474" s="2">
        <v>45986</v>
      </c>
      <c r="L474" s="1">
        <v>12500</v>
      </c>
      <c r="M474" t="s">
        <v>403</v>
      </c>
      <c r="N474" t="s">
        <v>400</v>
      </c>
      <c r="O474" t="s">
        <v>396</v>
      </c>
      <c r="P474" s="1">
        <v>10400</v>
      </c>
      <c r="Q474">
        <v>200</v>
      </c>
      <c r="R474" t="s">
        <v>401</v>
      </c>
      <c r="S474" s="1">
        <f>Tabla1[[#This Row],[OS-Valor Unitario]]-Tabla1[[#This Row],[costo_antes_iva]]</f>
        <v>-2100</v>
      </c>
      <c r="T474" s="1">
        <f>Tabla1[[#This Row],[OS-Valor Unitario]]*Tabla1[[#This Row],[OS-Cantidad]]</f>
        <v>2080000</v>
      </c>
      <c r="U474" s="1">
        <f>Tabla1[[#This Row],[costo_antes_iva]]*Tabla1[[#This Row],[OS-Cantidad]]</f>
        <v>2500000</v>
      </c>
      <c r="V474" s="1">
        <f>Tabla1[[#This Row],[Valor total OS]]-Tabla1[[#This Row],[valor total op]]</f>
        <v>-420000</v>
      </c>
      <c r="W474" s="1">
        <f>ROUNDDOWN(Tabla1[[#This Row],[Diferencia]]/200000,0)*200000</f>
        <v>-400000</v>
      </c>
    </row>
    <row r="475" spans="1:23" hidden="1" x14ac:dyDescent="0.3">
      <c r="A475">
        <v>6621</v>
      </c>
      <c r="B475">
        <v>1</v>
      </c>
      <c r="C475" t="s">
        <v>36</v>
      </c>
      <c r="D475">
        <v>500</v>
      </c>
      <c r="E475" t="s">
        <v>37</v>
      </c>
      <c r="F475" t="s">
        <v>38</v>
      </c>
      <c r="G475" t="s">
        <v>39</v>
      </c>
      <c r="H475" t="s">
        <v>40</v>
      </c>
      <c r="I475">
        <v>500</v>
      </c>
      <c r="J475">
        <v>78815672</v>
      </c>
      <c r="K475" s="2">
        <v>46043</v>
      </c>
      <c r="L475" s="1">
        <v>27500</v>
      </c>
      <c r="M475" t="s">
        <v>41</v>
      </c>
      <c r="N475" t="s">
        <v>42</v>
      </c>
      <c r="O475" t="s">
        <v>43</v>
      </c>
      <c r="P475" s="1">
        <v>26500</v>
      </c>
      <c r="Q475">
        <v>500</v>
      </c>
      <c r="R475" t="s">
        <v>44</v>
      </c>
      <c r="S475" s="1">
        <f>Tabla1[[#This Row],[OS-Valor Unitario]]-Tabla1[[#This Row],[costo_antes_iva]]</f>
        <v>-1000</v>
      </c>
      <c r="T475" s="1">
        <f>Tabla1[[#This Row],[OS-Valor Unitario]]*Tabla1[[#This Row],[OS-Cantidad]]</f>
        <v>13250000</v>
      </c>
      <c r="U475" s="1">
        <f>Tabla1[[#This Row],[costo_antes_iva]]*Tabla1[[#This Row],[OS-Cantidad]]</f>
        <v>13750000</v>
      </c>
      <c r="V475" s="1">
        <f>Tabla1[[#This Row],[Valor total OS]]-Tabla1[[#This Row],[valor total op]]</f>
        <v>-500000</v>
      </c>
      <c r="W475" s="1">
        <f>ROUNDDOWN(Tabla1[[#This Row],[Diferencia]]/200000,0)*200000</f>
        <v>-400000</v>
      </c>
    </row>
    <row r="476" spans="1:23" hidden="1" x14ac:dyDescent="0.3">
      <c r="A476">
        <v>6485</v>
      </c>
      <c r="B476">
        <v>10</v>
      </c>
      <c r="C476" t="s">
        <v>691</v>
      </c>
      <c r="D476">
        <v>275</v>
      </c>
      <c r="E476" t="s">
        <v>650</v>
      </c>
      <c r="F476" t="s">
        <v>692</v>
      </c>
      <c r="G476" t="s">
        <v>125</v>
      </c>
      <c r="H476" t="s">
        <v>166</v>
      </c>
      <c r="I476">
        <v>1</v>
      </c>
      <c r="J476">
        <v>77662843</v>
      </c>
      <c r="K476" s="2">
        <v>46014</v>
      </c>
      <c r="L476" s="1">
        <v>11000</v>
      </c>
      <c r="M476" t="s">
        <v>652</v>
      </c>
      <c r="N476" t="s">
        <v>51</v>
      </c>
      <c r="O476" t="s">
        <v>693</v>
      </c>
      <c r="P476" s="1">
        <v>9000</v>
      </c>
      <c r="Q476">
        <v>271</v>
      </c>
      <c r="R476" t="s">
        <v>694</v>
      </c>
      <c r="S476" s="1">
        <f>Tabla1[[#This Row],[OS-Valor Unitario]]-Tabla1[[#This Row],[costo_antes_iva]]</f>
        <v>-2000</v>
      </c>
      <c r="T476" s="1">
        <f>Tabla1[[#This Row],[OS-Valor Unitario]]*Tabla1[[#This Row],[OS-Cantidad]]</f>
        <v>2439000</v>
      </c>
      <c r="U476" s="1">
        <f>Tabla1[[#This Row],[costo_antes_iva]]*Tabla1[[#This Row],[OS-Cantidad]]</f>
        <v>2981000</v>
      </c>
      <c r="V476" s="1">
        <f>Tabla1[[#This Row],[Valor total OS]]-Tabla1[[#This Row],[valor total op]]</f>
        <v>-542000</v>
      </c>
      <c r="W476" s="1">
        <f>ROUNDDOWN(Tabla1[[#This Row],[Diferencia]]/200000,0)*200000</f>
        <v>-400000</v>
      </c>
    </row>
    <row r="477" spans="1:23" hidden="1" x14ac:dyDescent="0.3">
      <c r="A477">
        <v>6485</v>
      </c>
      <c r="B477">
        <v>10</v>
      </c>
      <c r="C477" t="s">
        <v>691</v>
      </c>
      <c r="D477">
        <v>275</v>
      </c>
      <c r="E477" t="s">
        <v>650</v>
      </c>
      <c r="F477" t="s">
        <v>692</v>
      </c>
      <c r="G477" t="s">
        <v>125</v>
      </c>
      <c r="H477" t="s">
        <v>166</v>
      </c>
      <c r="I477">
        <v>1</v>
      </c>
      <c r="J477">
        <v>77663145</v>
      </c>
      <c r="K477" s="2">
        <v>46014</v>
      </c>
      <c r="L477" s="1">
        <v>11000</v>
      </c>
      <c r="M477" t="s">
        <v>655</v>
      </c>
      <c r="N477" t="s">
        <v>51</v>
      </c>
      <c r="O477" t="s">
        <v>693</v>
      </c>
      <c r="P477" s="1">
        <v>9000</v>
      </c>
      <c r="Q477">
        <v>271</v>
      </c>
      <c r="R477" t="s">
        <v>694</v>
      </c>
      <c r="S477" s="1">
        <f>Tabla1[[#This Row],[OS-Valor Unitario]]-Tabla1[[#This Row],[costo_antes_iva]]</f>
        <v>-2000</v>
      </c>
      <c r="T477" s="1">
        <f>Tabla1[[#This Row],[OS-Valor Unitario]]*Tabla1[[#This Row],[OS-Cantidad]]</f>
        <v>2439000</v>
      </c>
      <c r="U477" s="1">
        <f>Tabla1[[#This Row],[costo_antes_iva]]*Tabla1[[#This Row],[OS-Cantidad]]</f>
        <v>2981000</v>
      </c>
      <c r="V477" s="1">
        <f>Tabla1[[#This Row],[Valor total OS]]-Tabla1[[#This Row],[valor total op]]</f>
        <v>-542000</v>
      </c>
      <c r="W477" s="1">
        <f>ROUNDDOWN(Tabla1[[#This Row],[Diferencia]]/200000,0)*200000</f>
        <v>-400000</v>
      </c>
    </row>
    <row r="478" spans="1:23" hidden="1" x14ac:dyDescent="0.3">
      <c r="A478">
        <v>6618</v>
      </c>
      <c r="B478">
        <v>1</v>
      </c>
      <c r="C478" t="s">
        <v>60</v>
      </c>
      <c r="D478">
        <v>996</v>
      </c>
      <c r="E478" t="s">
        <v>61</v>
      </c>
      <c r="F478" t="s">
        <v>62</v>
      </c>
      <c r="G478" t="s">
        <v>1377</v>
      </c>
      <c r="H478" t="s">
        <v>63</v>
      </c>
      <c r="I478">
        <v>1</v>
      </c>
      <c r="J478">
        <v>80759138</v>
      </c>
      <c r="K478" s="2">
        <v>46079</v>
      </c>
      <c r="L478" s="1">
        <v>3600</v>
      </c>
      <c r="M478" t="s">
        <v>64</v>
      </c>
      <c r="N478" t="s">
        <v>65</v>
      </c>
      <c r="O478" t="s">
        <v>66</v>
      </c>
      <c r="P478" s="1">
        <v>3000</v>
      </c>
      <c r="Q478">
        <v>996</v>
      </c>
      <c r="R478" t="s">
        <v>67</v>
      </c>
      <c r="S478" s="1">
        <f>Tabla1[[#This Row],[OS-Valor Unitario]]-Tabla1[[#This Row],[costo_antes_iva]]</f>
        <v>-600</v>
      </c>
      <c r="T478" s="1">
        <f>Tabla1[[#This Row],[OS-Valor Unitario]]*Tabla1[[#This Row],[OS-Cantidad]]</f>
        <v>2988000</v>
      </c>
      <c r="U478" s="1">
        <f>Tabla1[[#This Row],[costo_antes_iva]]*Tabla1[[#This Row],[OS-Cantidad]]</f>
        <v>3585600</v>
      </c>
      <c r="V478" s="1">
        <f>Tabla1[[#This Row],[Valor total OS]]-Tabla1[[#This Row],[valor total op]]</f>
        <v>-597600</v>
      </c>
      <c r="W478" s="1">
        <f>ROUNDDOWN(Tabla1[[#This Row],[Diferencia]]/200000,0)*200000</f>
        <v>-400000</v>
      </c>
    </row>
    <row r="479" spans="1:23" hidden="1" x14ac:dyDescent="0.3">
      <c r="A479">
        <v>6616</v>
      </c>
      <c r="B479">
        <v>2</v>
      </c>
      <c r="C479" t="s">
        <v>123</v>
      </c>
      <c r="D479">
        <v>300</v>
      </c>
      <c r="E479" t="s">
        <v>116</v>
      </c>
      <c r="F479" t="s">
        <v>124</v>
      </c>
      <c r="G479" t="s">
        <v>125</v>
      </c>
      <c r="H479" t="s">
        <v>119</v>
      </c>
      <c r="I479">
        <v>300</v>
      </c>
      <c r="J479">
        <v>80743979</v>
      </c>
      <c r="K479" s="2">
        <v>46079</v>
      </c>
      <c r="L479" s="1">
        <v>12000</v>
      </c>
      <c r="M479" t="s">
        <v>120</v>
      </c>
      <c r="N479" t="s">
        <v>51</v>
      </c>
      <c r="O479" t="s">
        <v>126</v>
      </c>
      <c r="P479" s="1">
        <v>10000</v>
      </c>
      <c r="Q479">
        <v>300</v>
      </c>
      <c r="R479" t="s">
        <v>127</v>
      </c>
      <c r="S479" s="1">
        <f>Tabla1[[#This Row],[OS-Valor Unitario]]-Tabla1[[#This Row],[costo_antes_iva]]</f>
        <v>-2000</v>
      </c>
      <c r="T479" s="1">
        <f>Tabla1[[#This Row],[OS-Valor Unitario]]*Tabla1[[#This Row],[OS-Cantidad]]</f>
        <v>3000000</v>
      </c>
      <c r="U479" s="1">
        <f>Tabla1[[#This Row],[costo_antes_iva]]*Tabla1[[#This Row],[OS-Cantidad]]</f>
        <v>3600000</v>
      </c>
      <c r="V479" s="1">
        <f>Tabla1[[#This Row],[Valor total OS]]-Tabla1[[#This Row],[valor total op]]</f>
        <v>-600000</v>
      </c>
      <c r="W479" s="1">
        <f>ROUNDDOWN(Tabla1[[#This Row],[Diferencia]]/200000,0)*200000</f>
        <v>-600000</v>
      </c>
    </row>
    <row r="480" spans="1:23" hidden="1" x14ac:dyDescent="0.3">
      <c r="A480">
        <v>6415</v>
      </c>
      <c r="B480">
        <v>1</v>
      </c>
      <c r="C480" t="s">
        <v>948</v>
      </c>
      <c r="D480">
        <v>80</v>
      </c>
      <c r="E480" t="s">
        <v>949</v>
      </c>
      <c r="F480" t="s">
        <v>950</v>
      </c>
      <c r="G480" t="s">
        <v>523</v>
      </c>
      <c r="H480" t="s">
        <v>317</v>
      </c>
      <c r="I480">
        <v>16</v>
      </c>
      <c r="J480">
        <v>74212668</v>
      </c>
      <c r="K480" s="2">
        <v>45953</v>
      </c>
      <c r="L480" s="1">
        <v>13000</v>
      </c>
      <c r="M480" t="s">
        <v>957</v>
      </c>
      <c r="N480" t="s">
        <v>51</v>
      </c>
      <c r="O480" t="s">
        <v>952</v>
      </c>
      <c r="P480" s="1">
        <v>5000</v>
      </c>
      <c r="Q480">
        <v>80</v>
      </c>
      <c r="R480" t="s">
        <v>953</v>
      </c>
      <c r="S480" s="1">
        <f>Tabla1[[#This Row],[OS-Valor Unitario]]-Tabla1[[#This Row],[costo_antes_iva]]</f>
        <v>-8000</v>
      </c>
      <c r="T480" s="1">
        <f>Tabla1[[#This Row],[OS-Valor Unitario]]*Tabla1[[#This Row],[OS-Cantidad]]</f>
        <v>400000</v>
      </c>
      <c r="U480" s="1">
        <f>Tabla1[[#This Row],[costo_antes_iva]]*Tabla1[[#This Row],[OS-Cantidad]]</f>
        <v>1040000</v>
      </c>
      <c r="V480" s="1">
        <f>Tabla1[[#This Row],[Valor total OS]]-Tabla1[[#This Row],[valor total op]]</f>
        <v>-640000</v>
      </c>
      <c r="W480" s="1">
        <f>ROUNDDOWN(Tabla1[[#This Row],[Diferencia]]/200000,0)*200000</f>
        <v>-600000</v>
      </c>
    </row>
    <row r="481" spans="1:23" hidden="1" x14ac:dyDescent="0.3">
      <c r="A481">
        <v>6618</v>
      </c>
      <c r="B481">
        <v>4</v>
      </c>
      <c r="C481" t="s">
        <v>76</v>
      </c>
      <c r="D481">
        <v>1248</v>
      </c>
      <c r="E481" t="s">
        <v>61</v>
      </c>
      <c r="F481" t="s">
        <v>77</v>
      </c>
      <c r="G481" t="s">
        <v>1376</v>
      </c>
      <c r="H481" t="s">
        <v>63</v>
      </c>
      <c r="I481">
        <v>1</v>
      </c>
      <c r="J481">
        <v>80759162</v>
      </c>
      <c r="K481" s="2">
        <v>46079</v>
      </c>
      <c r="L481" s="1">
        <v>3600</v>
      </c>
      <c r="M481" t="s">
        <v>64</v>
      </c>
      <c r="N481" t="s">
        <v>65</v>
      </c>
      <c r="O481" t="s">
        <v>78</v>
      </c>
      <c r="P481" s="1">
        <v>3000</v>
      </c>
      <c r="Q481">
        <v>1248</v>
      </c>
      <c r="R481" t="s">
        <v>79</v>
      </c>
      <c r="S481" s="1">
        <f>Tabla1[[#This Row],[OS-Valor Unitario]]-Tabla1[[#This Row],[costo_antes_iva]]</f>
        <v>-600</v>
      </c>
      <c r="T481" s="1">
        <f>Tabla1[[#This Row],[OS-Valor Unitario]]*Tabla1[[#This Row],[OS-Cantidad]]</f>
        <v>3744000</v>
      </c>
      <c r="U481" s="1">
        <f>Tabla1[[#This Row],[costo_antes_iva]]*Tabla1[[#This Row],[OS-Cantidad]]</f>
        <v>4492800</v>
      </c>
      <c r="V481" s="1">
        <f>Tabla1[[#This Row],[Valor total OS]]-Tabla1[[#This Row],[valor total op]]</f>
        <v>-748800</v>
      </c>
      <c r="W481" s="1">
        <f>ROUNDDOWN(Tabla1[[#This Row],[Diferencia]]/200000,0)*200000</f>
        <v>-600000</v>
      </c>
    </row>
    <row r="482" spans="1:23" hidden="1" x14ac:dyDescent="0.3">
      <c r="A482">
        <v>6297</v>
      </c>
      <c r="B482">
        <v>21</v>
      </c>
      <c r="C482" t="s">
        <v>1357</v>
      </c>
      <c r="D482">
        <v>14</v>
      </c>
      <c r="E482" t="s">
        <v>1347</v>
      </c>
      <c r="F482" t="s">
        <v>1342</v>
      </c>
      <c r="G482" t="s">
        <v>29</v>
      </c>
      <c r="H482" t="s">
        <v>317</v>
      </c>
      <c r="I482">
        <v>1</v>
      </c>
      <c r="J482">
        <v>75728624</v>
      </c>
      <c r="K482" s="2">
        <v>45982</v>
      </c>
      <c r="L482" s="1">
        <v>68000</v>
      </c>
      <c r="M482" t="s">
        <v>1343</v>
      </c>
      <c r="N482" t="s">
        <v>51</v>
      </c>
      <c r="O482" t="s">
        <v>1358</v>
      </c>
      <c r="P482" s="1">
        <v>4500</v>
      </c>
      <c r="Q482">
        <v>14</v>
      </c>
      <c r="R482" t="s">
        <v>1359</v>
      </c>
      <c r="S482" s="1">
        <f>Tabla1[[#This Row],[OS-Valor Unitario]]-Tabla1[[#This Row],[costo_antes_iva]]</f>
        <v>-63500</v>
      </c>
      <c r="T482" s="1">
        <f>Tabla1[[#This Row],[OS-Valor Unitario]]*Tabla1[[#This Row],[OS-Cantidad]]</f>
        <v>63000</v>
      </c>
      <c r="U482" s="1">
        <f>Tabla1[[#This Row],[costo_antes_iva]]*Tabla1[[#This Row],[OS-Cantidad]]</f>
        <v>952000</v>
      </c>
      <c r="V482" s="1">
        <f>Tabla1[[#This Row],[Valor total OS]]-Tabla1[[#This Row],[valor total op]]</f>
        <v>-889000</v>
      </c>
      <c r="W482" s="1">
        <f>ROUNDDOWN(Tabla1[[#This Row],[Diferencia]]/200000,0)*200000</f>
        <v>-800000</v>
      </c>
    </row>
    <row r="483" spans="1:23" hidden="1" x14ac:dyDescent="0.3">
      <c r="A483">
        <v>6415</v>
      </c>
      <c r="B483">
        <v>1</v>
      </c>
      <c r="C483" t="s">
        <v>948</v>
      </c>
      <c r="D483">
        <v>80</v>
      </c>
      <c r="E483" t="s">
        <v>949</v>
      </c>
      <c r="F483" t="s">
        <v>950</v>
      </c>
      <c r="G483" t="s">
        <v>21</v>
      </c>
      <c r="H483" t="s">
        <v>317</v>
      </c>
      <c r="I483">
        <v>1</v>
      </c>
      <c r="J483">
        <v>75728285</v>
      </c>
      <c r="K483" s="2">
        <v>45982</v>
      </c>
      <c r="L483" s="1">
        <v>19610</v>
      </c>
      <c r="M483" t="s">
        <v>951</v>
      </c>
      <c r="N483" t="s">
        <v>51</v>
      </c>
      <c r="O483" t="s">
        <v>952</v>
      </c>
      <c r="P483" s="1">
        <v>5000</v>
      </c>
      <c r="Q483">
        <v>80</v>
      </c>
      <c r="R483" t="s">
        <v>953</v>
      </c>
      <c r="S483" s="1">
        <f>Tabla1[[#This Row],[OS-Valor Unitario]]-Tabla1[[#This Row],[costo_antes_iva]]</f>
        <v>-14610</v>
      </c>
      <c r="T483" s="1">
        <f>Tabla1[[#This Row],[OS-Valor Unitario]]*Tabla1[[#This Row],[OS-Cantidad]]</f>
        <v>400000</v>
      </c>
      <c r="U483" s="1">
        <f>Tabla1[[#This Row],[costo_antes_iva]]*Tabla1[[#This Row],[OS-Cantidad]]</f>
        <v>1568800</v>
      </c>
      <c r="V483" s="1">
        <f>Tabla1[[#This Row],[Valor total OS]]-Tabla1[[#This Row],[valor total op]]</f>
        <v>-1168800</v>
      </c>
      <c r="W483" s="1">
        <f>ROUNDDOWN(Tabla1[[#This Row],[Diferencia]]/200000,0)*200000</f>
        <v>-1000000</v>
      </c>
    </row>
    <row r="484" spans="1:23" hidden="1" x14ac:dyDescent="0.3">
      <c r="A484">
        <v>6496</v>
      </c>
      <c r="B484">
        <v>2</v>
      </c>
      <c r="C484" t="s">
        <v>391</v>
      </c>
      <c r="D484">
        <v>200</v>
      </c>
      <c r="E484" t="s">
        <v>392</v>
      </c>
      <c r="F484" t="s">
        <v>393</v>
      </c>
      <c r="G484" t="s">
        <v>394</v>
      </c>
      <c r="H484" t="s">
        <v>317</v>
      </c>
      <c r="I484">
        <v>50</v>
      </c>
      <c r="J484">
        <v>77869395</v>
      </c>
      <c r="K484" s="2">
        <v>46020</v>
      </c>
      <c r="L484" s="1">
        <v>11500</v>
      </c>
      <c r="M484" t="s">
        <v>395</v>
      </c>
      <c r="N484" t="s">
        <v>51</v>
      </c>
      <c r="O484" t="s">
        <v>396</v>
      </c>
      <c r="P484" s="1">
        <v>5000</v>
      </c>
      <c r="Q484">
        <v>200</v>
      </c>
      <c r="R484" t="s">
        <v>397</v>
      </c>
      <c r="S484" s="1">
        <f>Tabla1[[#This Row],[OS-Valor Unitario]]-Tabla1[[#This Row],[costo_antes_iva]]</f>
        <v>-6500</v>
      </c>
      <c r="T484" s="1">
        <f>Tabla1[[#This Row],[OS-Valor Unitario]]*Tabla1[[#This Row],[OS-Cantidad]]</f>
        <v>1000000</v>
      </c>
      <c r="U484" s="1">
        <f>Tabla1[[#This Row],[costo_antes_iva]]*Tabla1[[#This Row],[OS-Cantidad]]</f>
        <v>2300000</v>
      </c>
      <c r="V484" s="1">
        <f>Tabla1[[#This Row],[Valor total OS]]-Tabla1[[#This Row],[valor total op]]</f>
        <v>-1300000</v>
      </c>
      <c r="W484" s="1">
        <f>ROUNDDOWN(Tabla1[[#This Row],[Diferencia]]/200000,0)*200000</f>
        <v>-1200000</v>
      </c>
    </row>
    <row r="485" spans="1:23" hidden="1" x14ac:dyDescent="0.3">
      <c r="A485">
        <v>6487</v>
      </c>
      <c r="B485">
        <v>6</v>
      </c>
      <c r="C485" t="s">
        <v>583</v>
      </c>
      <c r="D485">
        <v>230</v>
      </c>
      <c r="E485" t="s">
        <v>559</v>
      </c>
      <c r="F485" t="s">
        <v>584</v>
      </c>
      <c r="G485" t="s">
        <v>585</v>
      </c>
      <c r="H485" t="s">
        <v>166</v>
      </c>
      <c r="I485">
        <v>1</v>
      </c>
      <c r="J485">
        <v>77670375</v>
      </c>
      <c r="K485" s="2">
        <v>46014</v>
      </c>
      <c r="L485" s="1">
        <v>10000</v>
      </c>
      <c r="M485" t="s">
        <v>561</v>
      </c>
      <c r="N485" t="s">
        <v>400</v>
      </c>
      <c r="O485" t="s">
        <v>586</v>
      </c>
      <c r="P485" s="1">
        <v>3800</v>
      </c>
      <c r="Q485">
        <v>232</v>
      </c>
      <c r="R485" t="s">
        <v>589</v>
      </c>
      <c r="S485" s="1">
        <f>Tabla1[[#This Row],[OS-Valor Unitario]]-Tabla1[[#This Row],[costo_antes_iva]]</f>
        <v>-6200</v>
      </c>
      <c r="T485" s="1">
        <f>Tabla1[[#This Row],[OS-Valor Unitario]]*Tabla1[[#This Row],[OS-Cantidad]]</f>
        <v>881600</v>
      </c>
      <c r="U485" s="1">
        <f>Tabla1[[#This Row],[costo_antes_iva]]*Tabla1[[#This Row],[OS-Cantidad]]</f>
        <v>2320000</v>
      </c>
      <c r="V485" s="1">
        <f>Tabla1[[#This Row],[Valor total OS]]-Tabla1[[#This Row],[valor total op]]</f>
        <v>-1438400</v>
      </c>
      <c r="W485" s="1">
        <f>ROUNDDOWN(Tabla1[[#This Row],[Diferencia]]/200000,0)*200000</f>
        <v>-1400000</v>
      </c>
    </row>
    <row r="486" spans="1:23" hidden="1" x14ac:dyDescent="0.3">
      <c r="A486">
        <v>6492</v>
      </c>
      <c r="B486">
        <v>15</v>
      </c>
      <c r="C486" t="s">
        <v>482</v>
      </c>
      <c r="D486">
        <v>50</v>
      </c>
      <c r="E486" t="s">
        <v>418</v>
      </c>
      <c r="F486" t="s">
        <v>470</v>
      </c>
      <c r="G486" t="s">
        <v>21</v>
      </c>
      <c r="H486" t="s">
        <v>317</v>
      </c>
      <c r="I486">
        <v>60</v>
      </c>
      <c r="J486">
        <v>77869372</v>
      </c>
      <c r="K486" s="2">
        <v>46020</v>
      </c>
      <c r="L486" s="1">
        <v>39220</v>
      </c>
      <c r="M486" t="s">
        <v>471</v>
      </c>
      <c r="N486" t="s">
        <v>51</v>
      </c>
      <c r="O486" t="s">
        <v>483</v>
      </c>
      <c r="P486" s="1">
        <v>9000</v>
      </c>
      <c r="Q486">
        <v>50</v>
      </c>
      <c r="R486" t="s">
        <v>484</v>
      </c>
      <c r="S486" s="1">
        <f>Tabla1[[#This Row],[OS-Valor Unitario]]-Tabla1[[#This Row],[costo_antes_iva]]</f>
        <v>-30220</v>
      </c>
      <c r="T486" s="1">
        <f>Tabla1[[#This Row],[OS-Valor Unitario]]*Tabla1[[#This Row],[OS-Cantidad]]</f>
        <v>450000</v>
      </c>
      <c r="U486" s="1">
        <f>Tabla1[[#This Row],[costo_antes_iva]]*Tabla1[[#This Row],[OS-Cantidad]]</f>
        <v>1961000</v>
      </c>
      <c r="V486" s="1">
        <f>Tabla1[[#This Row],[Valor total OS]]-Tabla1[[#This Row],[valor total op]]</f>
        <v>-1511000</v>
      </c>
      <c r="W486" s="1">
        <f>ROUNDDOWN(Tabla1[[#This Row],[Diferencia]]/200000,0)*200000</f>
        <v>-1400000</v>
      </c>
    </row>
    <row r="487" spans="1:23" hidden="1" x14ac:dyDescent="0.3">
      <c r="A487">
        <v>6492</v>
      </c>
      <c r="B487">
        <v>15</v>
      </c>
      <c r="C487" t="s">
        <v>482</v>
      </c>
      <c r="D487">
        <v>50</v>
      </c>
      <c r="E487" t="s">
        <v>529</v>
      </c>
      <c r="F487" t="s">
        <v>470</v>
      </c>
      <c r="G487" t="s">
        <v>21</v>
      </c>
      <c r="H487" t="s">
        <v>317</v>
      </c>
      <c r="I487">
        <v>60</v>
      </c>
      <c r="J487">
        <v>77869372</v>
      </c>
      <c r="K487" s="2">
        <v>46020</v>
      </c>
      <c r="L487" s="1">
        <v>39220</v>
      </c>
      <c r="M487" t="s">
        <v>471</v>
      </c>
      <c r="N487" t="s">
        <v>51</v>
      </c>
      <c r="O487" t="s">
        <v>483</v>
      </c>
      <c r="P487" s="1">
        <v>9000</v>
      </c>
      <c r="Q487">
        <v>50</v>
      </c>
      <c r="R487" t="s">
        <v>484</v>
      </c>
      <c r="S487" s="1">
        <f>Tabla1[[#This Row],[OS-Valor Unitario]]-Tabla1[[#This Row],[costo_antes_iva]]</f>
        <v>-30220</v>
      </c>
      <c r="T487" s="1">
        <f>Tabla1[[#This Row],[OS-Valor Unitario]]*Tabla1[[#This Row],[OS-Cantidad]]</f>
        <v>450000</v>
      </c>
      <c r="U487" s="1">
        <f>Tabla1[[#This Row],[costo_antes_iva]]*Tabla1[[#This Row],[OS-Cantidad]]</f>
        <v>1961000</v>
      </c>
      <c r="V487" s="1">
        <f>Tabla1[[#This Row],[Valor total OS]]-Tabla1[[#This Row],[valor total op]]</f>
        <v>-1511000</v>
      </c>
      <c r="W487" s="1">
        <f>ROUNDDOWN(Tabla1[[#This Row],[Diferencia]]/200000,0)*200000</f>
        <v>-1400000</v>
      </c>
    </row>
    <row r="488" spans="1:23" hidden="1" x14ac:dyDescent="0.3">
      <c r="A488">
        <v>6543</v>
      </c>
      <c r="B488">
        <v>3</v>
      </c>
      <c r="C488" t="s">
        <v>180</v>
      </c>
      <c r="D488">
        <v>1650</v>
      </c>
      <c r="E488" t="s">
        <v>181</v>
      </c>
      <c r="F488" t="s">
        <v>182</v>
      </c>
      <c r="G488" t="s">
        <v>183</v>
      </c>
      <c r="H488" t="s">
        <v>184</v>
      </c>
      <c r="I488">
        <v>1650</v>
      </c>
      <c r="J488">
        <v>79260234</v>
      </c>
      <c r="K488" s="2">
        <v>46052</v>
      </c>
      <c r="L488" s="1">
        <v>11500</v>
      </c>
      <c r="M488" t="s">
        <v>185</v>
      </c>
      <c r="N488" t="s">
        <v>51</v>
      </c>
      <c r="O488" t="s">
        <v>186</v>
      </c>
      <c r="P488" s="1">
        <v>10500</v>
      </c>
      <c r="Q488">
        <v>1663</v>
      </c>
      <c r="R488" t="s">
        <v>187</v>
      </c>
      <c r="S488" s="1">
        <f>Tabla1[[#This Row],[OS-Valor Unitario]]-Tabla1[[#This Row],[costo_antes_iva]]</f>
        <v>-1000</v>
      </c>
      <c r="T488" s="1">
        <f>Tabla1[[#This Row],[OS-Valor Unitario]]*Tabla1[[#This Row],[OS-Cantidad]]</f>
        <v>17461500</v>
      </c>
      <c r="U488" s="1">
        <f>Tabla1[[#This Row],[costo_antes_iva]]*Tabla1[[#This Row],[OS-Cantidad]]</f>
        <v>19124500</v>
      </c>
      <c r="V488" s="1">
        <f>Tabla1[[#This Row],[Valor total OS]]-Tabla1[[#This Row],[valor total op]]</f>
        <v>-1663000</v>
      </c>
      <c r="W488" s="1">
        <f>ROUNDDOWN(Tabla1[[#This Row],[Diferencia]]/200000,0)*200000</f>
        <v>-1600000</v>
      </c>
    </row>
    <row r="489" spans="1:23" hidden="1" x14ac:dyDescent="0.3">
      <c r="A489">
        <v>6485</v>
      </c>
      <c r="B489">
        <v>5</v>
      </c>
      <c r="C489" t="s">
        <v>669</v>
      </c>
      <c r="D489">
        <v>195</v>
      </c>
      <c r="E489" t="s">
        <v>650</v>
      </c>
      <c r="F489" t="s">
        <v>670</v>
      </c>
      <c r="G489" t="s">
        <v>447</v>
      </c>
      <c r="H489" t="s">
        <v>166</v>
      </c>
      <c r="I489">
        <v>1</v>
      </c>
      <c r="J489">
        <v>77662475</v>
      </c>
      <c r="K489" s="2">
        <v>46014</v>
      </c>
      <c r="L489" s="1">
        <v>12000</v>
      </c>
      <c r="M489" t="s">
        <v>652</v>
      </c>
      <c r="N489" t="s">
        <v>51</v>
      </c>
      <c r="O489" t="s">
        <v>671</v>
      </c>
      <c r="P489" s="1">
        <v>2400</v>
      </c>
      <c r="Q489">
        <v>195</v>
      </c>
      <c r="R489" t="s">
        <v>672</v>
      </c>
      <c r="S489" s="1">
        <f>Tabla1[[#This Row],[OS-Valor Unitario]]-Tabla1[[#This Row],[costo_antes_iva]]</f>
        <v>-9600</v>
      </c>
      <c r="T489" s="1">
        <f>Tabla1[[#This Row],[OS-Valor Unitario]]*Tabla1[[#This Row],[OS-Cantidad]]</f>
        <v>468000</v>
      </c>
      <c r="U489" s="1">
        <f>Tabla1[[#This Row],[costo_antes_iva]]*Tabla1[[#This Row],[OS-Cantidad]]</f>
        <v>2340000</v>
      </c>
      <c r="V489" s="1">
        <f>Tabla1[[#This Row],[Valor total OS]]-Tabla1[[#This Row],[valor total op]]</f>
        <v>-1872000</v>
      </c>
      <c r="W489" s="1">
        <f>ROUNDDOWN(Tabla1[[#This Row],[Diferencia]]/200000,0)*200000</f>
        <v>-1800000</v>
      </c>
    </row>
    <row r="490" spans="1:23" hidden="1" x14ac:dyDescent="0.3">
      <c r="A490">
        <v>6485</v>
      </c>
      <c r="B490">
        <v>5</v>
      </c>
      <c r="C490" t="s">
        <v>669</v>
      </c>
      <c r="D490">
        <v>195</v>
      </c>
      <c r="E490" t="s">
        <v>650</v>
      </c>
      <c r="F490" t="s">
        <v>670</v>
      </c>
      <c r="G490" t="s">
        <v>447</v>
      </c>
      <c r="H490" t="s">
        <v>166</v>
      </c>
      <c r="I490">
        <v>1</v>
      </c>
      <c r="J490">
        <v>77662838</v>
      </c>
      <c r="K490" s="2">
        <v>46014</v>
      </c>
      <c r="L490" s="1">
        <v>12000</v>
      </c>
      <c r="M490" t="s">
        <v>655</v>
      </c>
      <c r="N490" t="s">
        <v>51</v>
      </c>
      <c r="O490" t="s">
        <v>671</v>
      </c>
      <c r="P490" s="1">
        <v>2400</v>
      </c>
      <c r="Q490">
        <v>195</v>
      </c>
      <c r="R490" t="s">
        <v>672</v>
      </c>
      <c r="S490" s="1">
        <f>Tabla1[[#This Row],[OS-Valor Unitario]]-Tabla1[[#This Row],[costo_antes_iva]]</f>
        <v>-9600</v>
      </c>
      <c r="T490" s="1">
        <f>Tabla1[[#This Row],[OS-Valor Unitario]]*Tabla1[[#This Row],[OS-Cantidad]]</f>
        <v>468000</v>
      </c>
      <c r="U490" s="1">
        <f>Tabla1[[#This Row],[costo_antes_iva]]*Tabla1[[#This Row],[OS-Cantidad]]</f>
        <v>2340000</v>
      </c>
      <c r="V490" s="1">
        <f>Tabla1[[#This Row],[Valor total OS]]-Tabla1[[#This Row],[valor total op]]</f>
        <v>-1872000</v>
      </c>
      <c r="W490" s="1">
        <f>ROUNDDOWN(Tabla1[[#This Row],[Diferencia]]/200000,0)*200000</f>
        <v>-1800000</v>
      </c>
    </row>
    <row r="491" spans="1:23" hidden="1" x14ac:dyDescent="0.3">
      <c r="A491">
        <v>6430</v>
      </c>
      <c r="B491">
        <v>1</v>
      </c>
      <c r="C491" t="s">
        <v>890</v>
      </c>
      <c r="D491">
        <v>1310</v>
      </c>
      <c r="E491" t="s">
        <v>891</v>
      </c>
      <c r="F491" t="s">
        <v>393</v>
      </c>
      <c r="G491" t="s">
        <v>398</v>
      </c>
      <c r="H491" t="s">
        <v>317</v>
      </c>
      <c r="I491">
        <v>200</v>
      </c>
      <c r="J491">
        <v>77935140</v>
      </c>
      <c r="K491" s="2">
        <v>46022</v>
      </c>
      <c r="L491" s="1">
        <v>12500</v>
      </c>
      <c r="M491" t="s">
        <v>399</v>
      </c>
      <c r="N491" t="s">
        <v>400</v>
      </c>
      <c r="O491" t="s">
        <v>892</v>
      </c>
      <c r="P491" s="1">
        <v>10400</v>
      </c>
      <c r="Q491">
        <v>1310</v>
      </c>
      <c r="R491" t="s">
        <v>894</v>
      </c>
      <c r="S491" s="1">
        <f>Tabla1[[#This Row],[OS-Valor Unitario]]-Tabla1[[#This Row],[costo_antes_iva]]</f>
        <v>-2100</v>
      </c>
      <c r="T491" s="1">
        <f>Tabla1[[#This Row],[OS-Valor Unitario]]*Tabla1[[#This Row],[OS-Cantidad]]</f>
        <v>13624000</v>
      </c>
      <c r="U491" s="1">
        <f>Tabla1[[#This Row],[costo_antes_iva]]*Tabla1[[#This Row],[OS-Cantidad]]</f>
        <v>16375000</v>
      </c>
      <c r="V491" s="1">
        <f>Tabla1[[#This Row],[Valor total OS]]-Tabla1[[#This Row],[valor total op]]</f>
        <v>-2751000</v>
      </c>
      <c r="W491" s="1">
        <f>ROUNDDOWN(Tabla1[[#This Row],[Diferencia]]/200000,0)*200000</f>
        <v>-2600000</v>
      </c>
    </row>
    <row r="492" spans="1:23" hidden="1" x14ac:dyDescent="0.3">
      <c r="A492">
        <v>6430</v>
      </c>
      <c r="B492">
        <v>1</v>
      </c>
      <c r="C492" t="s">
        <v>890</v>
      </c>
      <c r="D492">
        <v>1310</v>
      </c>
      <c r="E492" t="s">
        <v>891</v>
      </c>
      <c r="F492" t="s">
        <v>393</v>
      </c>
      <c r="G492" t="s">
        <v>398</v>
      </c>
      <c r="H492" t="s">
        <v>317</v>
      </c>
      <c r="I492">
        <v>1150</v>
      </c>
      <c r="J492">
        <v>76177272</v>
      </c>
      <c r="K492" s="2">
        <v>45987</v>
      </c>
      <c r="L492" s="1">
        <v>12500</v>
      </c>
      <c r="M492" t="s">
        <v>402</v>
      </c>
      <c r="N492" t="s">
        <v>400</v>
      </c>
      <c r="O492" t="s">
        <v>892</v>
      </c>
      <c r="P492" s="1">
        <v>10400</v>
      </c>
      <c r="Q492">
        <v>1310</v>
      </c>
      <c r="R492" t="s">
        <v>894</v>
      </c>
      <c r="S492" s="1">
        <f>Tabla1[[#This Row],[OS-Valor Unitario]]-Tabla1[[#This Row],[costo_antes_iva]]</f>
        <v>-2100</v>
      </c>
      <c r="T492" s="1">
        <f>Tabla1[[#This Row],[OS-Valor Unitario]]*Tabla1[[#This Row],[OS-Cantidad]]</f>
        <v>13624000</v>
      </c>
      <c r="U492" s="1">
        <f>Tabla1[[#This Row],[costo_antes_iva]]*Tabla1[[#This Row],[OS-Cantidad]]</f>
        <v>16375000</v>
      </c>
      <c r="V492" s="1">
        <f>Tabla1[[#This Row],[Valor total OS]]-Tabla1[[#This Row],[valor total op]]</f>
        <v>-2751000</v>
      </c>
      <c r="W492" s="1">
        <f>ROUNDDOWN(Tabla1[[#This Row],[Diferencia]]/200000,0)*200000</f>
        <v>-2600000</v>
      </c>
    </row>
    <row r="493" spans="1:23" hidden="1" x14ac:dyDescent="0.3">
      <c r="A493">
        <v>6430</v>
      </c>
      <c r="B493">
        <v>1</v>
      </c>
      <c r="C493" t="s">
        <v>890</v>
      </c>
      <c r="D493">
        <v>1310</v>
      </c>
      <c r="E493" t="s">
        <v>891</v>
      </c>
      <c r="F493" t="s">
        <v>393</v>
      </c>
      <c r="G493" t="s">
        <v>398</v>
      </c>
      <c r="H493" t="s">
        <v>317</v>
      </c>
      <c r="I493">
        <v>5</v>
      </c>
      <c r="J493">
        <v>75885191</v>
      </c>
      <c r="K493" s="2">
        <v>45986</v>
      </c>
      <c r="L493" s="1">
        <v>12500</v>
      </c>
      <c r="M493" t="s">
        <v>403</v>
      </c>
      <c r="N493" t="s">
        <v>400</v>
      </c>
      <c r="O493" t="s">
        <v>892</v>
      </c>
      <c r="P493" s="1">
        <v>10400</v>
      </c>
      <c r="Q493">
        <v>1310</v>
      </c>
      <c r="R493" t="s">
        <v>894</v>
      </c>
      <c r="S493" s="1">
        <f>Tabla1[[#This Row],[OS-Valor Unitario]]-Tabla1[[#This Row],[costo_antes_iva]]</f>
        <v>-2100</v>
      </c>
      <c r="T493" s="1">
        <f>Tabla1[[#This Row],[OS-Valor Unitario]]*Tabla1[[#This Row],[OS-Cantidad]]</f>
        <v>13624000</v>
      </c>
      <c r="U493" s="1">
        <f>Tabla1[[#This Row],[costo_antes_iva]]*Tabla1[[#This Row],[OS-Cantidad]]</f>
        <v>16375000</v>
      </c>
      <c r="V493" s="1">
        <f>Tabla1[[#This Row],[Valor total OS]]-Tabla1[[#This Row],[valor total op]]</f>
        <v>-2751000</v>
      </c>
      <c r="W493" s="1">
        <f>ROUNDDOWN(Tabla1[[#This Row],[Diferencia]]/200000,0)*200000</f>
        <v>-2600000</v>
      </c>
    </row>
    <row r="494" spans="1:23" hidden="1" x14ac:dyDescent="0.3">
      <c r="A494">
        <v>6297</v>
      </c>
      <c r="B494">
        <v>22</v>
      </c>
      <c r="C494" t="s">
        <v>1360</v>
      </c>
      <c r="D494">
        <v>144</v>
      </c>
      <c r="E494" t="s">
        <v>1347</v>
      </c>
      <c r="F494" t="s">
        <v>1342</v>
      </c>
      <c r="G494" t="s">
        <v>29</v>
      </c>
      <c r="H494" t="s">
        <v>317</v>
      </c>
      <c r="I494">
        <v>1</v>
      </c>
      <c r="J494">
        <v>75728624</v>
      </c>
      <c r="K494" s="2">
        <v>45982</v>
      </c>
      <c r="L494" s="1">
        <v>68000</v>
      </c>
      <c r="M494" t="s">
        <v>1343</v>
      </c>
      <c r="N494" t="s">
        <v>51</v>
      </c>
      <c r="O494" t="s">
        <v>1361</v>
      </c>
      <c r="P494" s="1">
        <v>10166.666666666701</v>
      </c>
      <c r="Q494">
        <v>144</v>
      </c>
      <c r="R494" t="s">
        <v>1362</v>
      </c>
      <c r="S494" s="1">
        <f>Tabla1[[#This Row],[OS-Valor Unitario]]-Tabla1[[#This Row],[costo_antes_iva]]</f>
        <v>-57833.333333333299</v>
      </c>
      <c r="T494" s="1">
        <f>Tabla1[[#This Row],[OS-Valor Unitario]]*Tabla1[[#This Row],[OS-Cantidad]]</f>
        <v>1464000.0000000049</v>
      </c>
      <c r="U494" s="1">
        <f>Tabla1[[#This Row],[costo_antes_iva]]*Tabla1[[#This Row],[OS-Cantidad]]</f>
        <v>9792000</v>
      </c>
      <c r="V494" s="1">
        <f>Tabla1[[#This Row],[Valor total OS]]-Tabla1[[#This Row],[valor total op]]</f>
        <v>-8327999.9999999953</v>
      </c>
      <c r="W494" s="1">
        <f>ROUNDDOWN(Tabla1[[#This Row],[Diferencia]]/200000,0)*200000</f>
        <v>-8200000</v>
      </c>
    </row>
    <row r="495" spans="1:23" hidden="1" x14ac:dyDescent="0.3">
      <c r="A495">
        <v>6430</v>
      </c>
      <c r="B495">
        <v>1</v>
      </c>
      <c r="C495" t="s">
        <v>890</v>
      </c>
      <c r="D495">
        <v>1310</v>
      </c>
      <c r="E495" t="s">
        <v>891</v>
      </c>
      <c r="F495" t="s">
        <v>393</v>
      </c>
      <c r="G495" t="s">
        <v>394</v>
      </c>
      <c r="H495" t="s">
        <v>317</v>
      </c>
      <c r="I495">
        <v>50</v>
      </c>
      <c r="J495">
        <v>77869395</v>
      </c>
      <c r="K495" s="2">
        <v>46020</v>
      </c>
      <c r="L495" s="1">
        <v>11500</v>
      </c>
      <c r="M495" t="s">
        <v>395</v>
      </c>
      <c r="N495" t="s">
        <v>51</v>
      </c>
      <c r="O495" t="s">
        <v>892</v>
      </c>
      <c r="P495" s="1">
        <v>5000</v>
      </c>
      <c r="Q495">
        <v>1310</v>
      </c>
      <c r="R495" t="s">
        <v>893</v>
      </c>
      <c r="S495" s="1">
        <f>Tabla1[[#This Row],[OS-Valor Unitario]]-Tabla1[[#This Row],[costo_antes_iva]]</f>
        <v>-6500</v>
      </c>
      <c r="T495" s="1">
        <f>Tabla1[[#This Row],[OS-Valor Unitario]]*Tabla1[[#This Row],[OS-Cantidad]]</f>
        <v>6550000</v>
      </c>
      <c r="U495" s="1">
        <f>Tabla1[[#This Row],[costo_antes_iva]]*Tabla1[[#This Row],[OS-Cantidad]]</f>
        <v>15065000</v>
      </c>
      <c r="V495" s="1">
        <f>Tabla1[[#This Row],[Valor total OS]]-Tabla1[[#This Row],[valor total op]]</f>
        <v>-8515000</v>
      </c>
      <c r="W495" s="1">
        <f>ROUNDDOWN(Tabla1[[#This Row],[Diferencia]]/200000,0)*200000</f>
        <v>-8400000</v>
      </c>
    </row>
    <row r="496" spans="1:23" hidden="1" x14ac:dyDescent="0.3">
      <c r="A496">
        <v>6324</v>
      </c>
      <c r="B496">
        <v>1</v>
      </c>
      <c r="C496" t="s">
        <v>1340</v>
      </c>
      <c r="D496">
        <v>376</v>
      </c>
      <c r="E496" t="s">
        <v>1341</v>
      </c>
      <c r="F496" t="s">
        <v>1342</v>
      </c>
      <c r="G496" t="s">
        <v>29</v>
      </c>
      <c r="H496" t="s">
        <v>317</v>
      </c>
      <c r="I496">
        <v>1</v>
      </c>
      <c r="J496">
        <v>75728624</v>
      </c>
      <c r="K496" s="2">
        <v>45982</v>
      </c>
      <c r="L496" s="1">
        <v>68000</v>
      </c>
      <c r="M496" t="s">
        <v>1343</v>
      </c>
      <c r="N496" t="s">
        <v>51</v>
      </c>
      <c r="O496" t="s">
        <v>1344</v>
      </c>
      <c r="P496" s="1">
        <v>5000</v>
      </c>
      <c r="Q496">
        <v>376</v>
      </c>
      <c r="R496" t="s">
        <v>1345</v>
      </c>
      <c r="S496" s="1">
        <f>Tabla1[[#This Row],[OS-Valor Unitario]]-Tabla1[[#This Row],[costo_antes_iva]]</f>
        <v>-63000</v>
      </c>
      <c r="T496" s="1">
        <f>Tabla1[[#This Row],[OS-Valor Unitario]]*Tabla1[[#This Row],[OS-Cantidad]]</f>
        <v>1880000</v>
      </c>
      <c r="U496" s="1">
        <f>Tabla1[[#This Row],[costo_antes_iva]]*Tabla1[[#This Row],[OS-Cantidad]]</f>
        <v>25568000</v>
      </c>
      <c r="V496" s="1">
        <f>Tabla1[[#This Row],[Valor total OS]]-Tabla1[[#This Row],[valor total op]]</f>
        <v>-23688000</v>
      </c>
      <c r="W496" s="1">
        <f>ROUNDDOWN(Tabla1[[#This Row],[Diferencia]]/200000,0)*200000</f>
        <v>-23600000</v>
      </c>
    </row>
    <row r="497" spans="22:22" x14ac:dyDescent="0.3">
      <c r="V497" s="1">
        <f>SUBTOTAL(109,Tabla1[Diferencia])</f>
        <v>317500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639D-E233-4474-BF81-24D1C35CA9FA}">
  <dimension ref="A1:D286"/>
  <sheetViews>
    <sheetView topLeftCell="A31" workbookViewId="0">
      <selection activeCell="A42" sqref="A42"/>
    </sheetView>
  </sheetViews>
  <sheetFormatPr baseColWidth="10" defaultRowHeight="13.8" x14ac:dyDescent="0.25"/>
  <cols>
    <col min="1" max="1" width="27.6640625" style="6" bestFit="1" customWidth="1"/>
    <col min="2" max="2" width="18.5546875" style="6" bestFit="1" customWidth="1"/>
    <col min="3" max="4" width="32.77734375" style="6" bestFit="1" customWidth="1"/>
    <col min="5" max="16384" width="11.5546875" style="6"/>
  </cols>
  <sheetData>
    <row r="1" spans="1:3" ht="14.4" x14ac:dyDescent="0.3">
      <c r="A1"/>
      <c r="B1"/>
    </row>
    <row r="3" spans="1:3" x14ac:dyDescent="0.25">
      <c r="A3" s="5" t="s">
        <v>1363</v>
      </c>
      <c r="B3" s="6" t="s">
        <v>1368</v>
      </c>
      <c r="C3" s="6" t="s">
        <v>1369</v>
      </c>
    </row>
    <row r="4" spans="1:3" x14ac:dyDescent="0.25">
      <c r="A4" s="7" t="s">
        <v>24</v>
      </c>
      <c r="B4" s="8">
        <v>2353.9215686274511</v>
      </c>
      <c r="C4" s="8">
        <v>2339.2222222222222</v>
      </c>
    </row>
    <row r="5" spans="1:3" x14ac:dyDescent="0.25">
      <c r="A5" s="7" t="s">
        <v>51</v>
      </c>
      <c r="B5" s="8">
        <v>10422.051340326339</v>
      </c>
      <c r="C5" s="8">
        <v>10478.472027972028</v>
      </c>
    </row>
    <row r="6" spans="1:3" x14ac:dyDescent="0.25">
      <c r="A6" s="7" t="s">
        <v>539</v>
      </c>
      <c r="B6" s="8">
        <v>6700</v>
      </c>
      <c r="C6" s="8">
        <v>4600</v>
      </c>
    </row>
    <row r="7" spans="1:3" x14ac:dyDescent="0.25">
      <c r="A7" s="7" t="s">
        <v>65</v>
      </c>
      <c r="B7" s="8">
        <v>2681.0810810810813</v>
      </c>
      <c r="C7" s="8">
        <v>2159.4594594594596</v>
      </c>
    </row>
    <row r="8" spans="1:3" x14ac:dyDescent="0.25">
      <c r="A8" s="7" t="s">
        <v>42</v>
      </c>
      <c r="B8" s="8">
        <v>26500</v>
      </c>
      <c r="C8" s="8">
        <v>27500</v>
      </c>
    </row>
    <row r="9" spans="1:3" x14ac:dyDescent="0.25">
      <c r="A9" s="7" t="s">
        <v>438</v>
      </c>
      <c r="B9" s="8">
        <v>47000</v>
      </c>
      <c r="C9" s="8">
        <v>40000</v>
      </c>
    </row>
    <row r="10" spans="1:3" x14ac:dyDescent="0.25">
      <c r="A10" s="7" t="s">
        <v>302</v>
      </c>
      <c r="B10" s="8">
        <v>1600</v>
      </c>
      <c r="C10" s="8">
        <v>1500</v>
      </c>
    </row>
    <row r="11" spans="1:3" x14ac:dyDescent="0.25">
      <c r="A11" s="7" t="s">
        <v>400</v>
      </c>
      <c r="B11" s="8">
        <v>7287.4285714285716</v>
      </c>
      <c r="C11" s="8">
        <v>10464.285714285714</v>
      </c>
    </row>
    <row r="12" spans="1:3" x14ac:dyDescent="0.25">
      <c r="A12" s="7" t="s">
        <v>1364</v>
      </c>
      <c r="B12" s="8">
        <v>7415.9205723905716</v>
      </c>
      <c r="C12" s="8">
        <v>7464.1292929292931</v>
      </c>
    </row>
    <row r="15" spans="1:3" ht="14.4" x14ac:dyDescent="0.3">
      <c r="A15" s="3" t="s">
        <v>13</v>
      </c>
      <c r="B15" t="s">
        <v>24</v>
      </c>
    </row>
    <row r="17" spans="1:3" ht="20.399999999999999" customHeight="1" x14ac:dyDescent="0.3">
      <c r="A17" s="3" t="s">
        <v>1363</v>
      </c>
      <c r="B17" t="s">
        <v>1365</v>
      </c>
      <c r="C17" t="s">
        <v>1366</v>
      </c>
    </row>
    <row r="18" spans="1:3" ht="19.8" customHeight="1" x14ac:dyDescent="0.3">
      <c r="A18" s="4" t="s">
        <v>1140</v>
      </c>
      <c r="B18" s="1">
        <v>23400</v>
      </c>
      <c r="C18" s="1">
        <v>25000</v>
      </c>
    </row>
    <row r="19" spans="1:3" ht="20.399999999999999" customHeight="1" x14ac:dyDescent="0.3">
      <c r="A19" s="4" t="s">
        <v>1149</v>
      </c>
      <c r="B19" s="1">
        <v>23400</v>
      </c>
      <c r="C19" s="1">
        <v>25000</v>
      </c>
    </row>
    <row r="20" spans="1:3" ht="20.399999999999999" customHeight="1" x14ac:dyDescent="0.3">
      <c r="A20" s="4" t="s">
        <v>1153</v>
      </c>
      <c r="B20" s="1">
        <v>11700</v>
      </c>
      <c r="C20" s="1">
        <v>12500</v>
      </c>
    </row>
    <row r="21" spans="1:3" ht="19.8" customHeight="1" x14ac:dyDescent="0.3">
      <c r="A21" s="4" t="s">
        <v>1159</v>
      </c>
      <c r="B21" s="1">
        <v>11700</v>
      </c>
      <c r="C21" s="1">
        <v>12500</v>
      </c>
    </row>
    <row r="22" spans="1:3" ht="19.2" customHeight="1" x14ac:dyDescent="0.3">
      <c r="A22" s="4" t="s">
        <v>920</v>
      </c>
      <c r="B22" s="1">
        <v>9500</v>
      </c>
      <c r="C22" s="1">
        <v>9500</v>
      </c>
    </row>
    <row r="23" spans="1:3" ht="20.399999999999999" customHeight="1" x14ac:dyDescent="0.3">
      <c r="A23" s="4" t="s">
        <v>933</v>
      </c>
      <c r="B23" s="1">
        <v>6600</v>
      </c>
      <c r="C23" s="1">
        <v>6600</v>
      </c>
    </row>
    <row r="24" spans="1:3" ht="19.2" customHeight="1" x14ac:dyDescent="0.3">
      <c r="A24" s="4" t="s">
        <v>938</v>
      </c>
      <c r="B24" s="1">
        <v>11200</v>
      </c>
      <c r="C24" s="1">
        <v>10600</v>
      </c>
    </row>
    <row r="25" spans="1:3" ht="19.8" customHeight="1" x14ac:dyDescent="0.3">
      <c r="A25" s="4" t="s">
        <v>944</v>
      </c>
      <c r="B25" s="1">
        <v>10000</v>
      </c>
      <c r="C25" s="1">
        <v>10600</v>
      </c>
    </row>
    <row r="26" spans="1:3" ht="18" customHeight="1" x14ac:dyDescent="0.3">
      <c r="A26" s="4" t="s">
        <v>590</v>
      </c>
      <c r="B26" s="1">
        <v>7300</v>
      </c>
      <c r="C26" s="1">
        <v>7300</v>
      </c>
    </row>
    <row r="27" spans="1:3" ht="24" customHeight="1" x14ac:dyDescent="0.3">
      <c r="A27" s="4" t="s">
        <v>198</v>
      </c>
      <c r="B27" s="1">
        <v>12600</v>
      </c>
      <c r="C27" s="1">
        <v>5500</v>
      </c>
    </row>
    <row r="28" spans="1:3" ht="31.2" customHeight="1" x14ac:dyDescent="0.3">
      <c r="A28" s="4" t="s">
        <v>1364</v>
      </c>
      <c r="B28" s="1">
        <v>127400</v>
      </c>
      <c r="C28" s="1">
        <v>125100</v>
      </c>
    </row>
    <row r="29" spans="1:3" ht="14.4" x14ac:dyDescent="0.3">
      <c r="A29"/>
      <c r="B29"/>
      <c r="C29"/>
    </row>
    <row r="30" spans="1:3" ht="14.4" x14ac:dyDescent="0.3">
      <c r="A30"/>
      <c r="B30"/>
      <c r="C30"/>
    </row>
    <row r="31" spans="1:3" ht="14.4" x14ac:dyDescent="0.3">
      <c r="A31"/>
      <c r="B31"/>
      <c r="C31"/>
    </row>
    <row r="32" spans="1:3" ht="14.4" x14ac:dyDescent="0.3">
      <c r="A32"/>
      <c r="B32"/>
      <c r="C32"/>
    </row>
    <row r="33" spans="1:4" ht="14.4" x14ac:dyDescent="0.3">
      <c r="A33"/>
      <c r="B33"/>
      <c r="C33"/>
    </row>
    <row r="34" spans="1:4" ht="14.4" x14ac:dyDescent="0.3">
      <c r="A34"/>
      <c r="B34"/>
      <c r="C34"/>
    </row>
    <row r="35" spans="1:4" ht="14.4" x14ac:dyDescent="0.3">
      <c r="A35"/>
      <c r="B35"/>
      <c r="C35"/>
    </row>
    <row r="36" spans="1:4" ht="14.4" x14ac:dyDescent="0.3">
      <c r="A36" s="3" t="s">
        <v>1363</v>
      </c>
      <c r="B36" t="s">
        <v>1374</v>
      </c>
      <c r="C36"/>
      <c r="D36"/>
    </row>
    <row r="37" spans="1:4" ht="14.4" x14ac:dyDescent="0.3">
      <c r="A37" s="4" t="s">
        <v>24</v>
      </c>
      <c r="B37">
        <v>153</v>
      </c>
      <c r="C37"/>
      <c r="D37"/>
    </row>
    <row r="38" spans="1:4" ht="14.4" x14ac:dyDescent="0.3">
      <c r="A38" s="9">
        <v>-200000</v>
      </c>
      <c r="B38">
        <v>2</v>
      </c>
      <c r="C38"/>
      <c r="D38"/>
    </row>
    <row r="39" spans="1:4" ht="14.4" x14ac:dyDescent="0.3">
      <c r="A39" s="9">
        <v>0</v>
      </c>
      <c r="B39">
        <v>149</v>
      </c>
      <c r="C39"/>
      <c r="D39"/>
    </row>
    <row r="40" spans="1:4" ht="14.4" x14ac:dyDescent="0.3">
      <c r="A40" s="9">
        <v>400000</v>
      </c>
      <c r="B40">
        <v>1</v>
      </c>
      <c r="C40"/>
      <c r="D40"/>
    </row>
    <row r="41" spans="1:4" ht="14.4" x14ac:dyDescent="0.3">
      <c r="A41" s="9">
        <v>600000</v>
      </c>
      <c r="B41">
        <v>1</v>
      </c>
      <c r="C41"/>
      <c r="D41"/>
    </row>
    <row r="42" spans="1:4" ht="14.4" x14ac:dyDescent="0.3">
      <c r="A42" s="4" t="s">
        <v>51</v>
      </c>
      <c r="B42">
        <v>286</v>
      </c>
      <c r="C42"/>
      <c r="D42"/>
    </row>
    <row r="43" spans="1:4" ht="14.4" x14ac:dyDescent="0.3">
      <c r="A43" s="9">
        <v>-23600000</v>
      </c>
      <c r="B43">
        <v>1</v>
      </c>
      <c r="C43"/>
      <c r="D43"/>
    </row>
    <row r="44" spans="1:4" ht="14.4" x14ac:dyDescent="0.3">
      <c r="A44" s="9">
        <v>-8400000</v>
      </c>
      <c r="B44">
        <v>1</v>
      </c>
      <c r="C44"/>
      <c r="D44"/>
    </row>
    <row r="45" spans="1:4" ht="14.4" x14ac:dyDescent="0.3">
      <c r="A45" s="9">
        <v>-8200000</v>
      </c>
      <c r="B45">
        <v>1</v>
      </c>
      <c r="C45"/>
      <c r="D45"/>
    </row>
    <row r="46" spans="1:4" ht="14.4" x14ac:dyDescent="0.3">
      <c r="A46" s="9">
        <v>-1800000</v>
      </c>
      <c r="B46">
        <v>2</v>
      </c>
      <c r="C46"/>
      <c r="D46"/>
    </row>
    <row r="47" spans="1:4" ht="14.4" x14ac:dyDescent="0.3">
      <c r="A47" s="9">
        <v>-1600000</v>
      </c>
      <c r="B47">
        <v>1</v>
      </c>
      <c r="C47"/>
      <c r="D47"/>
    </row>
    <row r="48" spans="1:4" ht="14.4" x14ac:dyDescent="0.3">
      <c r="A48" s="9">
        <v>-1400000</v>
      </c>
      <c r="B48">
        <v>2</v>
      </c>
      <c r="C48"/>
      <c r="D48"/>
    </row>
    <row r="49" spans="1:4" ht="14.4" x14ac:dyDescent="0.3">
      <c r="A49" s="9">
        <v>-1200000</v>
      </c>
      <c r="B49">
        <v>1</v>
      </c>
      <c r="C49"/>
      <c r="D49"/>
    </row>
    <row r="50" spans="1:4" ht="14.4" x14ac:dyDescent="0.3">
      <c r="A50" s="9">
        <v>-1000000</v>
      </c>
      <c r="B50">
        <v>1</v>
      </c>
      <c r="C50"/>
      <c r="D50"/>
    </row>
    <row r="51" spans="1:4" ht="14.4" x14ac:dyDescent="0.3">
      <c r="A51" s="9">
        <v>-800000</v>
      </c>
      <c r="B51">
        <v>1</v>
      </c>
      <c r="C51"/>
      <c r="D51"/>
    </row>
    <row r="52" spans="1:4" ht="14.4" x14ac:dyDescent="0.3">
      <c r="A52" s="9">
        <v>-600000</v>
      </c>
      <c r="B52">
        <v>2</v>
      </c>
      <c r="C52"/>
      <c r="D52"/>
    </row>
    <row r="53" spans="1:4" ht="14.4" x14ac:dyDescent="0.3">
      <c r="A53" s="9">
        <v>-400000</v>
      </c>
      <c r="B53">
        <v>2</v>
      </c>
      <c r="C53"/>
      <c r="D53"/>
    </row>
    <row r="54" spans="1:4" ht="14.4" x14ac:dyDescent="0.3">
      <c r="A54" s="9">
        <v>-200000</v>
      </c>
      <c r="B54">
        <v>9</v>
      </c>
      <c r="C54"/>
      <c r="D54"/>
    </row>
    <row r="55" spans="1:4" ht="14.4" x14ac:dyDescent="0.3">
      <c r="A55" s="9">
        <v>0</v>
      </c>
      <c r="B55">
        <v>234</v>
      </c>
      <c r="C55"/>
      <c r="D55"/>
    </row>
    <row r="56" spans="1:4" ht="14.4" x14ac:dyDescent="0.3">
      <c r="A56" s="9">
        <v>200000</v>
      </c>
      <c r="B56">
        <v>4</v>
      </c>
      <c r="C56"/>
      <c r="D56"/>
    </row>
    <row r="57" spans="1:4" ht="14.4" x14ac:dyDescent="0.3">
      <c r="A57" s="9">
        <v>400000</v>
      </c>
      <c r="B57">
        <v>6</v>
      </c>
      <c r="C57"/>
      <c r="D57"/>
    </row>
    <row r="58" spans="1:4" ht="14.4" x14ac:dyDescent="0.3">
      <c r="A58" s="9">
        <v>600000</v>
      </c>
      <c r="B58">
        <v>9</v>
      </c>
      <c r="C58"/>
      <c r="D58"/>
    </row>
    <row r="59" spans="1:4" ht="14.4" x14ac:dyDescent="0.3">
      <c r="A59" s="9">
        <v>800000</v>
      </c>
      <c r="B59">
        <v>1</v>
      </c>
      <c r="C59"/>
      <c r="D59"/>
    </row>
    <row r="60" spans="1:4" ht="14.4" x14ac:dyDescent="0.3">
      <c r="A60" s="9">
        <v>1200000</v>
      </c>
      <c r="B60">
        <v>4</v>
      </c>
      <c r="C60"/>
      <c r="D60"/>
    </row>
    <row r="61" spans="1:4" ht="14.4" x14ac:dyDescent="0.3">
      <c r="A61" s="9">
        <v>1600000</v>
      </c>
      <c r="B61">
        <v>2</v>
      </c>
      <c r="C61"/>
      <c r="D61"/>
    </row>
    <row r="62" spans="1:4" ht="14.4" x14ac:dyDescent="0.3">
      <c r="A62" s="9">
        <v>1800000</v>
      </c>
      <c r="B62">
        <v>2</v>
      </c>
      <c r="C62"/>
      <c r="D62"/>
    </row>
    <row r="63" spans="1:4" ht="14.4" x14ac:dyDescent="0.3">
      <c r="A63" s="4" t="s">
        <v>539</v>
      </c>
      <c r="B63">
        <v>1</v>
      </c>
      <c r="C63"/>
      <c r="D63"/>
    </row>
    <row r="64" spans="1:4" ht="14.4" x14ac:dyDescent="0.3">
      <c r="A64" s="4" t="s">
        <v>65</v>
      </c>
      <c r="B64">
        <v>37</v>
      </c>
      <c r="C64"/>
      <c r="D64"/>
    </row>
    <row r="65" spans="1:4" ht="14.4" x14ac:dyDescent="0.3">
      <c r="A65" s="4" t="s">
        <v>42</v>
      </c>
      <c r="B65">
        <v>1</v>
      </c>
      <c r="C65"/>
      <c r="D65"/>
    </row>
    <row r="66" spans="1:4" ht="14.4" x14ac:dyDescent="0.3">
      <c r="A66" s="4" t="s">
        <v>438</v>
      </c>
      <c r="B66">
        <v>2</v>
      </c>
      <c r="C66"/>
      <c r="D66"/>
    </row>
    <row r="67" spans="1:4" ht="14.4" x14ac:dyDescent="0.3">
      <c r="A67" s="4" t="s">
        <v>302</v>
      </c>
      <c r="B67">
        <v>1</v>
      </c>
      <c r="C67"/>
      <c r="D67"/>
    </row>
    <row r="68" spans="1:4" ht="14.4" x14ac:dyDescent="0.3">
      <c r="A68" s="4" t="s">
        <v>400</v>
      </c>
      <c r="B68">
        <v>14</v>
      </c>
      <c r="C68"/>
      <c r="D68"/>
    </row>
    <row r="69" spans="1:4" ht="14.4" x14ac:dyDescent="0.3">
      <c r="A69" s="4" t="s">
        <v>1364</v>
      </c>
      <c r="B69">
        <v>495</v>
      </c>
      <c r="C69"/>
      <c r="D69"/>
    </row>
    <row r="70" spans="1:4" ht="14.4" x14ac:dyDescent="0.3">
      <c r="A70"/>
      <c r="B70"/>
      <c r="C70"/>
      <c r="D70"/>
    </row>
    <row r="71" spans="1:4" ht="14.4" x14ac:dyDescent="0.3">
      <c r="A71"/>
      <c r="B71"/>
      <c r="C71"/>
      <c r="D71"/>
    </row>
    <row r="72" spans="1:4" ht="14.4" x14ac:dyDescent="0.3">
      <c r="A72"/>
      <c r="B72"/>
      <c r="C72"/>
      <c r="D72"/>
    </row>
    <row r="73" spans="1:4" ht="14.4" x14ac:dyDescent="0.3">
      <c r="A73"/>
      <c r="B73"/>
      <c r="C73"/>
      <c r="D73"/>
    </row>
    <row r="74" spans="1:4" ht="14.4" x14ac:dyDescent="0.3">
      <c r="A74"/>
      <c r="B74"/>
      <c r="C74"/>
      <c r="D74"/>
    </row>
    <row r="75" spans="1:4" ht="14.4" x14ac:dyDescent="0.3">
      <c r="A75"/>
      <c r="B75"/>
      <c r="C75"/>
      <c r="D75"/>
    </row>
    <row r="76" spans="1:4" ht="14.4" x14ac:dyDescent="0.3">
      <c r="A76"/>
      <c r="B76"/>
      <c r="C76"/>
      <c r="D76"/>
    </row>
    <row r="77" spans="1:4" ht="14.4" x14ac:dyDescent="0.3">
      <c r="A77"/>
      <c r="B77"/>
      <c r="C77"/>
      <c r="D77"/>
    </row>
    <row r="78" spans="1:4" ht="14.4" x14ac:dyDescent="0.3">
      <c r="A78"/>
      <c r="B78"/>
      <c r="C78"/>
      <c r="D78"/>
    </row>
    <row r="79" spans="1:4" ht="14.4" x14ac:dyDescent="0.3">
      <c r="A79"/>
      <c r="B79"/>
      <c r="C79"/>
      <c r="D79"/>
    </row>
    <row r="80" spans="1:4" ht="14.4" x14ac:dyDescent="0.3">
      <c r="A80"/>
      <c r="B80"/>
      <c r="C80"/>
      <c r="D80"/>
    </row>
    <row r="81" spans="1:4" ht="14.4" x14ac:dyDescent="0.3">
      <c r="A81"/>
      <c r="B81"/>
      <c r="C81"/>
      <c r="D81"/>
    </row>
    <row r="82" spans="1:4" ht="14.4" x14ac:dyDescent="0.3">
      <c r="A82"/>
      <c r="B82"/>
      <c r="C82"/>
      <c r="D82"/>
    </row>
    <row r="83" spans="1:4" ht="14.4" x14ac:dyDescent="0.3">
      <c r="A83"/>
      <c r="B83"/>
      <c r="C83"/>
      <c r="D83"/>
    </row>
    <row r="84" spans="1:4" ht="14.4" x14ac:dyDescent="0.3">
      <c r="A84"/>
      <c r="B84"/>
      <c r="C84"/>
      <c r="D84"/>
    </row>
    <row r="85" spans="1:4" ht="14.4" x14ac:dyDescent="0.3">
      <c r="A85"/>
      <c r="B85"/>
      <c r="C85"/>
      <c r="D85"/>
    </row>
    <row r="86" spans="1:4" ht="14.4" x14ac:dyDescent="0.3">
      <c r="A86"/>
      <c r="B86"/>
      <c r="C86"/>
      <c r="D86"/>
    </row>
    <row r="87" spans="1:4" ht="14.4" x14ac:dyDescent="0.3">
      <c r="A87"/>
      <c r="B87"/>
      <c r="C87"/>
      <c r="D87"/>
    </row>
    <row r="88" spans="1:4" ht="14.4" x14ac:dyDescent="0.3">
      <c r="A88"/>
      <c r="B88"/>
      <c r="C88"/>
      <c r="D88"/>
    </row>
    <row r="89" spans="1:4" ht="14.4" x14ac:dyDescent="0.3">
      <c r="A89"/>
      <c r="B89"/>
      <c r="C89"/>
      <c r="D89"/>
    </row>
    <row r="90" spans="1:4" ht="14.4" x14ac:dyDescent="0.3">
      <c r="A90"/>
      <c r="B90"/>
      <c r="C90"/>
      <c r="D90"/>
    </row>
    <row r="91" spans="1:4" ht="14.4" x14ac:dyDescent="0.3">
      <c r="A91"/>
      <c r="B91"/>
      <c r="C91"/>
      <c r="D91"/>
    </row>
    <row r="92" spans="1:4" ht="14.4" x14ac:dyDescent="0.3">
      <c r="A92"/>
      <c r="B92"/>
      <c r="C92"/>
      <c r="D92"/>
    </row>
    <row r="93" spans="1:4" ht="14.4" x14ac:dyDescent="0.3">
      <c r="A93"/>
      <c r="B93"/>
      <c r="C93"/>
      <c r="D93"/>
    </row>
    <row r="94" spans="1:4" ht="14.4" x14ac:dyDescent="0.3">
      <c r="A94"/>
      <c r="B94"/>
      <c r="C94"/>
      <c r="D94"/>
    </row>
    <row r="95" spans="1:4" ht="14.4" x14ac:dyDescent="0.3">
      <c r="A95"/>
      <c r="B95"/>
      <c r="C95"/>
      <c r="D95"/>
    </row>
    <row r="96" spans="1:4" ht="14.4" x14ac:dyDescent="0.3">
      <c r="A96"/>
      <c r="B96"/>
      <c r="C96"/>
      <c r="D96"/>
    </row>
    <row r="97" spans="1:4" ht="14.4" x14ac:dyDescent="0.3">
      <c r="A97"/>
      <c r="B97"/>
      <c r="C97"/>
      <c r="D97"/>
    </row>
    <row r="98" spans="1:4" ht="14.4" x14ac:dyDescent="0.3">
      <c r="A98"/>
      <c r="B98"/>
      <c r="C98"/>
      <c r="D98"/>
    </row>
    <row r="99" spans="1:4" ht="14.4" x14ac:dyDescent="0.3">
      <c r="A99"/>
      <c r="B99"/>
      <c r="C99"/>
      <c r="D99"/>
    </row>
    <row r="100" spans="1:4" ht="14.4" x14ac:dyDescent="0.3">
      <c r="A100"/>
      <c r="B100"/>
      <c r="C100"/>
      <c r="D100"/>
    </row>
    <row r="101" spans="1:4" ht="14.4" x14ac:dyDescent="0.3">
      <c r="A101"/>
      <c r="B101"/>
      <c r="C101"/>
      <c r="D101"/>
    </row>
    <row r="102" spans="1:4" ht="14.4" x14ac:dyDescent="0.3">
      <c r="A102"/>
      <c r="B102"/>
      <c r="C102"/>
      <c r="D102"/>
    </row>
    <row r="103" spans="1:4" ht="14.4" x14ac:dyDescent="0.3">
      <c r="A103"/>
      <c r="B103"/>
      <c r="C103"/>
      <c r="D103"/>
    </row>
    <row r="104" spans="1:4" ht="14.4" x14ac:dyDescent="0.3">
      <c r="A104"/>
      <c r="B104"/>
      <c r="C104"/>
      <c r="D104"/>
    </row>
    <row r="105" spans="1:4" ht="14.4" x14ac:dyDescent="0.3">
      <c r="A105"/>
      <c r="B105"/>
      <c r="C105"/>
      <c r="D105"/>
    </row>
    <row r="106" spans="1:4" ht="14.4" x14ac:dyDescent="0.3">
      <c r="A106"/>
      <c r="B106"/>
      <c r="C106"/>
      <c r="D106"/>
    </row>
    <row r="107" spans="1:4" ht="14.4" x14ac:dyDescent="0.3">
      <c r="A107"/>
      <c r="B107"/>
      <c r="C107"/>
      <c r="D107"/>
    </row>
    <row r="108" spans="1:4" ht="14.4" x14ac:dyDescent="0.3">
      <c r="A108"/>
      <c r="B108"/>
      <c r="C108"/>
      <c r="D108"/>
    </row>
    <row r="109" spans="1:4" ht="14.4" x14ac:dyDescent="0.3">
      <c r="A109"/>
      <c r="B109"/>
      <c r="C109"/>
      <c r="D109"/>
    </row>
    <row r="110" spans="1:4" ht="14.4" x14ac:dyDescent="0.3">
      <c r="A110"/>
      <c r="B110"/>
      <c r="C110"/>
      <c r="D110"/>
    </row>
    <row r="111" spans="1:4" ht="14.4" x14ac:dyDescent="0.3">
      <c r="A111"/>
      <c r="B111"/>
      <c r="C111"/>
      <c r="D111"/>
    </row>
    <row r="112" spans="1:4" ht="14.4" x14ac:dyDescent="0.3">
      <c r="A112"/>
      <c r="B112"/>
      <c r="C112"/>
      <c r="D112"/>
    </row>
    <row r="113" spans="1:4" ht="14.4" x14ac:dyDescent="0.3">
      <c r="A113"/>
      <c r="B113"/>
      <c r="C113"/>
      <c r="D113"/>
    </row>
    <row r="114" spans="1:4" ht="14.4" x14ac:dyDescent="0.3">
      <c r="A114"/>
      <c r="B114"/>
      <c r="C114"/>
      <c r="D114"/>
    </row>
    <row r="115" spans="1:4" ht="14.4" x14ac:dyDescent="0.3">
      <c r="A115"/>
      <c r="B115"/>
      <c r="C115"/>
      <c r="D115"/>
    </row>
    <row r="116" spans="1:4" ht="14.4" x14ac:dyDescent="0.3">
      <c r="A116"/>
      <c r="B116"/>
      <c r="C116"/>
      <c r="D116"/>
    </row>
    <row r="117" spans="1:4" ht="14.4" x14ac:dyDescent="0.3">
      <c r="A117"/>
      <c r="B117"/>
      <c r="C117"/>
      <c r="D117"/>
    </row>
    <row r="118" spans="1:4" ht="14.4" x14ac:dyDescent="0.3">
      <c r="A118"/>
      <c r="B118"/>
      <c r="C118"/>
      <c r="D118"/>
    </row>
    <row r="119" spans="1:4" ht="14.4" x14ac:dyDescent="0.3">
      <c r="A119"/>
      <c r="B119"/>
      <c r="C119"/>
      <c r="D119"/>
    </row>
    <row r="120" spans="1:4" ht="14.4" x14ac:dyDescent="0.3">
      <c r="A120"/>
      <c r="B120"/>
      <c r="C120"/>
      <c r="D120"/>
    </row>
    <row r="121" spans="1:4" ht="14.4" x14ac:dyDescent="0.3">
      <c r="A121"/>
      <c r="B121"/>
      <c r="C121"/>
      <c r="D121"/>
    </row>
    <row r="122" spans="1:4" ht="14.4" x14ac:dyDescent="0.3">
      <c r="A122"/>
      <c r="B122"/>
      <c r="C122"/>
      <c r="D122"/>
    </row>
    <row r="123" spans="1:4" ht="14.4" x14ac:dyDescent="0.3">
      <c r="A123"/>
      <c r="B123"/>
      <c r="C123"/>
      <c r="D123"/>
    </row>
    <row r="124" spans="1:4" ht="14.4" x14ac:dyDescent="0.3">
      <c r="A124"/>
      <c r="B124"/>
      <c r="C124"/>
      <c r="D124"/>
    </row>
    <row r="125" spans="1:4" ht="14.4" x14ac:dyDescent="0.3">
      <c r="A125"/>
      <c r="B125"/>
      <c r="C125"/>
      <c r="D125"/>
    </row>
    <row r="126" spans="1:4" ht="14.4" x14ac:dyDescent="0.3">
      <c r="A126"/>
      <c r="B126"/>
      <c r="C126"/>
      <c r="D126"/>
    </row>
    <row r="127" spans="1:4" ht="14.4" x14ac:dyDescent="0.3">
      <c r="A127"/>
      <c r="B127"/>
      <c r="C127"/>
      <c r="D127"/>
    </row>
    <row r="128" spans="1:4" ht="14.4" x14ac:dyDescent="0.3">
      <c r="A128"/>
      <c r="B128"/>
      <c r="C128"/>
      <c r="D128"/>
    </row>
    <row r="129" spans="1:4" ht="14.4" x14ac:dyDescent="0.3">
      <c r="A129"/>
      <c r="B129"/>
      <c r="C129"/>
      <c r="D129"/>
    </row>
    <row r="130" spans="1:4" ht="14.4" x14ac:dyDescent="0.3">
      <c r="A130"/>
      <c r="B130"/>
      <c r="C130"/>
      <c r="D130"/>
    </row>
    <row r="131" spans="1:4" ht="14.4" x14ac:dyDescent="0.3">
      <c r="A131"/>
      <c r="B131"/>
      <c r="C131"/>
      <c r="D131"/>
    </row>
    <row r="132" spans="1:4" ht="14.4" x14ac:dyDescent="0.3">
      <c r="A132"/>
      <c r="B132"/>
      <c r="C132"/>
      <c r="D132"/>
    </row>
    <row r="133" spans="1:4" ht="14.4" x14ac:dyDescent="0.3">
      <c r="A133"/>
      <c r="B133"/>
      <c r="C133"/>
      <c r="D133"/>
    </row>
    <row r="134" spans="1:4" ht="14.4" x14ac:dyDescent="0.3">
      <c r="A134"/>
      <c r="B134"/>
      <c r="C134"/>
      <c r="D134"/>
    </row>
    <row r="135" spans="1:4" ht="14.4" x14ac:dyDescent="0.3">
      <c r="A135"/>
      <c r="B135"/>
      <c r="C135"/>
      <c r="D135"/>
    </row>
    <row r="136" spans="1:4" ht="14.4" x14ac:dyDescent="0.3">
      <c r="A136"/>
      <c r="B136"/>
      <c r="C136"/>
      <c r="D136"/>
    </row>
    <row r="137" spans="1:4" ht="14.4" x14ac:dyDescent="0.3">
      <c r="A137"/>
      <c r="B137"/>
      <c r="C137"/>
      <c r="D137"/>
    </row>
    <row r="138" spans="1:4" ht="14.4" x14ac:dyDescent="0.3">
      <c r="A138"/>
      <c r="B138"/>
      <c r="C138"/>
      <c r="D138"/>
    </row>
    <row r="139" spans="1:4" ht="14.4" x14ac:dyDescent="0.3">
      <c r="A139"/>
      <c r="B139"/>
      <c r="C139"/>
      <c r="D139"/>
    </row>
    <row r="140" spans="1:4" ht="14.4" x14ac:dyDescent="0.3">
      <c r="A140"/>
      <c r="B140"/>
      <c r="C140"/>
      <c r="D140"/>
    </row>
    <row r="141" spans="1:4" ht="14.4" x14ac:dyDescent="0.3">
      <c r="A141"/>
      <c r="B141"/>
      <c r="C141"/>
      <c r="D141"/>
    </row>
    <row r="142" spans="1:4" ht="14.4" x14ac:dyDescent="0.3">
      <c r="A142"/>
      <c r="B142"/>
      <c r="C142"/>
      <c r="D142"/>
    </row>
    <row r="143" spans="1:4" ht="14.4" x14ac:dyDescent="0.3">
      <c r="A143"/>
      <c r="B143"/>
      <c r="C143"/>
      <c r="D143"/>
    </row>
    <row r="144" spans="1:4" ht="14.4" x14ac:dyDescent="0.3">
      <c r="A144"/>
      <c r="B144"/>
      <c r="C144"/>
      <c r="D144"/>
    </row>
    <row r="145" spans="1:4" ht="14.4" x14ac:dyDescent="0.3">
      <c r="A145"/>
      <c r="B145"/>
      <c r="C145"/>
      <c r="D145"/>
    </row>
    <row r="146" spans="1:4" ht="14.4" x14ac:dyDescent="0.3">
      <c r="A146"/>
      <c r="B146"/>
      <c r="C146"/>
      <c r="D146"/>
    </row>
    <row r="147" spans="1:4" ht="14.4" x14ac:dyDescent="0.3">
      <c r="A147"/>
      <c r="B147"/>
      <c r="C147"/>
      <c r="D147"/>
    </row>
    <row r="148" spans="1:4" ht="14.4" x14ac:dyDescent="0.3">
      <c r="A148"/>
      <c r="B148"/>
      <c r="C148"/>
      <c r="D148"/>
    </row>
    <row r="149" spans="1:4" ht="14.4" x14ac:dyDescent="0.3">
      <c r="A149"/>
      <c r="B149"/>
      <c r="C149"/>
      <c r="D149"/>
    </row>
    <row r="150" spans="1:4" ht="14.4" x14ac:dyDescent="0.3">
      <c r="A150"/>
      <c r="B150"/>
      <c r="C150"/>
      <c r="D150"/>
    </row>
    <row r="151" spans="1:4" ht="14.4" x14ac:dyDescent="0.3">
      <c r="A151"/>
      <c r="B151"/>
      <c r="C151"/>
      <c r="D151"/>
    </row>
    <row r="152" spans="1:4" ht="14.4" x14ac:dyDescent="0.3">
      <c r="A152"/>
      <c r="B152"/>
      <c r="C152"/>
      <c r="D152"/>
    </row>
    <row r="153" spans="1:4" ht="14.4" x14ac:dyDescent="0.3">
      <c r="A153"/>
      <c r="B153"/>
      <c r="C153"/>
      <c r="D153"/>
    </row>
    <row r="154" spans="1:4" ht="14.4" x14ac:dyDescent="0.3">
      <c r="A154"/>
      <c r="B154"/>
      <c r="C154"/>
      <c r="D154"/>
    </row>
    <row r="155" spans="1:4" ht="14.4" x14ac:dyDescent="0.3">
      <c r="A155"/>
      <c r="B155"/>
      <c r="C155"/>
      <c r="D155"/>
    </row>
    <row r="156" spans="1:4" ht="14.4" x14ac:dyDescent="0.3">
      <c r="A156"/>
      <c r="B156"/>
      <c r="C156"/>
      <c r="D156"/>
    </row>
    <row r="157" spans="1:4" ht="14.4" x14ac:dyDescent="0.3">
      <c r="A157"/>
      <c r="B157"/>
      <c r="C157"/>
      <c r="D157"/>
    </row>
    <row r="158" spans="1:4" ht="14.4" x14ac:dyDescent="0.3">
      <c r="A158"/>
      <c r="B158"/>
      <c r="C158"/>
      <c r="D158"/>
    </row>
    <row r="159" spans="1:4" ht="14.4" x14ac:dyDescent="0.3">
      <c r="A159"/>
      <c r="B159"/>
      <c r="C159"/>
      <c r="D159"/>
    </row>
    <row r="160" spans="1:4" ht="14.4" x14ac:dyDescent="0.3">
      <c r="A160"/>
      <c r="B160"/>
      <c r="C160"/>
      <c r="D160"/>
    </row>
    <row r="161" spans="1:4" ht="14.4" x14ac:dyDescent="0.3">
      <c r="A161"/>
      <c r="B161"/>
      <c r="C161"/>
      <c r="D161"/>
    </row>
    <row r="162" spans="1:4" ht="14.4" x14ac:dyDescent="0.3">
      <c r="A162"/>
      <c r="B162"/>
      <c r="C162"/>
      <c r="D162"/>
    </row>
    <row r="163" spans="1:4" ht="14.4" x14ac:dyDescent="0.3">
      <c r="A163"/>
      <c r="B163"/>
      <c r="C163"/>
      <c r="D163"/>
    </row>
    <row r="164" spans="1:4" ht="14.4" x14ac:dyDescent="0.3">
      <c r="A164"/>
      <c r="B164"/>
      <c r="C164"/>
      <c r="D164"/>
    </row>
    <row r="165" spans="1:4" ht="14.4" x14ac:dyDescent="0.3">
      <c r="A165"/>
      <c r="B165"/>
      <c r="C165"/>
      <c r="D165"/>
    </row>
    <row r="166" spans="1:4" ht="14.4" x14ac:dyDescent="0.3">
      <c r="A166"/>
      <c r="B166"/>
      <c r="C166"/>
      <c r="D166"/>
    </row>
    <row r="167" spans="1:4" ht="14.4" x14ac:dyDescent="0.3">
      <c r="A167"/>
      <c r="B167"/>
      <c r="C167"/>
      <c r="D167"/>
    </row>
    <row r="168" spans="1:4" ht="14.4" x14ac:dyDescent="0.3">
      <c r="A168"/>
      <c r="B168"/>
      <c r="C168"/>
      <c r="D168"/>
    </row>
    <row r="169" spans="1:4" ht="14.4" x14ac:dyDescent="0.3">
      <c r="A169"/>
      <c r="B169"/>
      <c r="C169"/>
      <c r="D169"/>
    </row>
    <row r="170" spans="1:4" ht="14.4" x14ac:dyDescent="0.3">
      <c r="A170"/>
      <c r="B170"/>
      <c r="C170"/>
      <c r="D170"/>
    </row>
    <row r="171" spans="1:4" ht="14.4" x14ac:dyDescent="0.3">
      <c r="A171"/>
      <c r="B171"/>
      <c r="C171"/>
      <c r="D171"/>
    </row>
    <row r="172" spans="1:4" ht="14.4" x14ac:dyDescent="0.3">
      <c r="A172"/>
      <c r="B172"/>
      <c r="C172"/>
      <c r="D172"/>
    </row>
    <row r="173" spans="1:4" ht="14.4" x14ac:dyDescent="0.3">
      <c r="A173"/>
      <c r="B173"/>
      <c r="C173"/>
      <c r="D173"/>
    </row>
    <row r="174" spans="1:4" ht="14.4" x14ac:dyDescent="0.3">
      <c r="A174"/>
      <c r="B174"/>
      <c r="C174"/>
      <c r="D174"/>
    </row>
    <row r="175" spans="1:4" ht="14.4" x14ac:dyDescent="0.3">
      <c r="A175"/>
      <c r="B175"/>
      <c r="C175"/>
      <c r="D175"/>
    </row>
    <row r="176" spans="1:4" ht="14.4" x14ac:dyDescent="0.3">
      <c r="A176"/>
      <c r="B176"/>
      <c r="C176"/>
      <c r="D176"/>
    </row>
    <row r="177" spans="1:4" ht="14.4" x14ac:dyDescent="0.3">
      <c r="A177"/>
      <c r="B177"/>
      <c r="C177"/>
      <c r="D177"/>
    </row>
    <row r="178" spans="1:4" ht="14.4" x14ac:dyDescent="0.3">
      <c r="A178"/>
      <c r="B178"/>
      <c r="C178"/>
      <c r="D178"/>
    </row>
    <row r="179" spans="1:4" ht="14.4" x14ac:dyDescent="0.3">
      <c r="A179"/>
      <c r="B179"/>
      <c r="C179"/>
      <c r="D179"/>
    </row>
    <row r="180" spans="1:4" ht="14.4" x14ac:dyDescent="0.3">
      <c r="A180"/>
      <c r="B180"/>
      <c r="C180"/>
      <c r="D180"/>
    </row>
    <row r="181" spans="1:4" ht="14.4" x14ac:dyDescent="0.3">
      <c r="A181"/>
      <c r="B181"/>
      <c r="C181"/>
      <c r="D181"/>
    </row>
    <row r="182" spans="1:4" ht="14.4" x14ac:dyDescent="0.3">
      <c r="A182"/>
      <c r="B182"/>
      <c r="C182"/>
      <c r="D182"/>
    </row>
    <row r="183" spans="1:4" ht="14.4" x14ac:dyDescent="0.3">
      <c r="A183"/>
      <c r="B183"/>
      <c r="C183"/>
      <c r="D183"/>
    </row>
    <row r="184" spans="1:4" ht="14.4" x14ac:dyDescent="0.3">
      <c r="A184"/>
      <c r="B184"/>
      <c r="C184"/>
      <c r="D184"/>
    </row>
    <row r="185" spans="1:4" ht="14.4" x14ac:dyDescent="0.3">
      <c r="A185"/>
      <c r="B185"/>
      <c r="C185"/>
      <c r="D185"/>
    </row>
    <row r="186" spans="1:4" ht="14.4" x14ac:dyDescent="0.3">
      <c r="A186"/>
      <c r="B186"/>
      <c r="C186"/>
      <c r="D186"/>
    </row>
    <row r="187" spans="1:4" ht="14.4" x14ac:dyDescent="0.3">
      <c r="A187"/>
      <c r="B187"/>
      <c r="C187"/>
      <c r="D187"/>
    </row>
    <row r="188" spans="1:4" ht="14.4" x14ac:dyDescent="0.3">
      <c r="A188"/>
      <c r="B188"/>
      <c r="C188"/>
      <c r="D188"/>
    </row>
    <row r="189" spans="1:4" ht="14.4" x14ac:dyDescent="0.3">
      <c r="A189"/>
      <c r="B189"/>
      <c r="C189"/>
      <c r="D189"/>
    </row>
    <row r="190" spans="1:4" ht="14.4" x14ac:dyDescent="0.3">
      <c r="A190"/>
      <c r="B190"/>
      <c r="C190"/>
      <c r="D190"/>
    </row>
    <row r="191" spans="1:4" ht="14.4" x14ac:dyDescent="0.3">
      <c r="A191"/>
      <c r="B191"/>
      <c r="C191"/>
      <c r="D191"/>
    </row>
    <row r="192" spans="1:4" ht="14.4" x14ac:dyDescent="0.3">
      <c r="A192"/>
      <c r="B192"/>
      <c r="C192"/>
      <c r="D192"/>
    </row>
    <row r="193" spans="1:4" ht="14.4" x14ac:dyDescent="0.3">
      <c r="A193"/>
      <c r="B193"/>
      <c r="C193"/>
      <c r="D193"/>
    </row>
    <row r="194" spans="1:4" ht="14.4" x14ac:dyDescent="0.3">
      <c r="A194"/>
      <c r="B194"/>
      <c r="C194"/>
      <c r="D194"/>
    </row>
    <row r="195" spans="1:4" ht="14.4" x14ac:dyDescent="0.3">
      <c r="A195"/>
      <c r="B195"/>
      <c r="C195"/>
      <c r="D195"/>
    </row>
    <row r="196" spans="1:4" ht="14.4" x14ac:dyDescent="0.3">
      <c r="A196"/>
      <c r="B196"/>
      <c r="C196"/>
      <c r="D196"/>
    </row>
    <row r="197" spans="1:4" ht="14.4" x14ac:dyDescent="0.3">
      <c r="A197"/>
      <c r="B197"/>
      <c r="C197"/>
      <c r="D197"/>
    </row>
    <row r="198" spans="1:4" ht="14.4" x14ac:dyDescent="0.3">
      <c r="A198"/>
      <c r="B198"/>
      <c r="C198"/>
      <c r="D198"/>
    </row>
    <row r="199" spans="1:4" ht="14.4" x14ac:dyDescent="0.3">
      <c r="A199"/>
      <c r="B199"/>
      <c r="C199"/>
      <c r="D199"/>
    </row>
    <row r="200" spans="1:4" ht="14.4" x14ac:dyDescent="0.3">
      <c r="A200"/>
      <c r="B200"/>
      <c r="C200"/>
      <c r="D200"/>
    </row>
    <row r="201" spans="1:4" ht="14.4" x14ac:dyDescent="0.3">
      <c r="A201"/>
      <c r="B201"/>
      <c r="C201"/>
      <c r="D201"/>
    </row>
    <row r="202" spans="1:4" ht="14.4" x14ac:dyDescent="0.3">
      <c r="A202"/>
      <c r="B202"/>
      <c r="C202"/>
      <c r="D202"/>
    </row>
    <row r="203" spans="1:4" ht="14.4" x14ac:dyDescent="0.3">
      <c r="A203"/>
      <c r="B203"/>
      <c r="C203"/>
      <c r="D203"/>
    </row>
    <row r="204" spans="1:4" ht="14.4" x14ac:dyDescent="0.3">
      <c r="A204"/>
      <c r="B204"/>
      <c r="C204"/>
      <c r="D204"/>
    </row>
    <row r="205" spans="1:4" ht="14.4" x14ac:dyDescent="0.3">
      <c r="A205"/>
      <c r="B205"/>
      <c r="C205"/>
      <c r="D205"/>
    </row>
    <row r="206" spans="1:4" ht="14.4" x14ac:dyDescent="0.3">
      <c r="A206"/>
      <c r="B206"/>
      <c r="C206"/>
      <c r="D206"/>
    </row>
    <row r="207" spans="1:4" ht="14.4" x14ac:dyDescent="0.3">
      <c r="A207"/>
      <c r="B207"/>
      <c r="C207"/>
      <c r="D207"/>
    </row>
    <row r="208" spans="1:4" ht="14.4" x14ac:dyDescent="0.3">
      <c r="A208"/>
      <c r="B208"/>
      <c r="C208"/>
      <c r="D208"/>
    </row>
    <row r="209" spans="1:4" ht="14.4" x14ac:dyDescent="0.3">
      <c r="A209"/>
      <c r="B209"/>
      <c r="C209"/>
      <c r="D209"/>
    </row>
    <row r="210" spans="1:4" ht="14.4" x14ac:dyDescent="0.3">
      <c r="A210"/>
      <c r="B210"/>
      <c r="C210"/>
      <c r="D210"/>
    </row>
    <row r="211" spans="1:4" ht="14.4" x14ac:dyDescent="0.3">
      <c r="A211"/>
      <c r="B211"/>
      <c r="C211"/>
      <c r="D211"/>
    </row>
    <row r="212" spans="1:4" ht="14.4" x14ac:dyDescent="0.3">
      <c r="A212"/>
      <c r="B212"/>
      <c r="C212"/>
      <c r="D212"/>
    </row>
    <row r="213" spans="1:4" ht="14.4" x14ac:dyDescent="0.3">
      <c r="A213"/>
      <c r="B213"/>
      <c r="C213"/>
      <c r="D213"/>
    </row>
    <row r="214" spans="1:4" ht="14.4" x14ac:dyDescent="0.3">
      <c r="A214"/>
      <c r="B214"/>
      <c r="C214"/>
      <c r="D214"/>
    </row>
    <row r="215" spans="1:4" ht="14.4" x14ac:dyDescent="0.3">
      <c r="A215"/>
      <c r="B215"/>
      <c r="C215"/>
      <c r="D215"/>
    </row>
    <row r="216" spans="1:4" ht="14.4" x14ac:dyDescent="0.3">
      <c r="A216"/>
      <c r="B216"/>
      <c r="C216"/>
      <c r="D216"/>
    </row>
    <row r="217" spans="1:4" ht="14.4" x14ac:dyDescent="0.3">
      <c r="A217"/>
      <c r="B217"/>
      <c r="C217"/>
      <c r="D217"/>
    </row>
    <row r="218" spans="1:4" ht="14.4" x14ac:dyDescent="0.3">
      <c r="A218"/>
      <c r="B218"/>
      <c r="C218"/>
      <c r="D218"/>
    </row>
    <row r="219" spans="1:4" ht="14.4" x14ac:dyDescent="0.3">
      <c r="A219"/>
      <c r="B219"/>
      <c r="C219"/>
      <c r="D219"/>
    </row>
    <row r="220" spans="1:4" ht="14.4" x14ac:dyDescent="0.3">
      <c r="A220"/>
      <c r="B220"/>
      <c r="C220"/>
      <c r="D220"/>
    </row>
    <row r="221" spans="1:4" ht="14.4" x14ac:dyDescent="0.3">
      <c r="A221"/>
      <c r="B221"/>
      <c r="C221"/>
      <c r="D221"/>
    </row>
    <row r="222" spans="1:4" ht="14.4" x14ac:dyDescent="0.3">
      <c r="A222"/>
      <c r="B222"/>
      <c r="C222"/>
      <c r="D222"/>
    </row>
    <row r="223" spans="1:4" ht="14.4" x14ac:dyDescent="0.3">
      <c r="A223"/>
      <c r="B223"/>
      <c r="C223"/>
      <c r="D223"/>
    </row>
    <row r="224" spans="1:4" ht="14.4" x14ac:dyDescent="0.3">
      <c r="A224"/>
      <c r="B224"/>
      <c r="C224"/>
      <c r="D224"/>
    </row>
    <row r="225" spans="1:4" ht="14.4" x14ac:dyDescent="0.3">
      <c r="A225"/>
      <c r="B225"/>
      <c r="C225"/>
      <c r="D225"/>
    </row>
    <row r="226" spans="1:4" ht="14.4" x14ac:dyDescent="0.3">
      <c r="A226"/>
      <c r="B226"/>
      <c r="C226"/>
      <c r="D226"/>
    </row>
    <row r="227" spans="1:4" ht="14.4" x14ac:dyDescent="0.3">
      <c r="A227"/>
      <c r="B227"/>
      <c r="C227"/>
      <c r="D227"/>
    </row>
    <row r="228" spans="1:4" ht="14.4" x14ac:dyDescent="0.3">
      <c r="A228"/>
      <c r="B228"/>
      <c r="C228"/>
      <c r="D228"/>
    </row>
    <row r="229" spans="1:4" ht="14.4" x14ac:dyDescent="0.3">
      <c r="A229"/>
      <c r="B229"/>
      <c r="C229"/>
      <c r="D229"/>
    </row>
    <row r="230" spans="1:4" ht="14.4" x14ac:dyDescent="0.3">
      <c r="A230"/>
      <c r="B230"/>
      <c r="C230"/>
      <c r="D230"/>
    </row>
    <row r="231" spans="1:4" ht="14.4" x14ac:dyDescent="0.3">
      <c r="A231"/>
      <c r="B231"/>
      <c r="C231"/>
      <c r="D231"/>
    </row>
    <row r="232" spans="1:4" ht="14.4" x14ac:dyDescent="0.3">
      <c r="A232"/>
      <c r="B232"/>
      <c r="C232"/>
      <c r="D232"/>
    </row>
    <row r="233" spans="1:4" ht="14.4" x14ac:dyDescent="0.3">
      <c r="A233"/>
      <c r="B233"/>
      <c r="C233"/>
      <c r="D233"/>
    </row>
    <row r="234" spans="1:4" ht="14.4" x14ac:dyDescent="0.3">
      <c r="A234"/>
      <c r="B234"/>
      <c r="C234"/>
      <c r="D234"/>
    </row>
    <row r="235" spans="1:4" ht="14.4" x14ac:dyDescent="0.3">
      <c r="A235"/>
      <c r="B235"/>
      <c r="C235"/>
      <c r="D235"/>
    </row>
    <row r="236" spans="1:4" ht="14.4" x14ac:dyDescent="0.3">
      <c r="A236"/>
      <c r="B236"/>
      <c r="C236"/>
      <c r="D236"/>
    </row>
    <row r="237" spans="1:4" ht="14.4" x14ac:dyDescent="0.3">
      <c r="A237"/>
      <c r="B237"/>
      <c r="C237"/>
      <c r="D237"/>
    </row>
    <row r="238" spans="1:4" ht="14.4" x14ac:dyDescent="0.3">
      <c r="A238"/>
      <c r="B238"/>
      <c r="C238"/>
      <c r="D238"/>
    </row>
    <row r="239" spans="1:4" ht="14.4" x14ac:dyDescent="0.3">
      <c r="A239"/>
      <c r="B239"/>
      <c r="C239"/>
      <c r="D239"/>
    </row>
    <row r="240" spans="1:4" ht="14.4" x14ac:dyDescent="0.3">
      <c r="A240"/>
      <c r="B240"/>
      <c r="C240"/>
      <c r="D240"/>
    </row>
    <row r="241" spans="1:4" ht="14.4" x14ac:dyDescent="0.3">
      <c r="A241"/>
      <c r="B241"/>
      <c r="C241"/>
      <c r="D241"/>
    </row>
    <row r="242" spans="1:4" ht="14.4" x14ac:dyDescent="0.3">
      <c r="A242"/>
      <c r="B242"/>
      <c r="C242"/>
      <c r="D242"/>
    </row>
    <row r="243" spans="1:4" ht="14.4" x14ac:dyDescent="0.3">
      <c r="A243"/>
      <c r="B243"/>
      <c r="C243"/>
      <c r="D243"/>
    </row>
    <row r="244" spans="1:4" ht="14.4" x14ac:dyDescent="0.3">
      <c r="A244"/>
      <c r="B244"/>
      <c r="C244"/>
      <c r="D244"/>
    </row>
    <row r="245" spans="1:4" ht="14.4" x14ac:dyDescent="0.3">
      <c r="A245"/>
      <c r="B245"/>
      <c r="C245"/>
      <c r="D245"/>
    </row>
    <row r="246" spans="1:4" ht="14.4" x14ac:dyDescent="0.3">
      <c r="A246"/>
      <c r="B246"/>
      <c r="C246"/>
      <c r="D246"/>
    </row>
    <row r="247" spans="1:4" ht="14.4" x14ac:dyDescent="0.3">
      <c r="A247"/>
      <c r="B247"/>
      <c r="C247"/>
      <c r="D247"/>
    </row>
    <row r="248" spans="1:4" ht="14.4" x14ac:dyDescent="0.3">
      <c r="A248"/>
      <c r="B248"/>
      <c r="C248"/>
      <c r="D248"/>
    </row>
    <row r="249" spans="1:4" ht="14.4" x14ac:dyDescent="0.3">
      <c r="A249"/>
      <c r="B249"/>
      <c r="C249"/>
      <c r="D249"/>
    </row>
    <row r="250" spans="1:4" ht="14.4" x14ac:dyDescent="0.3">
      <c r="A250"/>
      <c r="B250"/>
      <c r="C250"/>
      <c r="D250"/>
    </row>
    <row r="251" spans="1:4" ht="14.4" x14ac:dyDescent="0.3">
      <c r="A251"/>
      <c r="B251"/>
      <c r="C251"/>
      <c r="D251"/>
    </row>
    <row r="252" spans="1:4" ht="14.4" x14ac:dyDescent="0.3">
      <c r="A252"/>
      <c r="B252"/>
      <c r="C252"/>
      <c r="D252"/>
    </row>
    <row r="253" spans="1:4" ht="14.4" x14ac:dyDescent="0.3">
      <c r="A253"/>
      <c r="B253"/>
      <c r="C253"/>
      <c r="D253"/>
    </row>
    <row r="254" spans="1:4" ht="14.4" x14ac:dyDescent="0.3">
      <c r="A254"/>
      <c r="B254"/>
      <c r="C254"/>
      <c r="D254"/>
    </row>
    <row r="255" spans="1:4" ht="14.4" x14ac:dyDescent="0.3">
      <c r="A255"/>
      <c r="B255"/>
      <c r="C255"/>
      <c r="D255"/>
    </row>
    <row r="256" spans="1:4" ht="14.4" x14ac:dyDescent="0.3">
      <c r="A256"/>
      <c r="B256"/>
      <c r="C256"/>
      <c r="D256"/>
    </row>
    <row r="257" spans="1:4" ht="14.4" x14ac:dyDescent="0.3">
      <c r="A257"/>
      <c r="B257"/>
      <c r="C257"/>
      <c r="D257"/>
    </row>
    <row r="258" spans="1:4" ht="14.4" x14ac:dyDescent="0.3">
      <c r="A258"/>
      <c r="B258"/>
      <c r="C258"/>
      <c r="D258"/>
    </row>
    <row r="259" spans="1:4" ht="14.4" x14ac:dyDescent="0.3">
      <c r="A259"/>
      <c r="B259"/>
      <c r="C259"/>
      <c r="D259"/>
    </row>
    <row r="260" spans="1:4" ht="14.4" x14ac:dyDescent="0.3">
      <c r="A260"/>
      <c r="B260"/>
      <c r="C260"/>
      <c r="D260"/>
    </row>
    <row r="261" spans="1:4" ht="14.4" x14ac:dyDescent="0.3">
      <c r="A261"/>
      <c r="B261"/>
      <c r="C261"/>
      <c r="D261"/>
    </row>
    <row r="262" spans="1:4" ht="14.4" x14ac:dyDescent="0.3">
      <c r="A262"/>
      <c r="B262"/>
      <c r="C262"/>
      <c r="D262"/>
    </row>
    <row r="263" spans="1:4" ht="14.4" x14ac:dyDescent="0.3">
      <c r="A263"/>
      <c r="B263"/>
      <c r="C263"/>
      <c r="D263"/>
    </row>
    <row r="264" spans="1:4" ht="14.4" x14ac:dyDescent="0.3">
      <c r="A264"/>
      <c r="B264"/>
      <c r="C264"/>
      <c r="D264"/>
    </row>
    <row r="265" spans="1:4" ht="14.4" x14ac:dyDescent="0.3">
      <c r="A265"/>
      <c r="B265"/>
      <c r="C265"/>
      <c r="D265"/>
    </row>
    <row r="266" spans="1:4" ht="14.4" x14ac:dyDescent="0.3">
      <c r="A266"/>
      <c r="B266"/>
      <c r="C266"/>
      <c r="D266"/>
    </row>
    <row r="267" spans="1:4" ht="14.4" x14ac:dyDescent="0.3">
      <c r="A267"/>
      <c r="B267"/>
      <c r="C267"/>
      <c r="D267"/>
    </row>
    <row r="268" spans="1:4" ht="14.4" x14ac:dyDescent="0.3">
      <c r="A268"/>
      <c r="B268"/>
      <c r="C268"/>
      <c r="D268"/>
    </row>
    <row r="269" spans="1:4" ht="14.4" x14ac:dyDescent="0.3">
      <c r="A269"/>
      <c r="B269"/>
      <c r="C269"/>
      <c r="D269"/>
    </row>
    <row r="270" spans="1:4" ht="14.4" x14ac:dyDescent="0.3">
      <c r="A270"/>
      <c r="B270"/>
      <c r="C270"/>
      <c r="D270"/>
    </row>
    <row r="271" spans="1:4" ht="14.4" x14ac:dyDescent="0.3">
      <c r="A271"/>
      <c r="B271"/>
      <c r="C271"/>
      <c r="D271"/>
    </row>
    <row r="272" spans="1:4" ht="14.4" x14ac:dyDescent="0.3">
      <c r="A272"/>
      <c r="B272"/>
      <c r="C272"/>
      <c r="D272"/>
    </row>
    <row r="273" spans="1:4" ht="14.4" x14ac:dyDescent="0.3">
      <c r="A273"/>
      <c r="B273"/>
      <c r="C273"/>
      <c r="D273"/>
    </row>
    <row r="274" spans="1:4" ht="14.4" x14ac:dyDescent="0.3">
      <c r="A274"/>
      <c r="B274"/>
      <c r="C274"/>
      <c r="D274"/>
    </row>
    <row r="275" spans="1:4" ht="14.4" x14ac:dyDescent="0.3">
      <c r="A275"/>
      <c r="B275"/>
      <c r="C275"/>
      <c r="D275"/>
    </row>
    <row r="276" spans="1:4" ht="14.4" x14ac:dyDescent="0.3">
      <c r="A276"/>
      <c r="B276"/>
      <c r="C276"/>
      <c r="D276"/>
    </row>
    <row r="277" spans="1:4" ht="14.4" x14ac:dyDescent="0.3">
      <c r="A277"/>
      <c r="B277"/>
      <c r="C277"/>
      <c r="D277"/>
    </row>
    <row r="278" spans="1:4" ht="14.4" x14ac:dyDescent="0.3">
      <c r="A278"/>
      <c r="B278"/>
      <c r="C278"/>
      <c r="D278"/>
    </row>
    <row r="279" spans="1:4" ht="14.4" x14ac:dyDescent="0.3">
      <c r="A279"/>
      <c r="B279"/>
      <c r="C279"/>
      <c r="D279"/>
    </row>
    <row r="280" spans="1:4" ht="14.4" x14ac:dyDescent="0.3">
      <c r="A280"/>
      <c r="B280"/>
      <c r="C280"/>
      <c r="D280"/>
    </row>
    <row r="281" spans="1:4" ht="14.4" x14ac:dyDescent="0.3">
      <c r="A281"/>
      <c r="B281"/>
      <c r="C281"/>
      <c r="D281"/>
    </row>
    <row r="282" spans="1:4" ht="14.4" x14ac:dyDescent="0.3">
      <c r="A282"/>
      <c r="B282"/>
      <c r="C282"/>
      <c r="D282"/>
    </row>
    <row r="283" spans="1:4" ht="14.4" x14ac:dyDescent="0.3">
      <c r="A283"/>
      <c r="B283"/>
      <c r="C283"/>
      <c r="D283"/>
    </row>
    <row r="284" spans="1:4" ht="14.4" x14ac:dyDescent="0.3">
      <c r="A284"/>
      <c r="B284"/>
      <c r="C284"/>
      <c r="D284"/>
    </row>
    <row r="285" spans="1:4" ht="14.4" x14ac:dyDescent="0.3">
      <c r="A285"/>
      <c r="B285"/>
      <c r="C285"/>
      <c r="D285"/>
    </row>
    <row r="286" spans="1:4" ht="14.4" x14ac:dyDescent="0.3">
      <c r="A286"/>
      <c r="B286"/>
      <c r="C286"/>
      <c r="D286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Sheet1</vt:lpstr>
      <vt:lpstr>Hoja1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Sarmiento</cp:lastModifiedBy>
  <dcterms:created xsi:type="dcterms:W3CDTF">2026-03-17T18:39:31Z</dcterms:created>
  <dcterms:modified xsi:type="dcterms:W3CDTF">2026-03-26T18:38:47Z</dcterms:modified>
</cp:coreProperties>
</file>