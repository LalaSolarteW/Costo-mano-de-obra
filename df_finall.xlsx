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Documentos/GitHub/Costo mano de obra/"/>
    </mc:Choice>
  </mc:AlternateContent>
  <xr:revisionPtr revIDLastSave="41" documentId="11_4331D2B1D3F0D76CDB382F11595ED87656CAB93A" xr6:coauthVersionLast="47" xr6:coauthVersionMax="47" xr10:uidLastSave="{2709A667-C638-467C-AF6B-0C0CAD0A37C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7" i="1" l="1"/>
  <c r="V78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5" i="1"/>
  <c r="V46" i="1"/>
  <c r="V47" i="1"/>
  <c r="V48" i="1"/>
  <c r="V49" i="1"/>
  <c r="V50" i="1"/>
  <c r="V51" i="1"/>
  <c r="V39" i="1"/>
  <c r="V40" i="1"/>
  <c r="V41" i="1"/>
  <c r="V42" i="1"/>
  <c r="V43" i="1"/>
  <c r="V44" i="1"/>
  <c r="V188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79" i="1"/>
  <c r="V80" i="1"/>
  <c r="V81" i="1"/>
  <c r="V82" i="1"/>
  <c r="V83" i="1"/>
  <c r="V84" i="1"/>
  <c r="V85" i="1"/>
  <c r="V86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87" i="1"/>
  <c r="V88" i="1"/>
  <c r="V89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9" i="1"/>
  <c r="V190" i="1"/>
  <c r="V191" i="1"/>
  <c r="V192" i="1"/>
  <c r="V193" i="1"/>
  <c r="V194" i="1"/>
  <c r="V337" i="1"/>
  <c r="V338" i="1"/>
  <c r="V339" i="1"/>
  <c r="V340" i="1"/>
  <c r="V341" i="1"/>
  <c r="V342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334" i="1"/>
  <c r="V335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6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U77" i="1"/>
  <c r="U78" i="1"/>
  <c r="U2" i="1"/>
  <c r="W2" i="1" s="1"/>
  <c r="U3" i="1"/>
  <c r="W3" i="1" s="1"/>
  <c r="U4" i="1"/>
  <c r="W4" i="1" s="1"/>
  <c r="U5" i="1"/>
  <c r="W5" i="1" s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W18" i="1" s="1"/>
  <c r="U19" i="1"/>
  <c r="W19" i="1" s="1"/>
  <c r="U20" i="1"/>
  <c r="W20" i="1" s="1"/>
  <c r="U21" i="1"/>
  <c r="W21" i="1" s="1"/>
  <c r="U22" i="1"/>
  <c r="U23" i="1"/>
  <c r="W23" i="1" s="1"/>
  <c r="U24" i="1"/>
  <c r="U25" i="1"/>
  <c r="U26" i="1"/>
  <c r="U27" i="1"/>
  <c r="U28" i="1"/>
  <c r="U29" i="1"/>
  <c r="U30" i="1"/>
  <c r="U31" i="1"/>
  <c r="U32" i="1"/>
  <c r="U33" i="1"/>
  <c r="U34" i="1"/>
  <c r="W34" i="1" s="1"/>
  <c r="U35" i="1"/>
  <c r="W35" i="1" s="1"/>
  <c r="U36" i="1"/>
  <c r="W36" i="1" s="1"/>
  <c r="U37" i="1"/>
  <c r="W37" i="1" s="1"/>
  <c r="U38" i="1"/>
  <c r="U45" i="1"/>
  <c r="W45" i="1" s="1"/>
  <c r="U46" i="1"/>
  <c r="U47" i="1"/>
  <c r="U48" i="1"/>
  <c r="U49" i="1"/>
  <c r="U50" i="1"/>
  <c r="U51" i="1"/>
  <c r="U39" i="1"/>
  <c r="U40" i="1"/>
  <c r="U41" i="1"/>
  <c r="U42" i="1"/>
  <c r="U43" i="1"/>
  <c r="W43" i="1" s="1"/>
  <c r="U44" i="1"/>
  <c r="W44" i="1" s="1"/>
  <c r="U188" i="1"/>
  <c r="W188" i="1" s="1"/>
  <c r="U90" i="1"/>
  <c r="W90" i="1" s="1"/>
  <c r="U91" i="1"/>
  <c r="U92" i="1"/>
  <c r="W92" i="1" s="1"/>
  <c r="U93" i="1"/>
  <c r="U94" i="1"/>
  <c r="U95" i="1"/>
  <c r="U96" i="1"/>
  <c r="U97" i="1"/>
  <c r="U98" i="1"/>
  <c r="U99" i="1"/>
  <c r="U100" i="1"/>
  <c r="U101" i="1"/>
  <c r="U102" i="1"/>
  <c r="U103" i="1"/>
  <c r="W103" i="1" s="1"/>
  <c r="U104" i="1"/>
  <c r="W104" i="1" s="1"/>
  <c r="U105" i="1"/>
  <c r="W105" i="1" s="1"/>
  <c r="U106" i="1"/>
  <c r="W106" i="1" s="1"/>
  <c r="U107" i="1"/>
  <c r="U108" i="1"/>
  <c r="W108" i="1" s="1"/>
  <c r="U109" i="1"/>
  <c r="U110" i="1"/>
  <c r="U111" i="1"/>
  <c r="U112" i="1"/>
  <c r="U113" i="1"/>
  <c r="U114" i="1"/>
  <c r="U115" i="1"/>
  <c r="U116" i="1"/>
  <c r="U117" i="1"/>
  <c r="U118" i="1"/>
  <c r="U119" i="1"/>
  <c r="W119" i="1" s="1"/>
  <c r="U120" i="1"/>
  <c r="W120" i="1" s="1"/>
  <c r="U121" i="1"/>
  <c r="W121" i="1" s="1"/>
  <c r="U122" i="1"/>
  <c r="W122" i="1" s="1"/>
  <c r="U123" i="1"/>
  <c r="U124" i="1"/>
  <c r="W124" i="1" s="1"/>
  <c r="U125" i="1"/>
  <c r="U126" i="1"/>
  <c r="U127" i="1"/>
  <c r="U128" i="1"/>
  <c r="U129" i="1"/>
  <c r="U130" i="1"/>
  <c r="U131" i="1"/>
  <c r="U132" i="1"/>
  <c r="U79" i="1"/>
  <c r="U80" i="1"/>
  <c r="U81" i="1"/>
  <c r="W81" i="1" s="1"/>
  <c r="U82" i="1"/>
  <c r="W82" i="1" s="1"/>
  <c r="U83" i="1"/>
  <c r="W83" i="1" s="1"/>
  <c r="U84" i="1"/>
  <c r="W84" i="1" s="1"/>
  <c r="U85" i="1"/>
  <c r="U86" i="1"/>
  <c r="W86" i="1" s="1"/>
  <c r="U52" i="1"/>
  <c r="U53" i="1"/>
  <c r="U54" i="1"/>
  <c r="U55" i="1"/>
  <c r="U56" i="1"/>
  <c r="U57" i="1"/>
  <c r="U58" i="1"/>
  <c r="U59" i="1"/>
  <c r="U60" i="1"/>
  <c r="U61" i="1"/>
  <c r="U62" i="1"/>
  <c r="W62" i="1" s="1"/>
  <c r="U63" i="1"/>
  <c r="W63" i="1" s="1"/>
  <c r="U64" i="1"/>
  <c r="W64" i="1" s="1"/>
  <c r="U65" i="1"/>
  <c r="W65" i="1" s="1"/>
  <c r="U66" i="1"/>
  <c r="U67" i="1"/>
  <c r="W67" i="1" s="1"/>
  <c r="U68" i="1"/>
  <c r="U69" i="1"/>
  <c r="U70" i="1"/>
  <c r="U71" i="1"/>
  <c r="U72" i="1"/>
  <c r="U73" i="1"/>
  <c r="U74" i="1"/>
  <c r="U75" i="1"/>
  <c r="U76" i="1"/>
  <c r="U87" i="1"/>
  <c r="U88" i="1"/>
  <c r="W88" i="1" s="1"/>
  <c r="U89" i="1"/>
  <c r="W89" i="1" s="1"/>
  <c r="U133" i="1"/>
  <c r="W133" i="1" s="1"/>
  <c r="U134" i="1"/>
  <c r="W134" i="1" s="1"/>
  <c r="U135" i="1"/>
  <c r="U136" i="1"/>
  <c r="W136" i="1" s="1"/>
  <c r="U137" i="1"/>
  <c r="U138" i="1"/>
  <c r="U139" i="1"/>
  <c r="U140" i="1"/>
  <c r="U141" i="1"/>
  <c r="U142" i="1"/>
  <c r="U143" i="1"/>
  <c r="U144" i="1"/>
  <c r="U145" i="1"/>
  <c r="U146" i="1"/>
  <c r="U147" i="1"/>
  <c r="W147" i="1" s="1"/>
  <c r="U148" i="1"/>
  <c r="W148" i="1" s="1"/>
  <c r="U149" i="1"/>
  <c r="W149" i="1" s="1"/>
  <c r="U150" i="1"/>
  <c r="W150" i="1" s="1"/>
  <c r="U151" i="1"/>
  <c r="W151" i="1" s="1"/>
  <c r="U152" i="1"/>
  <c r="W152" i="1" s="1"/>
  <c r="U153" i="1"/>
  <c r="U154" i="1"/>
  <c r="U155" i="1"/>
  <c r="U156" i="1"/>
  <c r="U157" i="1"/>
  <c r="U158" i="1"/>
  <c r="U159" i="1"/>
  <c r="U160" i="1"/>
  <c r="U161" i="1"/>
  <c r="U162" i="1"/>
  <c r="U163" i="1"/>
  <c r="W163" i="1" s="1"/>
  <c r="U164" i="1"/>
  <c r="W164" i="1" s="1"/>
  <c r="U165" i="1"/>
  <c r="W165" i="1" s="1"/>
  <c r="U166" i="1"/>
  <c r="W166" i="1" s="1"/>
  <c r="U167" i="1"/>
  <c r="W167" i="1" s="1"/>
  <c r="U168" i="1"/>
  <c r="U169" i="1"/>
  <c r="U170" i="1"/>
  <c r="U171" i="1"/>
  <c r="U172" i="1"/>
  <c r="U173" i="1"/>
  <c r="U174" i="1"/>
  <c r="U175" i="1"/>
  <c r="U176" i="1"/>
  <c r="U177" i="1"/>
  <c r="W177" i="1" s="1"/>
  <c r="U178" i="1"/>
  <c r="U179" i="1"/>
  <c r="W179" i="1" s="1"/>
  <c r="U180" i="1"/>
  <c r="W180" i="1" s="1"/>
  <c r="U181" i="1"/>
  <c r="W181" i="1" s="1"/>
  <c r="U182" i="1"/>
  <c r="W182" i="1" s="1"/>
  <c r="U183" i="1"/>
  <c r="W183" i="1" s="1"/>
  <c r="U184" i="1"/>
  <c r="W184" i="1" s="1"/>
  <c r="U185" i="1"/>
  <c r="U186" i="1"/>
  <c r="U187" i="1"/>
  <c r="U189" i="1"/>
  <c r="U190" i="1"/>
  <c r="U191" i="1"/>
  <c r="U192" i="1"/>
  <c r="U193" i="1"/>
  <c r="U194" i="1"/>
  <c r="W194" i="1" s="1"/>
  <c r="U337" i="1"/>
  <c r="U338" i="1"/>
  <c r="W338" i="1" s="1"/>
  <c r="U339" i="1"/>
  <c r="W339" i="1" s="1"/>
  <c r="U340" i="1"/>
  <c r="W340" i="1" s="1"/>
  <c r="U341" i="1"/>
  <c r="W341" i="1" s="1"/>
  <c r="U342" i="1"/>
  <c r="W342" i="1" s="1"/>
  <c r="U195" i="1"/>
  <c r="W195" i="1" s="1"/>
  <c r="U196" i="1"/>
  <c r="U197" i="1"/>
  <c r="U198" i="1"/>
  <c r="U199" i="1"/>
  <c r="U200" i="1"/>
  <c r="U201" i="1"/>
  <c r="U202" i="1"/>
  <c r="U203" i="1"/>
  <c r="U204" i="1"/>
  <c r="W204" i="1" s="1"/>
  <c r="U205" i="1"/>
  <c r="U206" i="1"/>
  <c r="W206" i="1" s="1"/>
  <c r="U207" i="1"/>
  <c r="W207" i="1" s="1"/>
  <c r="U208" i="1"/>
  <c r="W208" i="1" s="1"/>
  <c r="U209" i="1"/>
  <c r="W209" i="1" s="1"/>
  <c r="U210" i="1"/>
  <c r="W210" i="1" s="1"/>
  <c r="U211" i="1"/>
  <c r="W211" i="1" s="1"/>
  <c r="U212" i="1"/>
  <c r="U213" i="1"/>
  <c r="U214" i="1"/>
  <c r="U215" i="1"/>
  <c r="U216" i="1"/>
  <c r="U217" i="1"/>
  <c r="U218" i="1"/>
  <c r="U219" i="1"/>
  <c r="U220" i="1"/>
  <c r="W220" i="1" s="1"/>
  <c r="U221" i="1"/>
  <c r="U222" i="1"/>
  <c r="W222" i="1" s="1"/>
  <c r="U223" i="1"/>
  <c r="W223" i="1" s="1"/>
  <c r="U224" i="1"/>
  <c r="W224" i="1" s="1"/>
  <c r="U225" i="1"/>
  <c r="W225" i="1" s="1"/>
  <c r="U226" i="1"/>
  <c r="W226" i="1" s="1"/>
  <c r="U227" i="1"/>
  <c r="W227" i="1" s="1"/>
  <c r="U228" i="1"/>
  <c r="U229" i="1"/>
  <c r="U230" i="1"/>
  <c r="U231" i="1"/>
  <c r="U232" i="1"/>
  <c r="U233" i="1"/>
  <c r="U234" i="1"/>
  <c r="U235" i="1"/>
  <c r="U236" i="1"/>
  <c r="W236" i="1" s="1"/>
  <c r="U237" i="1"/>
  <c r="U238" i="1"/>
  <c r="W238" i="1" s="1"/>
  <c r="U239" i="1"/>
  <c r="W239" i="1" s="1"/>
  <c r="U240" i="1"/>
  <c r="W240" i="1" s="1"/>
  <c r="U241" i="1"/>
  <c r="W241" i="1" s="1"/>
  <c r="U242" i="1"/>
  <c r="W242" i="1" s="1"/>
  <c r="U243" i="1"/>
  <c r="W243" i="1" s="1"/>
  <c r="U244" i="1"/>
  <c r="U245" i="1"/>
  <c r="U246" i="1"/>
  <c r="U247" i="1"/>
  <c r="U248" i="1"/>
  <c r="U249" i="1"/>
  <c r="U250" i="1"/>
  <c r="U251" i="1"/>
  <c r="U252" i="1"/>
  <c r="W252" i="1" s="1"/>
  <c r="U253" i="1"/>
  <c r="U254" i="1"/>
  <c r="W254" i="1" s="1"/>
  <c r="U255" i="1"/>
  <c r="W255" i="1" s="1"/>
  <c r="U256" i="1"/>
  <c r="W256" i="1" s="1"/>
  <c r="U257" i="1"/>
  <c r="W257" i="1" s="1"/>
  <c r="U258" i="1"/>
  <c r="W258" i="1" s="1"/>
  <c r="U259" i="1"/>
  <c r="U260" i="1"/>
  <c r="U261" i="1"/>
  <c r="U262" i="1"/>
  <c r="U263" i="1"/>
  <c r="U264" i="1"/>
  <c r="U265" i="1"/>
  <c r="U266" i="1"/>
  <c r="U267" i="1"/>
  <c r="U268" i="1"/>
  <c r="W268" i="1" s="1"/>
  <c r="U269" i="1"/>
  <c r="U270" i="1"/>
  <c r="W270" i="1" s="1"/>
  <c r="U271" i="1"/>
  <c r="W271" i="1" s="1"/>
  <c r="U272" i="1"/>
  <c r="W272" i="1" s="1"/>
  <c r="U273" i="1"/>
  <c r="W273" i="1" s="1"/>
  <c r="U274" i="1"/>
  <c r="W274" i="1" s="1"/>
  <c r="U275" i="1"/>
  <c r="W275" i="1" s="1"/>
  <c r="U276" i="1"/>
  <c r="U277" i="1"/>
  <c r="U278" i="1"/>
  <c r="U279" i="1"/>
  <c r="U280" i="1"/>
  <c r="U281" i="1"/>
  <c r="U282" i="1"/>
  <c r="U283" i="1"/>
  <c r="U284" i="1"/>
  <c r="W284" i="1" s="1"/>
  <c r="U285" i="1"/>
  <c r="U286" i="1"/>
  <c r="W286" i="1" s="1"/>
  <c r="U287" i="1"/>
  <c r="W287" i="1" s="1"/>
  <c r="U288" i="1"/>
  <c r="W288" i="1" s="1"/>
  <c r="U289" i="1"/>
  <c r="W289" i="1" s="1"/>
  <c r="U290" i="1"/>
  <c r="W290" i="1" s="1"/>
  <c r="U334" i="1"/>
  <c r="W334" i="1" s="1"/>
  <c r="U335" i="1"/>
  <c r="U291" i="1"/>
  <c r="U292" i="1"/>
  <c r="U293" i="1"/>
  <c r="U294" i="1"/>
  <c r="U295" i="1"/>
  <c r="U296" i="1"/>
  <c r="U297" i="1"/>
  <c r="U298" i="1"/>
  <c r="W298" i="1" s="1"/>
  <c r="U299" i="1"/>
  <c r="U300" i="1"/>
  <c r="W300" i="1" s="1"/>
  <c r="U301" i="1"/>
  <c r="W301" i="1" s="1"/>
  <c r="U302" i="1"/>
  <c r="W302" i="1" s="1"/>
  <c r="U303" i="1"/>
  <c r="W303" i="1" s="1"/>
  <c r="U304" i="1"/>
  <c r="W304" i="1" s="1"/>
  <c r="U305" i="1"/>
  <c r="W305" i="1" s="1"/>
  <c r="U306" i="1"/>
  <c r="U307" i="1"/>
  <c r="U308" i="1"/>
  <c r="U309" i="1"/>
  <c r="U310" i="1"/>
  <c r="U311" i="1"/>
  <c r="U312" i="1"/>
  <c r="U313" i="1"/>
  <c r="U314" i="1"/>
  <c r="W314" i="1" s="1"/>
  <c r="U315" i="1"/>
  <c r="U316" i="1"/>
  <c r="W316" i="1" s="1"/>
  <c r="U317" i="1"/>
  <c r="W317" i="1" s="1"/>
  <c r="U318" i="1"/>
  <c r="W318" i="1" s="1"/>
  <c r="U319" i="1"/>
  <c r="W319" i="1" s="1"/>
  <c r="U320" i="1"/>
  <c r="W320" i="1" s="1"/>
  <c r="U321" i="1"/>
  <c r="W321" i="1" s="1"/>
  <c r="U322" i="1"/>
  <c r="U323" i="1"/>
  <c r="W323" i="1" s="1"/>
  <c r="U324" i="1"/>
  <c r="U325" i="1"/>
  <c r="U326" i="1"/>
  <c r="U327" i="1"/>
  <c r="U328" i="1"/>
  <c r="U329" i="1"/>
  <c r="U330" i="1"/>
  <c r="W330" i="1" s="1"/>
  <c r="U331" i="1"/>
  <c r="U332" i="1"/>
  <c r="W332" i="1" s="1"/>
  <c r="U333" i="1"/>
  <c r="W333" i="1" s="1"/>
  <c r="U336" i="1"/>
  <c r="W336" i="1" s="1"/>
  <c r="U343" i="1"/>
  <c r="W343" i="1" s="1"/>
  <c r="U344" i="1"/>
  <c r="W344" i="1" s="1"/>
  <c r="U345" i="1"/>
  <c r="W345" i="1" s="1"/>
  <c r="U346" i="1"/>
  <c r="U347" i="1"/>
  <c r="W347" i="1" s="1"/>
  <c r="U348" i="1"/>
  <c r="U349" i="1"/>
  <c r="U350" i="1"/>
  <c r="U351" i="1"/>
  <c r="U352" i="1"/>
  <c r="U353" i="1"/>
  <c r="U354" i="1"/>
  <c r="W354" i="1" s="1"/>
  <c r="U355" i="1"/>
  <c r="U356" i="1"/>
  <c r="W356" i="1" s="1"/>
  <c r="U357" i="1"/>
  <c r="W357" i="1" s="1"/>
  <c r="U358" i="1"/>
  <c r="W358" i="1" s="1"/>
  <c r="U359" i="1"/>
  <c r="W359" i="1" s="1"/>
  <c r="U360" i="1"/>
  <c r="W360" i="1" s="1"/>
  <c r="U361" i="1"/>
  <c r="W361" i="1" s="1"/>
  <c r="U362" i="1"/>
  <c r="U363" i="1"/>
  <c r="W363" i="1" s="1"/>
  <c r="U376" i="1"/>
  <c r="U377" i="1"/>
  <c r="U378" i="1"/>
  <c r="U379" i="1"/>
  <c r="U380" i="1"/>
  <c r="U381" i="1"/>
  <c r="U382" i="1"/>
  <c r="W382" i="1" s="1"/>
  <c r="U383" i="1"/>
  <c r="U384" i="1"/>
  <c r="W384" i="1" s="1"/>
  <c r="U385" i="1"/>
  <c r="W385" i="1" s="1"/>
  <c r="U386" i="1"/>
  <c r="W386" i="1" s="1"/>
  <c r="U387" i="1"/>
  <c r="W387" i="1" s="1"/>
  <c r="U388" i="1"/>
  <c r="W388" i="1" s="1"/>
  <c r="U389" i="1"/>
  <c r="W389" i="1" s="1"/>
  <c r="U390" i="1"/>
  <c r="U391" i="1"/>
  <c r="W391" i="1" s="1"/>
  <c r="U392" i="1"/>
  <c r="U393" i="1"/>
  <c r="U364" i="1"/>
  <c r="U365" i="1"/>
  <c r="U366" i="1"/>
  <c r="U367" i="1"/>
  <c r="U368" i="1"/>
  <c r="W368" i="1" s="1"/>
  <c r="U369" i="1"/>
  <c r="U370" i="1"/>
  <c r="W370" i="1" s="1"/>
  <c r="U371" i="1"/>
  <c r="W371" i="1" s="1"/>
  <c r="U372" i="1"/>
  <c r="W372" i="1" s="1"/>
  <c r="U373" i="1"/>
  <c r="W373" i="1" s="1"/>
  <c r="U374" i="1"/>
  <c r="W374" i="1" s="1"/>
  <c r="U375" i="1"/>
  <c r="W375" i="1" s="1"/>
  <c r="U394" i="1"/>
  <c r="U395" i="1"/>
  <c r="W395" i="1" s="1"/>
  <c r="U396" i="1"/>
  <c r="U397" i="1"/>
  <c r="U398" i="1"/>
  <c r="U399" i="1"/>
  <c r="U400" i="1"/>
  <c r="U401" i="1"/>
  <c r="U402" i="1"/>
  <c r="W402" i="1" s="1"/>
  <c r="U403" i="1"/>
  <c r="U404" i="1"/>
  <c r="W404" i="1" s="1"/>
  <c r="U405" i="1"/>
  <c r="W405" i="1" s="1"/>
  <c r="U406" i="1"/>
  <c r="W406" i="1" s="1"/>
  <c r="U407" i="1"/>
  <c r="W407" i="1" s="1"/>
  <c r="U408" i="1"/>
  <c r="W408" i="1" s="1"/>
  <c r="U409" i="1"/>
  <c r="W409" i="1" s="1"/>
  <c r="U410" i="1"/>
  <c r="U411" i="1"/>
  <c r="W411" i="1" s="1"/>
  <c r="U412" i="1"/>
  <c r="U413" i="1"/>
  <c r="U414" i="1"/>
  <c r="U415" i="1"/>
  <c r="U416" i="1"/>
  <c r="U417" i="1"/>
  <c r="U418" i="1"/>
  <c r="W418" i="1" s="1"/>
  <c r="U419" i="1"/>
  <c r="U420" i="1"/>
  <c r="W420" i="1" s="1"/>
  <c r="U421" i="1"/>
  <c r="W421" i="1" s="1"/>
  <c r="U422" i="1"/>
  <c r="W422" i="1" s="1"/>
  <c r="U423" i="1"/>
  <c r="W423" i="1" s="1"/>
  <c r="U424" i="1"/>
  <c r="W424" i="1" s="1"/>
  <c r="U425" i="1"/>
  <c r="U426" i="1"/>
  <c r="U427" i="1"/>
  <c r="W427" i="1" s="1"/>
  <c r="U428" i="1"/>
  <c r="U429" i="1"/>
  <c r="U430" i="1"/>
  <c r="U431" i="1"/>
  <c r="U432" i="1"/>
  <c r="U433" i="1"/>
  <c r="U434" i="1"/>
  <c r="W434" i="1" s="1"/>
  <c r="U435" i="1"/>
  <c r="U436" i="1"/>
  <c r="W436" i="1" s="1"/>
  <c r="U437" i="1"/>
  <c r="W437" i="1" s="1"/>
  <c r="U438" i="1"/>
  <c r="W438" i="1" s="1"/>
  <c r="U439" i="1"/>
  <c r="W439" i="1" s="1"/>
  <c r="U440" i="1"/>
  <c r="W440" i="1" s="1"/>
  <c r="U441" i="1"/>
  <c r="W441" i="1" s="1"/>
  <c r="U442" i="1"/>
  <c r="U443" i="1"/>
  <c r="W443" i="1" s="1"/>
  <c r="U444" i="1"/>
  <c r="U445" i="1"/>
  <c r="U446" i="1"/>
  <c r="U447" i="1"/>
  <c r="U448" i="1"/>
  <c r="U449" i="1"/>
  <c r="U450" i="1"/>
  <c r="W450" i="1" s="1"/>
  <c r="U451" i="1"/>
  <c r="U452" i="1"/>
  <c r="W452" i="1" s="1"/>
  <c r="U453" i="1"/>
  <c r="W453" i="1" s="1"/>
  <c r="U454" i="1"/>
  <c r="W454" i="1" s="1"/>
  <c r="U455" i="1"/>
  <c r="W455" i="1" s="1"/>
  <c r="U456" i="1"/>
  <c r="W456" i="1" s="1"/>
  <c r="U457" i="1"/>
  <c r="W457" i="1" s="1"/>
  <c r="U458" i="1"/>
  <c r="U459" i="1"/>
  <c r="W459" i="1" s="1"/>
  <c r="U460" i="1"/>
  <c r="U461" i="1"/>
  <c r="U462" i="1"/>
  <c r="U463" i="1"/>
  <c r="U464" i="1"/>
  <c r="U465" i="1"/>
  <c r="U466" i="1"/>
  <c r="W466" i="1" s="1"/>
  <c r="U467" i="1"/>
  <c r="U468" i="1"/>
  <c r="W468" i="1" s="1"/>
  <c r="U469" i="1"/>
  <c r="W469" i="1" s="1"/>
  <c r="U470" i="1"/>
  <c r="W470" i="1" s="1"/>
  <c r="T77" i="1"/>
  <c r="T7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45" i="1"/>
  <c r="T46" i="1"/>
  <c r="T47" i="1"/>
  <c r="T48" i="1"/>
  <c r="T49" i="1"/>
  <c r="T50" i="1"/>
  <c r="T51" i="1"/>
  <c r="T39" i="1"/>
  <c r="T40" i="1"/>
  <c r="T41" i="1"/>
  <c r="T42" i="1"/>
  <c r="T43" i="1"/>
  <c r="T44" i="1"/>
  <c r="T188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79" i="1"/>
  <c r="T80" i="1"/>
  <c r="T81" i="1"/>
  <c r="T82" i="1"/>
  <c r="T83" i="1"/>
  <c r="T84" i="1"/>
  <c r="T85" i="1"/>
  <c r="T86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87" i="1"/>
  <c r="T88" i="1"/>
  <c r="T89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9" i="1"/>
  <c r="T190" i="1"/>
  <c r="T191" i="1"/>
  <c r="T192" i="1"/>
  <c r="T193" i="1"/>
  <c r="T194" i="1"/>
  <c r="T337" i="1"/>
  <c r="T338" i="1"/>
  <c r="T339" i="1"/>
  <c r="T340" i="1"/>
  <c r="T341" i="1"/>
  <c r="T342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334" i="1"/>
  <c r="T335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6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W465" i="1" l="1"/>
  <c r="W449" i="1"/>
  <c r="W433" i="1"/>
  <c r="W417" i="1"/>
  <c r="W401" i="1"/>
  <c r="W353" i="1"/>
  <c r="W251" i="1"/>
  <c r="W132" i="1"/>
  <c r="W116" i="1"/>
  <c r="W462" i="1"/>
  <c r="W446" i="1"/>
  <c r="W430" i="1"/>
  <c r="W414" i="1"/>
  <c r="W398" i="1"/>
  <c r="W364" i="1"/>
  <c r="W378" i="1"/>
  <c r="W350" i="1"/>
  <c r="W326" i="1"/>
  <c r="W310" i="1"/>
  <c r="W294" i="1"/>
  <c r="W280" i="1"/>
  <c r="W264" i="1"/>
  <c r="W248" i="1"/>
  <c r="W232" i="1"/>
  <c r="W216" i="1"/>
  <c r="W200" i="1"/>
  <c r="W190" i="1"/>
  <c r="W173" i="1"/>
  <c r="W157" i="1"/>
  <c r="W141" i="1"/>
  <c r="W72" i="1"/>
  <c r="W56" i="1"/>
  <c r="W129" i="1"/>
  <c r="W113" i="1"/>
  <c r="W97" i="1"/>
  <c r="W50" i="1"/>
  <c r="W28" i="1"/>
  <c r="W12" i="1"/>
  <c r="W461" i="1"/>
  <c r="W445" i="1"/>
  <c r="W429" i="1"/>
  <c r="W413" i="1"/>
  <c r="W397" i="1"/>
  <c r="W393" i="1"/>
  <c r="W377" i="1"/>
  <c r="W349" i="1"/>
  <c r="W325" i="1"/>
  <c r="W309" i="1"/>
  <c r="W293" i="1"/>
  <c r="W279" i="1"/>
  <c r="W263" i="1"/>
  <c r="W247" i="1"/>
  <c r="W231" i="1"/>
  <c r="W215" i="1"/>
  <c r="W199" i="1"/>
  <c r="W189" i="1"/>
  <c r="W172" i="1"/>
  <c r="W156" i="1"/>
  <c r="W71" i="1"/>
  <c r="W55" i="1"/>
  <c r="W128" i="1"/>
  <c r="W112" i="1"/>
  <c r="W96" i="1"/>
  <c r="W49" i="1"/>
  <c r="W27" i="1"/>
  <c r="W11" i="1"/>
  <c r="W140" i="1"/>
  <c r="W425" i="1"/>
  <c r="W259" i="1"/>
  <c r="W168" i="1"/>
  <c r="W467" i="1"/>
  <c r="W451" i="1"/>
  <c r="W435" i="1"/>
  <c r="W419" i="1"/>
  <c r="W403" i="1"/>
  <c r="W369" i="1"/>
  <c r="W383" i="1"/>
  <c r="W355" i="1"/>
  <c r="W331" i="1"/>
  <c r="W315" i="1"/>
  <c r="W299" i="1"/>
  <c r="W285" i="1"/>
  <c r="W269" i="1"/>
  <c r="W253" i="1"/>
  <c r="W237" i="1"/>
  <c r="W221" i="1"/>
  <c r="W205" i="1"/>
  <c r="W337" i="1"/>
  <c r="W178" i="1"/>
  <c r="W162" i="1"/>
  <c r="W146" i="1"/>
  <c r="W87" i="1"/>
  <c r="W61" i="1"/>
  <c r="W80" i="1"/>
  <c r="W118" i="1"/>
  <c r="W102" i="1"/>
  <c r="W42" i="1"/>
  <c r="W33" i="1"/>
  <c r="W17" i="1"/>
  <c r="W78" i="1"/>
  <c r="W161" i="1"/>
  <c r="W145" i="1"/>
  <c r="W76" i="1"/>
  <c r="W60" i="1"/>
  <c r="W79" i="1"/>
  <c r="W117" i="1"/>
  <c r="W101" i="1"/>
  <c r="W41" i="1"/>
  <c r="W32" i="1"/>
  <c r="W16" i="1"/>
  <c r="W77" i="1"/>
  <c r="W367" i="1"/>
  <c r="W381" i="1"/>
  <c r="W329" i="1"/>
  <c r="W313" i="1"/>
  <c r="W297" i="1"/>
  <c r="W283" i="1"/>
  <c r="W267" i="1"/>
  <c r="W235" i="1"/>
  <c r="W219" i="1"/>
  <c r="W203" i="1"/>
  <c r="W193" i="1"/>
  <c r="W176" i="1"/>
  <c r="W160" i="1"/>
  <c r="W144" i="1"/>
  <c r="W75" i="1"/>
  <c r="W59" i="1"/>
  <c r="W100" i="1"/>
  <c r="W40" i="1"/>
  <c r="W31" i="1"/>
  <c r="W15" i="1"/>
  <c r="W464" i="1"/>
  <c r="W448" i="1"/>
  <c r="W432" i="1"/>
  <c r="W416" i="1"/>
  <c r="W400" i="1"/>
  <c r="W366" i="1"/>
  <c r="W380" i="1"/>
  <c r="W352" i="1"/>
  <c r="W328" i="1"/>
  <c r="W312" i="1"/>
  <c r="W296" i="1"/>
  <c r="W282" i="1"/>
  <c r="W266" i="1"/>
  <c r="W250" i="1"/>
  <c r="W234" i="1"/>
  <c r="W218" i="1"/>
  <c r="W202" i="1"/>
  <c r="W192" i="1"/>
  <c r="W175" i="1"/>
  <c r="W159" i="1"/>
  <c r="W143" i="1"/>
  <c r="W74" i="1"/>
  <c r="W58" i="1"/>
  <c r="W131" i="1"/>
  <c r="W115" i="1"/>
  <c r="W99" i="1"/>
  <c r="W39" i="1"/>
  <c r="W30" i="1"/>
  <c r="W14" i="1"/>
  <c r="W463" i="1"/>
  <c r="W447" i="1"/>
  <c r="W431" i="1"/>
  <c r="W415" i="1"/>
  <c r="W399" i="1"/>
  <c r="W365" i="1"/>
  <c r="W379" i="1"/>
  <c r="W351" i="1"/>
  <c r="W327" i="1"/>
  <c r="W311" i="1"/>
  <c r="W295" i="1"/>
  <c r="W281" i="1"/>
  <c r="W265" i="1"/>
  <c r="W249" i="1"/>
  <c r="W233" i="1"/>
  <c r="W217" i="1"/>
  <c r="W201" i="1"/>
  <c r="W191" i="1"/>
  <c r="W174" i="1"/>
  <c r="W158" i="1"/>
  <c r="W142" i="1"/>
  <c r="W73" i="1"/>
  <c r="W57" i="1"/>
  <c r="W130" i="1"/>
  <c r="W114" i="1"/>
  <c r="W98" i="1"/>
  <c r="W51" i="1"/>
  <c r="W29" i="1"/>
  <c r="W13" i="1"/>
  <c r="W460" i="1"/>
  <c r="W444" i="1"/>
  <c r="W428" i="1"/>
  <c r="W412" i="1"/>
  <c r="W396" i="1"/>
  <c r="W392" i="1"/>
  <c r="W376" i="1"/>
  <c r="W348" i="1"/>
  <c r="W324" i="1"/>
  <c r="W308" i="1"/>
  <c r="W292" i="1"/>
  <c r="W278" i="1"/>
  <c r="W262" i="1"/>
  <c r="W246" i="1"/>
  <c r="W230" i="1"/>
  <c r="W214" i="1"/>
  <c r="W198" i="1"/>
  <c r="W187" i="1"/>
  <c r="W171" i="1"/>
  <c r="W155" i="1"/>
  <c r="W139" i="1"/>
  <c r="W70" i="1"/>
  <c r="W54" i="1"/>
  <c r="W127" i="1"/>
  <c r="W111" i="1"/>
  <c r="W95" i="1"/>
  <c r="W48" i="1"/>
  <c r="W26" i="1"/>
  <c r="W10" i="1"/>
  <c r="W307" i="1"/>
  <c r="W291" i="1"/>
  <c r="W277" i="1"/>
  <c r="W261" i="1"/>
  <c r="W245" i="1"/>
  <c r="W229" i="1"/>
  <c r="W213" i="1"/>
  <c r="W197" i="1"/>
  <c r="W186" i="1"/>
  <c r="W170" i="1"/>
  <c r="W154" i="1"/>
  <c r="W138" i="1"/>
  <c r="W69" i="1"/>
  <c r="W53" i="1"/>
  <c r="W126" i="1"/>
  <c r="W110" i="1"/>
  <c r="W94" i="1"/>
  <c r="W47" i="1"/>
  <c r="W25" i="1"/>
  <c r="W9" i="1"/>
  <c r="W458" i="1"/>
  <c r="W442" i="1"/>
  <c r="W426" i="1"/>
  <c r="W410" i="1"/>
  <c r="W394" i="1"/>
  <c r="W390" i="1"/>
  <c r="W362" i="1"/>
  <c r="W346" i="1"/>
  <c r="W322" i="1"/>
  <c r="W306" i="1"/>
  <c r="W335" i="1"/>
  <c r="W276" i="1"/>
  <c r="W260" i="1"/>
  <c r="W244" i="1"/>
  <c r="W228" i="1"/>
  <c r="W212" i="1"/>
  <c r="W196" i="1"/>
  <c r="W185" i="1"/>
  <c r="W169" i="1"/>
  <c r="W153" i="1"/>
  <c r="W137" i="1"/>
  <c r="W68" i="1"/>
  <c r="W52" i="1"/>
  <c r="W125" i="1"/>
  <c r="W109" i="1"/>
  <c r="W93" i="1"/>
  <c r="W46" i="1"/>
  <c r="W24" i="1"/>
  <c r="W8" i="1"/>
  <c r="W7" i="1"/>
  <c r="W135" i="1"/>
  <c r="W66" i="1"/>
  <c r="W85" i="1"/>
  <c r="W123" i="1"/>
  <c r="W107" i="1"/>
  <c r="W91" i="1"/>
  <c r="W38" i="1"/>
  <c r="W22" i="1"/>
  <c r="W6" i="1"/>
  <c r="W471" i="1" l="1"/>
</calcChain>
</file>

<file path=xl/sharedStrings.xml><?xml version="1.0" encoding="utf-8"?>
<sst xmlns="http://schemas.openxmlformats.org/spreadsheetml/2006/main" count="4711" uniqueCount="1608">
  <si>
    <t>Num-OP</t>
  </si>
  <si>
    <t>Secuencia</t>
  </si>
  <si>
    <t>OP-D</t>
  </si>
  <si>
    <t>OP Det</t>
  </si>
  <si>
    <t>Productos</t>
  </si>
  <si>
    <t>Cliente</t>
  </si>
  <si>
    <t>Fecha</t>
  </si>
  <si>
    <t>Id.</t>
  </si>
  <si>
    <t>Costeo_Producto</t>
  </si>
  <si>
    <t>Costeo</t>
  </si>
  <si>
    <t>Proceso Producción</t>
  </si>
  <si>
    <t>Producir</t>
  </si>
  <si>
    <t>OS-Cantidad</t>
  </si>
  <si>
    <t>Num OS</t>
  </si>
  <si>
    <t>Nombre del Comercial</t>
  </si>
  <si>
    <t>Categoría</t>
  </si>
  <si>
    <t>Total Precio Sin IVA</t>
  </si>
  <si>
    <t>costo_antes_iva</t>
  </si>
  <si>
    <t>OS-Valor Unitario</t>
  </si>
  <si>
    <t>6698-1</t>
  </si>
  <si>
    <t>6698-1-POLO MANGA LARGA</t>
  </si>
  <si>
    <t>POLO MANGA LARGA</t>
  </si>
  <si>
    <t>AECSA</t>
  </si>
  <si>
    <t>COS-0012655-2</t>
  </si>
  <si>
    <t>COS-0012655</t>
  </si>
  <si>
    <t>Bordado</t>
  </si>
  <si>
    <t>(np.int64(21625), np.int64(21624))</t>
  </si>
  <si>
    <t>Xiomara Aranda Perea</t>
  </si>
  <si>
    <t>Camiseta</t>
  </si>
  <si>
    <t>6698-2</t>
  </si>
  <si>
    <t>6698-2-POLO MANGA LARGA</t>
  </si>
  <si>
    <t>(np.int64(21626),)</t>
  </si>
  <si>
    <t>6696-10</t>
  </si>
  <si>
    <t>6696-10-Gorra seis cascos</t>
  </si>
  <si>
    <t>Gorra seis cascos</t>
  </si>
  <si>
    <t>NUTRESA</t>
  </si>
  <si>
    <t>COS-0012874-13</t>
  </si>
  <si>
    <t>COS-0012874</t>
  </si>
  <si>
    <t>(np.int64(21589),)</t>
  </si>
  <si>
    <t>Luis Guzman</t>
  </si>
  <si>
    <t>Gorra</t>
  </si>
  <si>
    <t>6696-11</t>
  </si>
  <si>
    <t>6696-11-Gorra seis cascos</t>
  </si>
  <si>
    <t>COS-0012874-14</t>
  </si>
  <si>
    <t>(np.int64(21590),)</t>
  </si>
  <si>
    <t>6696-12</t>
  </si>
  <si>
    <t>6696-12-Gorra seis cascos</t>
  </si>
  <si>
    <t>COS-0012874-16</t>
  </si>
  <si>
    <t>(np.int64(21591),)</t>
  </si>
  <si>
    <t>6694-10</t>
  </si>
  <si>
    <t>6694-10-BLUSA MANGA CORTA</t>
  </si>
  <si>
    <t>BLUSA MANGA CORTA</t>
  </si>
  <si>
    <t>COS-0012871-14</t>
  </si>
  <si>
    <t>COS-0012871</t>
  </si>
  <si>
    <t>(np.int64(21744),)</t>
  </si>
  <si>
    <t>Blusa</t>
  </si>
  <si>
    <t>6694-14</t>
  </si>
  <si>
    <t>6694-14-DELANTAL TIPO PETO</t>
  </si>
  <si>
    <t>DELANTAL TIPO PETO</t>
  </si>
  <si>
    <t>COS-0012871-28</t>
  </si>
  <si>
    <t>Confección</t>
  </si>
  <si>
    <t>(np.int64(21745),)</t>
  </si>
  <si>
    <t>Delantal</t>
  </si>
  <si>
    <t>6694-15</t>
  </si>
  <si>
    <t>6694-15-Gorra seis cascos</t>
  </si>
  <si>
    <t>COS-0012871-30</t>
  </si>
  <si>
    <t>(np.int64(21748),)</t>
  </si>
  <si>
    <t>6694-19</t>
  </si>
  <si>
    <t>6694-19-PANTALON RESORTADO CABALLERO</t>
  </si>
  <si>
    <t>PANTALON RESORTADO CABALLERO</t>
  </si>
  <si>
    <t>COS-0012871-36</t>
  </si>
  <si>
    <t>(np.int64(21753),)</t>
  </si>
  <si>
    <t>Pantalón</t>
  </si>
  <si>
    <t>6694-20</t>
  </si>
  <si>
    <t>6694-20-PANTALON RESORTADO CABALLERO</t>
  </si>
  <si>
    <t>COS-0012871-37</t>
  </si>
  <si>
    <t>(np.int64(21752),)</t>
  </si>
  <si>
    <t>6692-1</t>
  </si>
  <si>
    <t>6692-1-CAMISA MANGA LARGA</t>
  </si>
  <si>
    <t>CAMISA MANGA LARGA</t>
  </si>
  <si>
    <t>CLARO COLOMBIA</t>
  </si>
  <si>
    <t>COS-0012869-2</t>
  </si>
  <si>
    <t>COS-0012869</t>
  </si>
  <si>
    <t>(np.int64(21746),)</t>
  </si>
  <si>
    <t>Pilar Gómez</t>
  </si>
  <si>
    <t>Camisa</t>
  </si>
  <si>
    <t>Corte y Confeccion</t>
  </si>
  <si>
    <t>(np.int64(21769),)</t>
  </si>
  <si>
    <t>6690-1</t>
  </si>
  <si>
    <t>6690-1-CAMISA MANGA LARGA</t>
  </si>
  <si>
    <t>Grupo A</t>
  </si>
  <si>
    <t>COS-0012868-3</t>
  </si>
  <si>
    <t>COS-0012868</t>
  </si>
  <si>
    <t>(np.int64(21750),)</t>
  </si>
  <si>
    <t>6689-1</t>
  </si>
  <si>
    <t>6689-1-POLO MANGA CORTA</t>
  </si>
  <si>
    <t>POLO MANGA CORTA</t>
  </si>
  <si>
    <t>SITARA</t>
  </si>
  <si>
    <t>COS-0012866-2</t>
  </si>
  <si>
    <t>COS-0012866</t>
  </si>
  <si>
    <t>(np.int64(21670),)</t>
  </si>
  <si>
    <t>Geraldine Ruiz</t>
  </si>
  <si>
    <t>6689-2</t>
  </si>
  <si>
    <t>6689-2-HODDIE CERRADO</t>
  </si>
  <si>
    <t>HODDIE CERRADO</t>
  </si>
  <si>
    <t>COS-0012866-3</t>
  </si>
  <si>
    <t>(np.int64(21706),)</t>
  </si>
  <si>
    <t>Hoodie</t>
  </si>
  <si>
    <t>6688-2</t>
  </si>
  <si>
    <t>6688-2-HODDIE CERRADO</t>
  </si>
  <si>
    <t>COS-0012865-3</t>
  </si>
  <si>
    <t>COS-0012865</t>
  </si>
  <si>
    <t>(np.int64(21707),)</t>
  </si>
  <si>
    <t>6686-1</t>
  </si>
  <si>
    <t>6686-1-CAMISA MANGA LARGA</t>
  </si>
  <si>
    <t>OMNITEMPUS</t>
  </si>
  <si>
    <t>COS-0012861-55</t>
  </si>
  <si>
    <t>COS-0012861</t>
  </si>
  <si>
    <t>(np.int64(21510),)</t>
  </si>
  <si>
    <t>6682-3</t>
  </si>
  <si>
    <t>6682-3-Canguro</t>
  </si>
  <si>
    <t>Canguro</t>
  </si>
  <si>
    <t>TALMA COLOMBIA</t>
  </si>
  <si>
    <t>COS-0012837-3</t>
  </si>
  <si>
    <t>COS-0012837</t>
  </si>
  <si>
    <t>(np.int64(21475),)</t>
  </si>
  <si>
    <t>Frank Sanchez</t>
  </si>
  <si>
    <t>Otros</t>
  </si>
  <si>
    <t>6682-4</t>
  </si>
  <si>
    <t>6682-4-Pañoleta</t>
  </si>
  <si>
    <t>Pañoleta</t>
  </si>
  <si>
    <t>COS-0012837-4</t>
  </si>
  <si>
    <t>(np.int64(21742),)</t>
  </si>
  <si>
    <t>6682-6</t>
  </si>
  <si>
    <t>6682-6-Camibuzo</t>
  </si>
  <si>
    <t>Camibuzo</t>
  </si>
  <si>
    <t>COS-0011885-30</t>
  </si>
  <si>
    <t>COS-0011885</t>
  </si>
  <si>
    <t>Sublimación</t>
  </si>
  <si>
    <t>(np.int64(21700),)</t>
  </si>
  <si>
    <t>6681-1</t>
  </si>
  <si>
    <t>6681-1-PANTALÓN TIPO CALLE CABALLERO</t>
  </si>
  <si>
    <t>PANTALÓN TIPO CALLE CABALLERO</t>
  </si>
  <si>
    <t>MAXIALIMENTOS</t>
  </si>
  <si>
    <t>COS-0012842-2</t>
  </si>
  <si>
    <t>COS-0012842</t>
  </si>
  <si>
    <t>(np.int64(21764), np.int64(21550), np.int64(21529), np.int64(21524), np.int64(21498), np.int64(21490), np.int64(21486), np.int64(21478), np.int64(21455))</t>
  </si>
  <si>
    <t>6681-2</t>
  </si>
  <si>
    <t>6681-2-PANTALÓN  CALLE  DAMA</t>
  </si>
  <si>
    <t>PANTALÓN  CALLE  DAMA</t>
  </si>
  <si>
    <t>(np.int64(21650), np.int64(21551), np.int64(21539), np.int64(21530), np.int64(21525), np.int64(21499), np.int64(21491), np.int64(21487), np.int64(21479), np.int64(21457))</t>
  </si>
  <si>
    <t>6628-1</t>
  </si>
  <si>
    <t>6628-1-CAMISA MANGA LARGA</t>
  </si>
  <si>
    <t>COS-0012674-7</t>
  </si>
  <si>
    <t>COS-0012674</t>
  </si>
  <si>
    <t>(np.int64(21433),)</t>
  </si>
  <si>
    <t>(np.int64(21347),)</t>
  </si>
  <si>
    <t>6625-1</t>
  </si>
  <si>
    <t>6625-1-POLO MANGA CORTA</t>
  </si>
  <si>
    <t>ALBATEQ</t>
  </si>
  <si>
    <t>COS-0012675-2</t>
  </si>
  <si>
    <t>COS-0012675</t>
  </si>
  <si>
    <t>(np.int64(21469),)</t>
  </si>
  <si>
    <t>(np.int64(21335),)</t>
  </si>
  <si>
    <t>6625-2</t>
  </si>
  <si>
    <t>6625-2-CHAQUETA SPORT</t>
  </si>
  <si>
    <t>CHAQUETA SPORT</t>
  </si>
  <si>
    <t>COS-0012675-4</t>
  </si>
  <si>
    <t>(np.int64(21325), np.int64(21324))</t>
  </si>
  <si>
    <t>Chaqueta</t>
  </si>
  <si>
    <t>Estampado</t>
  </si>
  <si>
    <t>(np.int64(21471), np.int64(21470))</t>
  </si>
  <si>
    <t>6625-3</t>
  </si>
  <si>
    <t>6625-3-OVEROL ENTERIZO</t>
  </si>
  <si>
    <t>OVEROL ENTERIZO</t>
  </si>
  <si>
    <t>COS-0012675-5</t>
  </si>
  <si>
    <t>(np.int64(21385), np.int64(21384))</t>
  </si>
  <si>
    <t>Overol</t>
  </si>
  <si>
    <t>(np.int64(21513), np.int64(21512))</t>
  </si>
  <si>
    <t>6625-4</t>
  </si>
  <si>
    <t>6625-4-OVEROL ENTERIZO</t>
  </si>
  <si>
    <t>COS-0012675-6</t>
  </si>
  <si>
    <t>(np.int64(21338),)</t>
  </si>
  <si>
    <t>(np.int64(21514),)</t>
  </si>
  <si>
    <t>6625-5</t>
  </si>
  <si>
    <t>6625-5-OVEROL ENTERIZO</t>
  </si>
  <si>
    <t>COS-0012675-7</t>
  </si>
  <si>
    <t>(np.int64(21339),)</t>
  </si>
  <si>
    <t>(np.int64(21515),)</t>
  </si>
  <si>
    <t>6625-6</t>
  </si>
  <si>
    <t>6625-6-Overol Tipo Piloto</t>
  </si>
  <si>
    <t>Overol Tipo Piloto</t>
  </si>
  <si>
    <t>COS-0012675-8</t>
  </si>
  <si>
    <t>(np.int64(21558),)</t>
  </si>
  <si>
    <t>(np.int64(21740),)</t>
  </si>
  <si>
    <t>6625-7</t>
  </si>
  <si>
    <t>6625-7-Cofia</t>
  </si>
  <si>
    <t>Cofia</t>
  </si>
  <si>
    <t>COS-0012675-16</t>
  </si>
  <si>
    <t>(np.int64(21694),)</t>
  </si>
  <si>
    <t>6625-8</t>
  </si>
  <si>
    <t>6625-8-CHAQUETA SPORT</t>
  </si>
  <si>
    <t>COS-0012675-17</t>
  </si>
  <si>
    <t>(np.int64(21326),)</t>
  </si>
  <si>
    <t>(np.int64(21472),)</t>
  </si>
  <si>
    <t>6623-1</t>
  </si>
  <si>
    <t>6623-1-Sastre Femenino</t>
  </si>
  <si>
    <t>Sastre Femenino</t>
  </si>
  <si>
    <t>CLINICOS</t>
  </si>
  <si>
    <t>COS-0012671-2</t>
  </si>
  <si>
    <t>COS-0012671</t>
  </si>
  <si>
    <t>(np.int64(21303),)</t>
  </si>
  <si>
    <t>Sastre</t>
  </si>
  <si>
    <t>6623-2</t>
  </si>
  <si>
    <t>6623-2-Sastre Masculino</t>
  </si>
  <si>
    <t>Sastre Masculino</t>
  </si>
  <si>
    <t>COS-0012671-3</t>
  </si>
  <si>
    <t>(np.int64(21304),)</t>
  </si>
  <si>
    <t>6623-3</t>
  </si>
  <si>
    <t>6623-3-Sastre Femenino</t>
  </si>
  <si>
    <t>COS-0012671-4</t>
  </si>
  <si>
    <t>(np.int64(21305),)</t>
  </si>
  <si>
    <t>6623-4</t>
  </si>
  <si>
    <t>6623-4-PANTALÓN  CALLE  DAMA</t>
  </si>
  <si>
    <t>COS-0012671-5</t>
  </si>
  <si>
    <t>(np.int64(21392),)</t>
  </si>
  <si>
    <t>6623-5</t>
  </si>
  <si>
    <t>6623-5-PANTALÓN TIPO CALLE CABALLERO</t>
  </si>
  <si>
    <t>COS-0012671-6</t>
  </si>
  <si>
    <t>(np.int64(21393),)</t>
  </si>
  <si>
    <t>6623-6</t>
  </si>
  <si>
    <t>6623-6-camisa</t>
  </si>
  <si>
    <t>camisa</t>
  </si>
  <si>
    <t>COS-0012671-8</t>
  </si>
  <si>
    <t>(np.int64(21415),)</t>
  </si>
  <si>
    <t>6623-7</t>
  </si>
  <si>
    <t>6623-7-POLO MANGA CORTA</t>
  </si>
  <si>
    <t>COS-0012671-7</t>
  </si>
  <si>
    <t>(np.int64(21527),)</t>
  </si>
  <si>
    <t>6623-8</t>
  </si>
  <si>
    <t>6623-8-POLO MANGA CORTA</t>
  </si>
  <si>
    <t>(np.int64(21528),)</t>
  </si>
  <si>
    <t>6622-1</t>
  </si>
  <si>
    <t>6622-1-POLO MANGA CORTA</t>
  </si>
  <si>
    <t>COS-0012677-2</t>
  </si>
  <si>
    <t>COS-0012677</t>
  </si>
  <si>
    <t>(np.int64(21336),)</t>
  </si>
  <si>
    <t>(np.int64(21441),)</t>
  </si>
  <si>
    <t>6622-2</t>
  </si>
  <si>
    <t>6622-2-CHALECO PERIODISTA</t>
  </si>
  <si>
    <t>CHALECO PERIODISTA</t>
  </si>
  <si>
    <t>COS-0012677-3</t>
  </si>
  <si>
    <t>(np.int64(21363),)</t>
  </si>
  <si>
    <t>Chaleco</t>
  </si>
  <si>
    <t>6622-4</t>
  </si>
  <si>
    <t>6622-4-Gorra seis cascos</t>
  </si>
  <si>
    <t>COS-0012677-6</t>
  </si>
  <si>
    <t>(np.int64(21373),)</t>
  </si>
  <si>
    <t>6621-1</t>
  </si>
  <si>
    <t>6621-1-Gorro</t>
  </si>
  <si>
    <t>Gorro</t>
  </si>
  <si>
    <t>THE PUB S.A.S</t>
  </si>
  <si>
    <t>COS-0012371-2</t>
  </si>
  <si>
    <t>COS-0012371</t>
  </si>
  <si>
    <t>Paquete Completo</t>
  </si>
  <si>
    <t>(np.int64(21059),)</t>
  </si>
  <si>
    <t>6620-2</t>
  </si>
  <si>
    <t>6620-2-CAMISA MANGA LARGA</t>
  </si>
  <si>
    <t>COS-0012649-3</t>
  </si>
  <si>
    <t>COS-0012649</t>
  </si>
  <si>
    <t>(np.int64(21644),)</t>
  </si>
  <si>
    <t>(np.int64(21647),)</t>
  </si>
  <si>
    <t>6620-3</t>
  </si>
  <si>
    <t>6620-3-CAMISA MANGA LARGA</t>
  </si>
  <si>
    <t>COS-0012649-26</t>
  </si>
  <si>
    <t>(np.int64(21646), np.int64(21337))</t>
  </si>
  <si>
    <t>6620-4</t>
  </si>
  <si>
    <t>6620-4-Gorra Curva</t>
  </si>
  <si>
    <t>Gorra Curva</t>
  </si>
  <si>
    <t>COS-0012649-8</t>
  </si>
  <si>
    <t>(np.int64(21429),)</t>
  </si>
  <si>
    <t>(np.int64(21497),)</t>
  </si>
  <si>
    <t>6620-5</t>
  </si>
  <si>
    <t>6620-5-Gorra Curva</t>
  </si>
  <si>
    <t>COS-0012649-9</t>
  </si>
  <si>
    <t>(np.int64(21430),)</t>
  </si>
  <si>
    <t>6620-6</t>
  </si>
  <si>
    <t>6620-6-OVEROL DOS PIEZAS</t>
  </si>
  <si>
    <t>OVEROL DOS PIEZAS</t>
  </si>
  <si>
    <t>COS-0012649-10</t>
  </si>
  <si>
    <t>(np.int64(21642),)</t>
  </si>
  <si>
    <t>(np.int64(21671),)</t>
  </si>
  <si>
    <t>6620-9</t>
  </si>
  <si>
    <t>6620-9-BLAZER SASTRE</t>
  </si>
  <si>
    <t>BLAZER SASTRE</t>
  </si>
  <si>
    <t>COS-0012649-13</t>
  </si>
  <si>
    <t>(np.int64(21150),)</t>
  </si>
  <si>
    <t>(np.int64(21182),)</t>
  </si>
  <si>
    <t>6620-10</t>
  </si>
  <si>
    <t>6620-10-PANTALÓN SASTRE</t>
  </si>
  <si>
    <t>PANTALÓN SASTRE</t>
  </si>
  <si>
    <t>COS-0012649-14</t>
  </si>
  <si>
    <t>(np.int64(21151),)</t>
  </si>
  <si>
    <t>6620-12</t>
  </si>
  <si>
    <t>6620-12-CAMISA MANGA LARGA</t>
  </si>
  <si>
    <t>COS-0012649-15</t>
  </si>
  <si>
    <t>(np.int64(21508),)</t>
  </si>
  <si>
    <t>6620-13</t>
  </si>
  <si>
    <t>6620-13-CAMISA MANGA LARGA</t>
  </si>
  <si>
    <t>COS-0012649-16</t>
  </si>
  <si>
    <t>(np.int64(21509),)</t>
  </si>
  <si>
    <t>6620-14</t>
  </si>
  <si>
    <t>6620-14-CAMISA MANGA LARGA</t>
  </si>
  <si>
    <t>COS-0012649-17</t>
  </si>
  <si>
    <t>(np.int64(21639),)</t>
  </si>
  <si>
    <t>(np.int64(21648),)</t>
  </si>
  <si>
    <t>6620-15</t>
  </si>
  <si>
    <t>6620-15-CAMISA MANGA LARGA</t>
  </si>
  <si>
    <t>COS-0012649-18</t>
  </si>
  <si>
    <t>(np.int64(21645),)</t>
  </si>
  <si>
    <t>(np.int64(21649),)</t>
  </si>
  <si>
    <t>6620-16</t>
  </si>
  <si>
    <t>6620-16-CAMISA MANGA LARGA</t>
  </si>
  <si>
    <t>COS-0012649-19</t>
  </si>
  <si>
    <t>(np.int64(21621),)</t>
  </si>
  <si>
    <t>(np.int64(21712),)</t>
  </si>
  <si>
    <t>6620-17</t>
  </si>
  <si>
    <t>6620-17-CAMISA MANGA LARGA</t>
  </si>
  <si>
    <t>COS-0012649-21</t>
  </si>
  <si>
    <t>(np.int64(21620),)</t>
  </si>
  <si>
    <t>(np.int64(21713),)</t>
  </si>
  <si>
    <t>6620-18</t>
  </si>
  <si>
    <t>6620-18-CAMISA MANGA LARGA</t>
  </si>
  <si>
    <t>COS-0012649-23</t>
  </si>
  <si>
    <t>(np.int64(21523),)</t>
  </si>
  <si>
    <t>(np.int64(21709),)</t>
  </si>
  <si>
    <t>6620-19</t>
  </si>
  <si>
    <t>6620-19-CAMISA MANGA LARGA</t>
  </si>
  <si>
    <t>(np.int64(21741), np.int64(21488))</t>
  </si>
  <si>
    <t>(np.int64(21342),)</t>
  </si>
  <si>
    <t>6620-20</t>
  </si>
  <si>
    <t>6620-20-CAMISA MANGA LARGA</t>
  </si>
  <si>
    <t>COS-0012649-27</t>
  </si>
  <si>
    <t>(np.int64(21665), np.int64(21664), np.int64(21489))</t>
  </si>
  <si>
    <t>(np.int64(21368),)</t>
  </si>
  <si>
    <t>6620-21</t>
  </si>
  <si>
    <t>6620-21-POLO MANGA CORTA</t>
  </si>
  <si>
    <t>COS-0012649-28</t>
  </si>
  <si>
    <t>(np.int64(21698),)</t>
  </si>
  <si>
    <t>(np.int64(21463),)</t>
  </si>
  <si>
    <t>6620-22</t>
  </si>
  <si>
    <t>6620-22-POLO MANGA CORTA</t>
  </si>
  <si>
    <t>COS-0012649-29</t>
  </si>
  <si>
    <t>(np.int64(21699),)</t>
  </si>
  <si>
    <t>(np.int64(21464),)</t>
  </si>
  <si>
    <t>6620-23</t>
  </si>
  <si>
    <t>6620-23-Chaleco Liso</t>
  </si>
  <si>
    <t>Chaleco Liso</t>
  </si>
  <si>
    <t>COS-0012649-30</t>
  </si>
  <si>
    <t>(np.int64(21502),)</t>
  </si>
  <si>
    <t>(np.int64(21431),)</t>
  </si>
  <si>
    <t>6620-24</t>
  </si>
  <si>
    <t>6620-24-CHAQUETA SPORT</t>
  </si>
  <si>
    <t>COS-0012649-31</t>
  </si>
  <si>
    <t>(np.int64(21628),)</t>
  </si>
  <si>
    <t>(np.int64(21587),)</t>
  </si>
  <si>
    <t>6620-25</t>
  </si>
  <si>
    <t>6620-25-CHAQUETA SPORT</t>
  </si>
  <si>
    <t>COS-0012649-32</t>
  </si>
  <si>
    <t>(np.int64(21629),)</t>
  </si>
  <si>
    <t>6620-26</t>
  </si>
  <si>
    <t>6620-26-CHAQUETA SPORT</t>
  </si>
  <si>
    <t>COS-0012649-34</t>
  </si>
  <si>
    <t>(np.int64(21627),)</t>
  </si>
  <si>
    <t>6620-27</t>
  </si>
  <si>
    <t>6620-27-CHAQUETA SPORT</t>
  </si>
  <si>
    <t>COS-0012649-35</t>
  </si>
  <si>
    <t>(np.int64(21718),)</t>
  </si>
  <si>
    <t>(np.int64(21588),)</t>
  </si>
  <si>
    <t>6620-28</t>
  </si>
  <si>
    <t>6620-28-CHAQUETA SPORT</t>
  </si>
  <si>
    <t>COS-0012649-38</t>
  </si>
  <si>
    <t>(np.int64(21607), np.int64(21605), np.int64(21604))</t>
  </si>
  <si>
    <t>(np.int64(21476),)</t>
  </si>
  <si>
    <t>6620-29</t>
  </si>
  <si>
    <t>6620-29-CHAQUETA SPORT</t>
  </si>
  <si>
    <t>COS-0012649-37</t>
  </si>
  <si>
    <t>(np.int64(21697),)</t>
  </si>
  <si>
    <t>(np.int64(21686),)</t>
  </si>
  <si>
    <t>6620-33</t>
  </si>
  <si>
    <t>6620-33-OVEROL DOS PIEZAS</t>
  </si>
  <si>
    <t>COS-0012649-45</t>
  </si>
  <si>
    <t>(np.int64(21672),)</t>
  </si>
  <si>
    <t>(np.int64(21643),)</t>
  </si>
  <si>
    <t>6620-34</t>
  </si>
  <si>
    <t>6620-34-Pantalón dotación</t>
  </si>
  <si>
    <t>Pantalón dotación</t>
  </si>
  <si>
    <t>COS-0012649-47</t>
  </si>
  <si>
    <t>(np.int64(21557),)</t>
  </si>
  <si>
    <t>6620-35</t>
  </si>
  <si>
    <t>6620-35-PANTALÓN SASTRE</t>
  </si>
  <si>
    <t>COS-0012649-48</t>
  </si>
  <si>
    <t>(np.int64(21328),)</t>
  </si>
  <si>
    <t>6620-36</t>
  </si>
  <si>
    <t>6620-36-Pantalón dotación</t>
  </si>
  <si>
    <t>COS-0012649-49</t>
  </si>
  <si>
    <t>(np.int64(21391),)</t>
  </si>
  <si>
    <t>6620-37</t>
  </si>
  <si>
    <t>6620-37-PANTALÓN CARGO</t>
  </si>
  <si>
    <t>PANTALÓN CARGO</t>
  </si>
  <si>
    <t>COS-0012649-51</t>
  </si>
  <si>
    <t>(np.int64(21369),)</t>
  </si>
  <si>
    <t>6620-38</t>
  </si>
  <si>
    <t>6620-38-PANTALÓN SASTRE</t>
  </si>
  <si>
    <t>COS-0012649-52</t>
  </si>
  <si>
    <t>(np.int64(21327),)</t>
  </si>
  <si>
    <t>6620-39</t>
  </si>
  <si>
    <t>6620-39-CAMISA MANGA LARGA</t>
  </si>
  <si>
    <t>COS-0012649-54</t>
  </si>
  <si>
    <t>(np.int64(21434),)</t>
  </si>
  <si>
    <t>6618-1</t>
  </si>
  <si>
    <t>6618-1-POLO MANGA LARGA</t>
  </si>
  <si>
    <t>MINISO</t>
  </si>
  <si>
    <t>COS-0012669-2</t>
  </si>
  <si>
    <t>COS-0012669</t>
  </si>
  <si>
    <t>(np.int64(21297),)</t>
  </si>
  <si>
    <t>(np.int64(21438),)</t>
  </si>
  <si>
    <t>6618-2</t>
  </si>
  <si>
    <t>6618-2-POLO MANGA LARGA</t>
  </si>
  <si>
    <t>COS-0012669-3</t>
  </si>
  <si>
    <t>(np.int64(21299),)</t>
  </si>
  <si>
    <t>(np.int64(21506),)</t>
  </si>
  <si>
    <t>6618-3</t>
  </si>
  <si>
    <t>6618-3-POLO MANGA LARGA</t>
  </si>
  <si>
    <t>COS-0012669-4</t>
  </si>
  <si>
    <t>(np.int64(21301),)</t>
  </si>
  <si>
    <t>(np.int64(21538),)</t>
  </si>
  <si>
    <t>6618-4</t>
  </si>
  <si>
    <t>6618-4-POLO MANGA CORTA</t>
  </si>
  <si>
    <t>COS-0012669-5</t>
  </si>
  <si>
    <t>(np.int64(21298),)</t>
  </si>
  <si>
    <t>(np.int64(21477),)</t>
  </si>
  <si>
    <t>6618-5</t>
  </si>
  <si>
    <t>6618-5-POLO MANGA CORTA</t>
  </si>
  <si>
    <t>COS-0012669-6</t>
  </si>
  <si>
    <t>(np.int64(21300),)</t>
  </si>
  <si>
    <t>(np.int64(21507),)</t>
  </si>
  <si>
    <t>6618-6</t>
  </si>
  <si>
    <t>6618-6-POLO MANGA CORTA</t>
  </si>
  <si>
    <t>COS-0012669-7</t>
  </si>
  <si>
    <t>(np.int64(21302),)</t>
  </si>
  <si>
    <t>(np.int64(21505),)</t>
  </si>
  <si>
    <t>6618-11</t>
  </si>
  <si>
    <t>6618-11-T-SHIRT MANGA CORTA</t>
  </si>
  <si>
    <t>T-SHIRT MANGA CORTA</t>
  </si>
  <si>
    <t>COS-0012669-13</t>
  </si>
  <si>
    <t>(np.int64(21127),)</t>
  </si>
  <si>
    <t>6618-12</t>
  </si>
  <si>
    <t>6618-12-T-SHIRT MANGA CORTA</t>
  </si>
  <si>
    <t>COS-0012669-14</t>
  </si>
  <si>
    <t>(np.int64(21126),)</t>
  </si>
  <si>
    <t>6618-13</t>
  </si>
  <si>
    <t>6618-13-Delantal clasico</t>
  </si>
  <si>
    <t>Delantal clasico</t>
  </si>
  <si>
    <t>COS-0012669-16</t>
  </si>
  <si>
    <t>(np.int64(21256),)</t>
  </si>
  <si>
    <t>6618-14</t>
  </si>
  <si>
    <t>6618-14-Delantal clasico</t>
  </si>
  <si>
    <t>COS-0012669-17</t>
  </si>
  <si>
    <t>(np.int64(21257),)</t>
  </si>
  <si>
    <t>(np.int64(21135),)</t>
  </si>
  <si>
    <t>6618-15</t>
  </si>
  <si>
    <t>6618-15-Gorra Curva</t>
  </si>
  <si>
    <t>COS-0012669-18</t>
  </si>
  <si>
    <t>(np.int64(21132),)</t>
  </si>
  <si>
    <t>6618-16</t>
  </si>
  <si>
    <t>6618-16-Gorra Curva</t>
  </si>
  <si>
    <t>COS-0012669-19</t>
  </si>
  <si>
    <t>(np.int64(21133),)</t>
  </si>
  <si>
    <t>6616-1</t>
  </si>
  <si>
    <t>6616-1-CAMISA MANGA LARGA</t>
  </si>
  <si>
    <t>PARKING INTERNATIONAL S A S</t>
  </si>
  <si>
    <t>COS-0012665-2</t>
  </si>
  <si>
    <t>COS-0012665</t>
  </si>
  <si>
    <t>(np.int64(21360), np.int64(21359))</t>
  </si>
  <si>
    <t>Santiago Barriga</t>
  </si>
  <si>
    <t>(np.int64(21233), np.int64(21232))</t>
  </si>
  <si>
    <t>6616-2</t>
  </si>
  <si>
    <t>6616-2-PANTALÓN  CALLE  DAMA</t>
  </si>
  <si>
    <t>COS-0012665-3</t>
  </si>
  <si>
    <t>(np.int64(21163),)</t>
  </si>
  <si>
    <t>6616-3</t>
  </si>
  <si>
    <t>6616-3-OXFORD</t>
  </si>
  <si>
    <t>OXFORD</t>
  </si>
  <si>
    <t>COS-0012665-4</t>
  </si>
  <si>
    <t>(np.int64(21239),)</t>
  </si>
  <si>
    <t>(np.int64(21231),)</t>
  </si>
  <si>
    <t>6616-4</t>
  </si>
  <si>
    <t>6616-4-PANTALÓN ADMINISTRATIVO HOMBRE</t>
  </si>
  <si>
    <t>PANTALÓN ADMINISTRATIVO HOMBRE</t>
  </si>
  <si>
    <t>COS-0012665-5</t>
  </si>
  <si>
    <t>(np.int64(21164),)</t>
  </si>
  <si>
    <t>6612-1</t>
  </si>
  <si>
    <t>6612-1-Escafandra</t>
  </si>
  <si>
    <t>Escafandra</t>
  </si>
  <si>
    <t>COS-0012654-2</t>
  </si>
  <si>
    <t>COS-0012654</t>
  </si>
  <si>
    <t>(np.int64(21314),)</t>
  </si>
  <si>
    <t>6612-2</t>
  </si>
  <si>
    <t>6612-2-Escafandra</t>
  </si>
  <si>
    <t>COS-0012654-3</t>
  </si>
  <si>
    <t>(np.int64(21316), np.int64(21315))</t>
  </si>
  <si>
    <t>6612-3</t>
  </si>
  <si>
    <t>6612-3-Escafandra</t>
  </si>
  <si>
    <t>(np.int64(21317),)</t>
  </si>
  <si>
    <t>6611-1</t>
  </si>
  <si>
    <t>6611-1-POLO MANGA CORTA</t>
  </si>
  <si>
    <t>COS-0012647-3</t>
  </si>
  <si>
    <t>COS-0012647</t>
  </si>
  <si>
    <t>(np.int64(21309),)</t>
  </si>
  <si>
    <t>(np.int64(21221),)</t>
  </si>
  <si>
    <t>6611-2</t>
  </si>
  <si>
    <t>6611-2-Pijama Overol</t>
  </si>
  <si>
    <t>Pijama Overol</t>
  </si>
  <si>
    <t>COS-0012647-15</t>
  </si>
  <si>
    <t>(np.int64(21334),)</t>
  </si>
  <si>
    <t>6609-1</t>
  </si>
  <si>
    <t>6609-1-Pantalón  Cuarto Frio</t>
  </si>
  <si>
    <t>Pantalón  Cuarto Frio</t>
  </si>
  <si>
    <t>COS-0012639-2</t>
  </si>
  <si>
    <t>COS-0012639</t>
  </si>
  <si>
    <t>(np.int64(21190),)</t>
  </si>
  <si>
    <t>6609-2</t>
  </si>
  <si>
    <t>6609-2-SACO CUELLO CERRADO</t>
  </si>
  <si>
    <t>SACO CUELLO CERRADO</t>
  </si>
  <si>
    <t>COS-0012639-3</t>
  </si>
  <si>
    <t>(np.int64(21191),)</t>
  </si>
  <si>
    <t>Cuello</t>
  </si>
  <si>
    <t>6609-3</t>
  </si>
  <si>
    <t>6609-3-Gorra Curva</t>
  </si>
  <si>
    <t>COS-0012639-4</t>
  </si>
  <si>
    <t>(np.int64(21012),)</t>
  </si>
  <si>
    <t>6543-1</t>
  </si>
  <si>
    <t>6543-1-Pantalón dotación</t>
  </si>
  <si>
    <t>Sodimac</t>
  </si>
  <si>
    <t>COS-0012436-1</t>
  </si>
  <si>
    <t>COS-0012436</t>
  </si>
  <si>
    <t>(np.int64(21443),)</t>
  </si>
  <si>
    <t>6543-2</t>
  </si>
  <si>
    <t>6543-2-Pantalón dotación</t>
  </si>
  <si>
    <t>COS-0012436-2</t>
  </si>
  <si>
    <t>(np.int64(21444),)</t>
  </si>
  <si>
    <t>6543-3</t>
  </si>
  <si>
    <t>6543-3-Chaleco Liso</t>
  </si>
  <si>
    <t>COS-0012436-3</t>
  </si>
  <si>
    <t>(np.int64(21229), np.int64(21228), np.int64(21227), np.int64(21226), np.int64(21225))</t>
  </si>
  <si>
    <t>(np.int64(21184),)</t>
  </si>
  <si>
    <t>6543-4</t>
  </si>
  <si>
    <t>6543-4-Chaleco Liso</t>
  </si>
  <si>
    <t>COS-0012436-4</t>
  </si>
  <si>
    <t>(np.int64(21421), np.int64(21420))</t>
  </si>
  <si>
    <t>(np.int64(21689), np.int64(21294), np.int64(21293))</t>
  </si>
  <si>
    <t>(np.int64(21687), np.int64(21450))</t>
  </si>
  <si>
    <t>6543-5</t>
  </si>
  <si>
    <t>6543-5-Chaleco Liso</t>
  </si>
  <si>
    <t>COS-0012436-5</t>
  </si>
  <si>
    <t>(np.int64(21407), np.int64(21406))</t>
  </si>
  <si>
    <t>(np.int64(21690), np.int64(21296), np.int64(21295))</t>
  </si>
  <si>
    <t>(np.int64(21688), np.int64(21449))</t>
  </si>
  <si>
    <t>6541-1</t>
  </si>
  <si>
    <t>6541-1-CAMISA MANGA LARGA</t>
  </si>
  <si>
    <t>G4S</t>
  </si>
  <si>
    <t>COS-0012428-2</t>
  </si>
  <si>
    <t>COS-0012428</t>
  </si>
  <si>
    <t>(np.int64(21049),)</t>
  </si>
  <si>
    <t>(np.int64(21035),)</t>
  </si>
  <si>
    <t>6540-1</t>
  </si>
  <si>
    <t>6540-1-Camiseta polo</t>
  </si>
  <si>
    <t>Camiseta polo</t>
  </si>
  <si>
    <t>COS-0012432-2</t>
  </si>
  <si>
    <t>COS-0012432</t>
  </si>
  <si>
    <t>(np.int64(20826),)</t>
  </si>
  <si>
    <t>(np.int64(20803),)</t>
  </si>
  <si>
    <t>6540-2</t>
  </si>
  <si>
    <t>6540-2-Camiseta polo</t>
  </si>
  <si>
    <t>COS-0012432-3</t>
  </si>
  <si>
    <t>(np.int64(20827),)</t>
  </si>
  <si>
    <t>(np.int64(20804),)</t>
  </si>
  <si>
    <t>6540-3</t>
  </si>
  <si>
    <t>6540-3-Camiseta polo</t>
  </si>
  <si>
    <t>COS-0012432-4</t>
  </si>
  <si>
    <t>(np.int64(20830),)</t>
  </si>
  <si>
    <t>(np.int64(20805),)</t>
  </si>
  <si>
    <t>6540-4</t>
  </si>
  <si>
    <t>6540-4-Camiseta polo</t>
  </si>
  <si>
    <t>COS-0012432-5</t>
  </si>
  <si>
    <t>(np.int64(20828),)</t>
  </si>
  <si>
    <t>(np.int64(20806),)</t>
  </si>
  <si>
    <t>6540-5</t>
  </si>
  <si>
    <t>6540-5-Camiseta polo</t>
  </si>
  <si>
    <t>COS-0012432-6</t>
  </si>
  <si>
    <t>(np.int64(20829),)</t>
  </si>
  <si>
    <t>(np.int64(20807),)</t>
  </si>
  <si>
    <t>6540-6</t>
  </si>
  <si>
    <t>6540-6-Camiseta polo</t>
  </si>
  <si>
    <t>COS-0012432-7</t>
  </si>
  <si>
    <t>(np.int64(20831),)</t>
  </si>
  <si>
    <t>(np.int64(20808),)</t>
  </si>
  <si>
    <t>6538-1</t>
  </si>
  <si>
    <t>6538-1-camisa</t>
  </si>
  <si>
    <t>COS-0012431-2</t>
  </si>
  <si>
    <t>COS-0012431</t>
  </si>
  <si>
    <t>(np.int64(20840),)</t>
  </si>
  <si>
    <t>(np.int64(20885),)</t>
  </si>
  <si>
    <t>6538-2</t>
  </si>
  <si>
    <t>6538-2-camisa</t>
  </si>
  <si>
    <t>COS-0012431-5</t>
  </si>
  <si>
    <t>(np.int64(20841),)</t>
  </si>
  <si>
    <t>(np.int64(20886),)</t>
  </si>
  <si>
    <t>6534-1</t>
  </si>
  <si>
    <t>6534-1-POLO MANGA CORTA</t>
  </si>
  <si>
    <t>CREDIMINUTO</t>
  </si>
  <si>
    <t>COS-0012425-2</t>
  </si>
  <si>
    <t>COS-0012425</t>
  </si>
  <si>
    <t>(np.int64(20832),)</t>
  </si>
  <si>
    <t>6533-1</t>
  </si>
  <si>
    <t>6533-1-CAMISA MANGA LARGA</t>
  </si>
  <si>
    <t>COS-0012424-2</t>
  </si>
  <si>
    <t>COS-0012424</t>
  </si>
  <si>
    <t>(np.int64(21492), np.int64(21161), np.int64(21053), np.int64(21019), np.int64(21006), np.int64(20991), np.int64(20989), np.int64(20933), np.int64(20909), np.int64(20845), np.int64(20844))</t>
  </si>
  <si>
    <t>6533-2</t>
  </si>
  <si>
    <t>6533-2-Pantalón dotación</t>
  </si>
  <si>
    <t>COS-0012424-4</t>
  </si>
  <si>
    <t>(np.int64(20809), np.int64(20797), np.int64(20795))</t>
  </si>
  <si>
    <t>6533-3</t>
  </si>
  <si>
    <t>6533-3-Pantalón dotación</t>
  </si>
  <si>
    <t>COS-0012424-5</t>
  </si>
  <si>
    <t>(np.int64(20877), np.int64(20876), np.int64(20789), np.int64(20788))</t>
  </si>
  <si>
    <t>6533-4</t>
  </si>
  <si>
    <t>6533-4-CAMISA MANGA LARGA</t>
  </si>
  <si>
    <t>COS-0012424-6</t>
  </si>
  <si>
    <t>(np.int64(21493), np.int64(21485), np.int64(21162), np.int64(21052), np.int64(21036), np.int64(21020), np.int64(21007), np.int64(20992), np.int64(20990), np.int64(20934), np.int64(20910), np.int64(20847), np.int64(20846))</t>
  </si>
  <si>
    <t>6533-6</t>
  </si>
  <si>
    <t>6533-6-CAMISA MANGA LARGA</t>
  </si>
  <si>
    <t>COS-0012424-8</t>
  </si>
  <si>
    <t>(np.int64(20849), np.int64(20848))</t>
  </si>
  <si>
    <t>6533-7</t>
  </si>
  <si>
    <t>6533-7-Pantalón dotación</t>
  </si>
  <si>
    <t>COS-0012424-9</t>
  </si>
  <si>
    <t>(np.int64(20810), np.int64(20798), np.int64(20792))</t>
  </si>
  <si>
    <t>6533-8</t>
  </si>
  <si>
    <t>6533-8-Pantalón dotación</t>
  </si>
  <si>
    <t>COS-0012424-10</t>
  </si>
  <si>
    <t>(np.int64(20881), np.int64(20874), np.int64(20873), np.int64(20791), np.int64(20790))</t>
  </si>
  <si>
    <t>6529-1</t>
  </si>
  <si>
    <t>6529-1-T-SHIRT MANGA CORTA</t>
  </si>
  <si>
    <t>Molt Panamá (PA)</t>
  </si>
  <si>
    <t>COS-0012411-3</t>
  </si>
  <si>
    <t>COS-0012411</t>
  </si>
  <si>
    <t>(np.int64(20774),)</t>
  </si>
  <si>
    <t>Simón Román</t>
  </si>
  <si>
    <t>6528-1</t>
  </si>
  <si>
    <t>6528-1-Pantalón dotación</t>
  </si>
  <si>
    <t>COS-0012410-2</t>
  </si>
  <si>
    <t>COS-0012410</t>
  </si>
  <si>
    <t>Prelavado</t>
  </si>
  <si>
    <t>(np.int64(20882),)</t>
  </si>
  <si>
    <t>(np.int64(20728),)</t>
  </si>
  <si>
    <t>6527-1</t>
  </si>
  <si>
    <t>6527-1-CAMISA MANGA LARGA</t>
  </si>
  <si>
    <t>FLET X</t>
  </si>
  <si>
    <t>COS-0012406-2</t>
  </si>
  <si>
    <t>COS-0012406</t>
  </si>
  <si>
    <t>(np.int64(21223), np.int64(20726))</t>
  </si>
  <si>
    <t>6526-1</t>
  </si>
  <si>
    <t>6526-1-CHAQUETA MICHELIN</t>
  </si>
  <si>
    <t>CHAQUETA MICHELIN</t>
  </si>
  <si>
    <t>COS-0012401-15</t>
  </si>
  <si>
    <t>COS-0012401</t>
  </si>
  <si>
    <t>(np.int64(20755),)</t>
  </si>
  <si>
    <t>(np.int64(20771),)</t>
  </si>
  <si>
    <t>6524-1</t>
  </si>
  <si>
    <t>6524-1-Camiseta Dril</t>
  </si>
  <si>
    <t>Camiseta Dril</t>
  </si>
  <si>
    <t>COS-0012393-7</t>
  </si>
  <si>
    <t>COS-0012393</t>
  </si>
  <si>
    <t>(np.int64(20775),)</t>
  </si>
  <si>
    <t>6524-2</t>
  </si>
  <si>
    <t>6524-2-Pantalón dotación</t>
  </si>
  <si>
    <t>COS-0012393-22</t>
  </si>
  <si>
    <t>(np.int64(20776),)</t>
  </si>
  <si>
    <t>(np.int64(20758),)</t>
  </si>
  <si>
    <t>6524-3</t>
  </si>
  <si>
    <t>6524-3-Cofia</t>
  </si>
  <si>
    <t>COS-0012393-35</t>
  </si>
  <si>
    <t>(np.int64(20766),)</t>
  </si>
  <si>
    <t>6524-4</t>
  </si>
  <si>
    <t>6524-4-Cofia</t>
  </si>
  <si>
    <t>COS-0012393-36</t>
  </si>
  <si>
    <t>(np.int64(20767),)</t>
  </si>
  <si>
    <t>6524-5</t>
  </si>
  <si>
    <t>6524-5-Cofia</t>
  </si>
  <si>
    <t>COS-0012393-37</t>
  </si>
  <si>
    <t>(np.int64(20768),)</t>
  </si>
  <si>
    <t>6523-1</t>
  </si>
  <si>
    <t>6523-1-overol enterizo</t>
  </si>
  <si>
    <t>overol enterizo overol enterizo</t>
  </si>
  <si>
    <t>INTERRAPIDISIMO S A</t>
  </si>
  <si>
    <t>COS-0012363-2</t>
  </si>
  <si>
    <t>COS-0012363</t>
  </si>
  <si>
    <t>(np.int64(20719),)</t>
  </si>
  <si>
    <t>(np.int64(20717),)</t>
  </si>
  <si>
    <t>6523-2</t>
  </si>
  <si>
    <t>6523-2-overol enterizo</t>
  </si>
  <si>
    <t>COS-0012363-3</t>
  </si>
  <si>
    <t>(np.int64(20720),)</t>
  </si>
  <si>
    <t>(np.int64(20718),)</t>
  </si>
  <si>
    <t>6517-1</t>
  </si>
  <si>
    <t>6517-1-T-SHIRT MANGA LARGA</t>
  </si>
  <si>
    <t>T-SHIRT MANGA LARGA</t>
  </si>
  <si>
    <t>ALT ARQUITECTURA</t>
  </si>
  <si>
    <t>COS-0012365-2</t>
  </si>
  <si>
    <t>COS-0012365</t>
  </si>
  <si>
    <t>(np.int64(20867),)</t>
  </si>
  <si>
    <t>6517-2</t>
  </si>
  <si>
    <t>6517-2-Gorra seis cascos</t>
  </si>
  <si>
    <t>COS-0012365-3</t>
  </si>
  <si>
    <t>(np.int64(20751),)</t>
  </si>
  <si>
    <t>6503-1</t>
  </si>
  <si>
    <t>6503-1-POLO MANGA CORTA</t>
  </si>
  <si>
    <t>Eleinco SAS</t>
  </si>
  <si>
    <t>COS-0012135-2</t>
  </si>
  <si>
    <t>COS-0012135</t>
  </si>
  <si>
    <t>(np.int64(20745),)</t>
  </si>
  <si>
    <t>(np.int64(20697),)</t>
  </si>
  <si>
    <t>6503-2</t>
  </si>
  <si>
    <t>6503-2-POLO MANGA CORTA</t>
  </si>
  <si>
    <t>COS-0012135-3</t>
  </si>
  <si>
    <t>(np.int64(20746),)</t>
  </si>
  <si>
    <t>(np.int64(20698),)</t>
  </si>
  <si>
    <t>6503-3</t>
  </si>
  <si>
    <t>6503-3-Camiseta polo</t>
  </si>
  <si>
    <t>COS-0012135-4</t>
  </si>
  <si>
    <t>(np.int64(20747),)</t>
  </si>
  <si>
    <t>(np.int64(20699),)</t>
  </si>
  <si>
    <t>6496-2</t>
  </si>
  <si>
    <t>6496-2-Camibuzo</t>
  </si>
  <si>
    <t>COS-0011982-29</t>
  </si>
  <si>
    <t>COS-0011982</t>
  </si>
  <si>
    <t>(np.int64(20581),)</t>
  </si>
  <si>
    <t>(np.int64(20722),)</t>
  </si>
  <si>
    <t>6493-1</t>
  </si>
  <si>
    <t>6493-1-Chaqueta  Térmica</t>
  </si>
  <si>
    <t>Chaqueta  Térmica</t>
  </si>
  <si>
    <t>Coorserpark</t>
  </si>
  <si>
    <t>COS-0012287-2</t>
  </si>
  <si>
    <t>COS-0012287</t>
  </si>
  <si>
    <t>(np.int64(20588),)</t>
  </si>
  <si>
    <t>Miguel Gutierrez</t>
  </si>
  <si>
    <t>(np.int64(20590),)</t>
  </si>
  <si>
    <t>6493-2</t>
  </si>
  <si>
    <t>6493-2-Gorra Curva</t>
  </si>
  <si>
    <t>(np.int64(20682),)</t>
  </si>
  <si>
    <t>6492-1</t>
  </si>
  <si>
    <t>6492-1-ROMPEVIENTOS REFLECTIVA</t>
  </si>
  <si>
    <t>ROMPEVIENTOS REFLECTIVA</t>
  </si>
  <si>
    <t>COS-0012284-2</t>
  </si>
  <si>
    <t>COS-0012284</t>
  </si>
  <si>
    <t>(np.int64(20714),)</t>
  </si>
  <si>
    <t>(np.int64(20723),)</t>
  </si>
  <si>
    <t>6492-3</t>
  </si>
  <si>
    <t>6492-3-Camibuzo</t>
  </si>
  <si>
    <t>COS-0012284-4</t>
  </si>
  <si>
    <t>(np.int64(20578),)</t>
  </si>
  <si>
    <t>(np.int64(20631),)</t>
  </si>
  <si>
    <t>6492-4</t>
  </si>
  <si>
    <t>6492-4-PANTALÓN CARGO</t>
  </si>
  <si>
    <t>COS-0012284-8</t>
  </si>
  <si>
    <t>(np.int64(20633), np.int64(20575), np.int64(20565), np.int64(20564))</t>
  </si>
  <si>
    <t>(np.int64(20643), np.int64(20576), np.int64(20569), np.int64(20568))</t>
  </si>
  <si>
    <t>6492-5</t>
  </si>
  <si>
    <t>6492-5-Saco Tejido</t>
  </si>
  <si>
    <t>Saco Tejido</t>
  </si>
  <si>
    <t>COS-0012284-11</t>
  </si>
  <si>
    <t>Paquete Completo Sin Marca</t>
  </si>
  <si>
    <t>(np.int64(20843),)</t>
  </si>
  <si>
    <t>Saco</t>
  </si>
  <si>
    <t>6492-6</t>
  </si>
  <si>
    <t>6492-6-Sastre Femenino</t>
  </si>
  <si>
    <t>COS-0012284-12</t>
  </si>
  <si>
    <t>(np.int64(20582),)</t>
  </si>
  <si>
    <t>6492-8</t>
  </si>
  <si>
    <t>6492-8-BLUSA MANGA CORTA</t>
  </si>
  <si>
    <t>COS-0012284-14</t>
  </si>
  <si>
    <t>(np.int64(20645),)</t>
  </si>
  <si>
    <t>(np.int64(20654),)</t>
  </si>
  <si>
    <t>6492-9</t>
  </si>
  <si>
    <t>6492-9-CAMISA MANGA LARGA</t>
  </si>
  <si>
    <t>COS-0012284-16</t>
  </si>
  <si>
    <t>(np.int64(20713),)</t>
  </si>
  <si>
    <t>(np.int64(20658),)</t>
  </si>
  <si>
    <t>6492-10</t>
  </si>
  <si>
    <t>6492-10-CHAQUETA MICHELIN</t>
  </si>
  <si>
    <t>COS-0012284-18</t>
  </si>
  <si>
    <t>(np.int64(20715),)</t>
  </si>
  <si>
    <t>(np.int64(20724),)</t>
  </si>
  <si>
    <t>6492-11</t>
  </si>
  <si>
    <t>6492-11-camisa</t>
  </si>
  <si>
    <t>COS-0012284-19</t>
  </si>
  <si>
    <t>(np.int64(20635),)</t>
  </si>
  <si>
    <t>6492-12</t>
  </si>
  <si>
    <t>6492-12-Pantalón dotación</t>
  </si>
  <si>
    <t>COS-0012284-22</t>
  </si>
  <si>
    <t>(np.int64(20640),)</t>
  </si>
  <si>
    <t>6492-13</t>
  </si>
  <si>
    <t>6492-13-Sastre Femenino</t>
  </si>
  <si>
    <t>COS-0012251-23</t>
  </si>
  <si>
    <t>COS-0012251</t>
  </si>
  <si>
    <t>(np.int64(20583),)</t>
  </si>
  <si>
    <t>6492-14</t>
  </si>
  <si>
    <t>6492-14-CHAQUETA MICHELIN</t>
  </si>
  <si>
    <t>COS-0012284-24</t>
  </si>
  <si>
    <t>(np.int64(20577),)</t>
  </si>
  <si>
    <t>(np.int64(20589),)</t>
  </si>
  <si>
    <t>6492-15</t>
  </si>
  <si>
    <t>6492-15-CHALECO REFLECTIVO</t>
  </si>
  <si>
    <t>CHALECO REFLECTIVO</t>
  </si>
  <si>
    <t>(np.int64(20744),)</t>
  </si>
  <si>
    <t>(np.int64(20802),)</t>
  </si>
  <si>
    <t>6492-16</t>
  </si>
  <si>
    <t>6492-16-POLO MANGA CORTA</t>
  </si>
  <si>
    <t>COS-0012284-25</t>
  </si>
  <si>
    <t>(np.int64(20706),)</t>
  </si>
  <si>
    <t>(np.int64(20647),)</t>
  </si>
  <si>
    <t>6492-17</t>
  </si>
  <si>
    <t>6492-17-CHALECO REFLECTIVO</t>
  </si>
  <si>
    <t>COS-0012251-25</t>
  </si>
  <si>
    <t>(np.int64(20752), np.int64(20710))</t>
  </si>
  <si>
    <t>(np.int64(20816),)</t>
  </si>
  <si>
    <t>6492-18</t>
  </si>
  <si>
    <t>6492-18-Pantalón dotación</t>
  </si>
  <si>
    <t>COS-0012284-26</t>
  </si>
  <si>
    <t>(np.int64(20563),)</t>
  </si>
  <si>
    <t>6492-19</t>
  </si>
  <si>
    <t>6492-19-CAMISA MANGA CORTA</t>
  </si>
  <si>
    <t>CAMISA MANGA CORTA</t>
  </si>
  <si>
    <t>COS-0012251-27</t>
  </si>
  <si>
    <t>(np.int64(20646),)</t>
  </si>
  <si>
    <t>(np.int64(20655),)</t>
  </si>
  <si>
    <t>6492-20</t>
  </si>
  <si>
    <t>6492-20-CHALECO REFLECTIVO</t>
  </si>
  <si>
    <t>(np.int64(20753), np.int64(20674))</t>
  </si>
  <si>
    <t>(np.int64(20817),)</t>
  </si>
  <si>
    <t>6492-21</t>
  </si>
  <si>
    <t>6492-21-CAMISA MANGA CORTA</t>
  </si>
  <si>
    <t>(np.int64(20636),)</t>
  </si>
  <si>
    <t>6492-22</t>
  </si>
  <si>
    <t>6492-22-BLUSA MANGA CORTA</t>
  </si>
  <si>
    <t>COS-0012282-56</t>
  </si>
  <si>
    <t>COS-0012282</t>
  </si>
  <si>
    <t>(np.int64(20650),)</t>
  </si>
  <si>
    <t>(np.int64(20705),)</t>
  </si>
  <si>
    <t>6492-23</t>
  </si>
  <si>
    <t>6492-23-Conjunto antifluido</t>
  </si>
  <si>
    <t>Conjunto antifluido</t>
  </si>
  <si>
    <t>COS-0012282-84</t>
  </si>
  <si>
    <t>(np.int64(20644),)</t>
  </si>
  <si>
    <t>Conjunto</t>
  </si>
  <si>
    <t>(np.int64(20648),)</t>
  </si>
  <si>
    <t>6491-1</t>
  </si>
  <si>
    <t>6491-1-Camiseta polo</t>
  </si>
  <si>
    <t>GRUPO QUALA</t>
  </si>
  <si>
    <t>COS-0012285-2</t>
  </si>
  <si>
    <t>COS-0012285</t>
  </si>
  <si>
    <t>(np.int64(20859), np.int64(20759))</t>
  </si>
  <si>
    <t>6491-3</t>
  </si>
  <si>
    <t>6491-3-Gorra seis cascos</t>
  </si>
  <si>
    <t>COS-0012285-8</t>
  </si>
  <si>
    <t>(np.int64(20676),)</t>
  </si>
  <si>
    <t>6489-1</t>
  </si>
  <si>
    <t>6489-1-Chaqueta Rompevientos</t>
  </si>
  <si>
    <t>Chaqueta Rompevientos</t>
  </si>
  <si>
    <t>SECOP II</t>
  </si>
  <si>
    <t>COS-0012279-4</t>
  </si>
  <si>
    <t>COS-0012279</t>
  </si>
  <si>
    <t>(np.int64(20604),)</t>
  </si>
  <si>
    <t>Angela Jaramillo</t>
  </si>
  <si>
    <t>(np.int64(20611),)</t>
  </si>
  <si>
    <t>6488-1</t>
  </si>
  <si>
    <t>6488-1-Harrington</t>
  </si>
  <si>
    <t>Harrington</t>
  </si>
  <si>
    <t>Joe Hawkins</t>
  </si>
  <si>
    <t>COS-0012276-2</t>
  </si>
  <si>
    <t>COS-0012276</t>
  </si>
  <si>
    <t>(np.int64(20649),)</t>
  </si>
  <si>
    <t>6487-1</t>
  </si>
  <si>
    <t>6487-1-POLO MANGA CORTA</t>
  </si>
  <si>
    <t>COS-0012274-6</t>
  </si>
  <si>
    <t>COS-0012274</t>
  </si>
  <si>
    <t>(np.int64(20627),)</t>
  </si>
  <si>
    <t>6487-2</t>
  </si>
  <si>
    <t>6487-2-POLO MANGA CORTA</t>
  </si>
  <si>
    <t>COS-0012274-7</t>
  </si>
  <si>
    <t>(np.int64(20707),)</t>
  </si>
  <si>
    <t>6487-3</t>
  </si>
  <si>
    <t>6487-3-POLO MANGA CORTA</t>
  </si>
  <si>
    <t>COS-0012274-8</t>
  </si>
  <si>
    <t>(np.int64(20628),)</t>
  </si>
  <si>
    <t>(np.int64(20610),)</t>
  </si>
  <si>
    <t>6487-4</t>
  </si>
  <si>
    <t>6487-4-POLO MANGA CORTA</t>
  </si>
  <si>
    <t>COS-0012274-9</t>
  </si>
  <si>
    <t>(np.int64(20700),)</t>
  </si>
  <si>
    <t>(np.int64(20622),)</t>
  </si>
  <si>
    <t>6487-5</t>
  </si>
  <si>
    <t>6487-5-POLO MANGA CORTA</t>
  </si>
  <si>
    <t>COS-0012274-10</t>
  </si>
  <si>
    <t>(np.int64(20677),)</t>
  </si>
  <si>
    <t>(np.int64(20623),)</t>
  </si>
  <si>
    <t>6487-6</t>
  </si>
  <si>
    <t>6487-6-DELANTAL CLASICO</t>
  </si>
  <si>
    <t>DELANTAL CLASICO</t>
  </si>
  <si>
    <t>COS-0012274-12</t>
  </si>
  <si>
    <t>(np.int64(20781), np.int64(20780))</t>
  </si>
  <si>
    <t>(np.int64(20782),)</t>
  </si>
  <si>
    <t>(np.int64(20671),)</t>
  </si>
  <si>
    <t>6487-7</t>
  </si>
  <si>
    <t>6487-7-Chaqueta  Acolchada</t>
  </si>
  <si>
    <t>Chaqueta  Acolchada</t>
  </si>
  <si>
    <t>COS-0012274-22</t>
  </si>
  <si>
    <t>(np.int64(20680),)</t>
  </si>
  <si>
    <t>(np.int64(20624),)</t>
  </si>
  <si>
    <t>6487-8</t>
  </si>
  <si>
    <t>6487-8-OVEROL ENTERIZO</t>
  </si>
  <si>
    <t>COS-0012274-23</t>
  </si>
  <si>
    <t>(np.int64(20639),)</t>
  </si>
  <si>
    <t>6486-1</t>
  </si>
  <si>
    <t>6486-1-POLO MANGA CORTA</t>
  </si>
  <si>
    <t>COS-0012273-6</t>
  </si>
  <si>
    <t>COS-0012273</t>
  </si>
  <si>
    <t>(np.int64(20652),)</t>
  </si>
  <si>
    <t>(np.int64(20595),)</t>
  </si>
  <si>
    <t>6486-2</t>
  </si>
  <si>
    <t>6486-2-POLO MANGA CORTA</t>
  </si>
  <si>
    <t>COS-0012273-7</t>
  </si>
  <si>
    <t>(np.int64(20653),)</t>
  </si>
  <si>
    <t>(np.int64(20596),)</t>
  </si>
  <si>
    <t>6486-3</t>
  </si>
  <si>
    <t>6486-3-DELANTAL MICO</t>
  </si>
  <si>
    <t>DELANTAL MICO</t>
  </si>
  <si>
    <t>COS-0012273-11</t>
  </si>
  <si>
    <t>(np.int64(20593),)</t>
  </si>
  <si>
    <t>6486-4</t>
  </si>
  <si>
    <t>6486-4-DELANTAL MICO</t>
  </si>
  <si>
    <t>COS-0012273-12</t>
  </si>
  <si>
    <t>(np.int64(20819),)</t>
  </si>
  <si>
    <t>6486-5</t>
  </si>
  <si>
    <t>6486-5-DELANTAL MICO</t>
  </si>
  <si>
    <t>COS-0012273-13</t>
  </si>
  <si>
    <t>(np.int64(20820),)</t>
  </si>
  <si>
    <t>6486-6</t>
  </si>
  <si>
    <t>6486-6-Cofia</t>
  </si>
  <si>
    <t>COS-0012273-14</t>
  </si>
  <si>
    <t>(np.int64(20727),)</t>
  </si>
  <si>
    <t>(np.int64(20666),)</t>
  </si>
  <si>
    <t>6486-7</t>
  </si>
  <si>
    <t>6486-7-PANTALÓN TIPO CALLE CABALLERO</t>
  </si>
  <si>
    <t>COS-0012273-15</t>
  </si>
  <si>
    <t>(np.int64(20669),)</t>
  </si>
  <si>
    <t>6486-8</t>
  </si>
  <si>
    <t>6486-8-PANTALON RESORTADO CABALLERO</t>
  </si>
  <si>
    <t>COS-0012273-16</t>
  </si>
  <si>
    <t>(np.int64(20605),)</t>
  </si>
  <si>
    <t>6486-9</t>
  </si>
  <si>
    <t>6486-9-PANTALÓN  CALLE  DAMA</t>
  </si>
  <si>
    <t>COS-0012273-18</t>
  </si>
  <si>
    <t>(np.int64(20670),)</t>
  </si>
  <si>
    <t>6485-1</t>
  </si>
  <si>
    <t>6485-1-CAMISA MANGA CORTA</t>
  </si>
  <si>
    <t>COS-0012271-4</t>
  </si>
  <si>
    <t>COS-0012271</t>
  </si>
  <si>
    <t>(np.int64(20616),)</t>
  </si>
  <si>
    <t>6485-2</t>
  </si>
  <si>
    <t>6485-2-CAMISA MANGA LARGA</t>
  </si>
  <si>
    <t>COS-0012271-5</t>
  </si>
  <si>
    <t>(np.int64(20617),)</t>
  </si>
  <si>
    <t>6485-3</t>
  </si>
  <si>
    <t>6485-3-CAMISA MANGA LARGA</t>
  </si>
  <si>
    <t>COS-0012271-7</t>
  </si>
  <si>
    <t>(np.int64(20683),)</t>
  </si>
  <si>
    <t>(np.int64(20656),)</t>
  </si>
  <si>
    <t>6485-4</t>
  </si>
  <si>
    <t>6485-4-camisa</t>
  </si>
  <si>
    <t>COS-0012271-11</t>
  </si>
  <si>
    <t>(np.int64(20618),)</t>
  </si>
  <si>
    <t>6485-5</t>
  </si>
  <si>
    <t>6485-5-BLUSA MANGA CORTA</t>
  </si>
  <si>
    <t>COS-0012271-12</t>
  </si>
  <si>
    <t>(np.int64(20619),)</t>
  </si>
  <si>
    <t>6485-6</t>
  </si>
  <si>
    <t>6485-6-BLUSA MANGA CORTA</t>
  </si>
  <si>
    <t>COS-0012271-16</t>
  </si>
  <si>
    <t>(np.int64(20684),)</t>
  </si>
  <si>
    <t>(np.int64(20657),)</t>
  </si>
  <si>
    <t>6485-7</t>
  </si>
  <si>
    <t>6485-7-DELANTAL MICO</t>
  </si>
  <si>
    <t>COS-0012271-25</t>
  </si>
  <si>
    <t>(np.int64(20632),)</t>
  </si>
  <si>
    <t>6485-8</t>
  </si>
  <si>
    <t>6485-8-DELANTAL TIPO PETO</t>
  </si>
  <si>
    <t>COS-0012271-27</t>
  </si>
  <si>
    <t>(np.int64(20672),)</t>
  </si>
  <si>
    <t>6485-9</t>
  </si>
  <si>
    <t>6485-9-Cofia</t>
  </si>
  <si>
    <t>COS-0012271-31</t>
  </si>
  <si>
    <t>(np.int64(20594),)</t>
  </si>
  <si>
    <t>6485-10</t>
  </si>
  <si>
    <t>6485-10-PANTALÓN  CALLE  DAMA</t>
  </si>
  <si>
    <t>COS-0012271-33</t>
  </si>
  <si>
    <t>(np.int64(20668),)</t>
  </si>
  <si>
    <t>6485-11</t>
  </si>
  <si>
    <t>6485-11-PANTALÓN TIPO CALLE CABALLERO</t>
  </si>
  <si>
    <t>COS-0012271-34</t>
  </si>
  <si>
    <t>(np.int64(20667),)</t>
  </si>
  <si>
    <t>6485-13</t>
  </si>
  <si>
    <t>6485-13-PANTALON RESORTADO CABALLERO</t>
  </si>
  <si>
    <t>COS-0012271-36</t>
  </si>
  <si>
    <t>(np.int64(20608),)</t>
  </si>
  <si>
    <t>6485-14</t>
  </si>
  <si>
    <t>6485-14-PANTALON RESORTADO CABALLERO</t>
  </si>
  <si>
    <t>COS-0012271-37</t>
  </si>
  <si>
    <t>(np.int64(20607),)</t>
  </si>
  <si>
    <t>6484-1</t>
  </si>
  <si>
    <t>6484-1-CAMISA MANGA CORTA</t>
  </si>
  <si>
    <t>COS-0012268-2</t>
  </si>
  <si>
    <t>COS-0012268</t>
  </si>
  <si>
    <t>(np.int64(20736), np.int64(20735))</t>
  </si>
  <si>
    <t>(np.int64(20730), np.int64(20729))</t>
  </si>
  <si>
    <t>6484-2</t>
  </si>
  <si>
    <t>6484-2-CAMISA MANGA LARGA</t>
  </si>
  <si>
    <t>COS-0012268-3</t>
  </si>
  <si>
    <t>(np.int64(20737),)</t>
  </si>
  <si>
    <t>(np.int64(20731),)</t>
  </si>
  <si>
    <t>6484-3</t>
  </si>
  <si>
    <t>6484-3-camisa</t>
  </si>
  <si>
    <t>COS-0012268-4</t>
  </si>
  <si>
    <t>(np.int64(20738),)</t>
  </si>
  <si>
    <t>(np.int64(20868), np.int64(20732))</t>
  </si>
  <si>
    <t>6484-4</t>
  </si>
  <si>
    <t>6484-4-camisa</t>
  </si>
  <si>
    <t>COS-0012268-5</t>
  </si>
  <si>
    <t>(np.int64(20878), np.int64(20740), np.int64(20739))</t>
  </si>
  <si>
    <t>(np.int64(20734), np.int64(20733))</t>
  </si>
  <si>
    <t>6484-5</t>
  </si>
  <si>
    <t>6484-5-Blusa  Materna</t>
  </si>
  <si>
    <t>Blusa  Materna</t>
  </si>
  <si>
    <t>COS-0012268-6</t>
  </si>
  <si>
    <t>(np.int64(20725),)</t>
  </si>
  <si>
    <t>(np.int64(20721),)</t>
  </si>
  <si>
    <t>6452-1</t>
  </si>
  <si>
    <t>6452-1-Chaqueta Sport</t>
  </si>
  <si>
    <t>Chaqueta Sport</t>
  </si>
  <si>
    <t>INCHCAPE COLOMBIA</t>
  </si>
  <si>
    <t>COS-0012143-2</t>
  </si>
  <si>
    <t>COS-0012143</t>
  </si>
  <si>
    <t>(np.int64(20547),)</t>
  </si>
  <si>
    <t>(np.int64(20452),)</t>
  </si>
  <si>
    <t>6439-1</t>
  </si>
  <si>
    <t>6439-1-Bata quirúrgica</t>
  </si>
  <si>
    <t>Bata quirúrgica</t>
  </si>
  <si>
    <t>COS-0012168-5</t>
  </si>
  <si>
    <t>COS-0012168</t>
  </si>
  <si>
    <t>(np.int64(20551),)</t>
  </si>
  <si>
    <t>Bata</t>
  </si>
  <si>
    <t>6439-2</t>
  </si>
  <si>
    <t>6439-2-Buzo / Cerrado</t>
  </si>
  <si>
    <t>Buzo / Cerrado</t>
  </si>
  <si>
    <t>COS-0012168-6</t>
  </si>
  <si>
    <t>(np.int64(20505),)</t>
  </si>
  <si>
    <t>Buzo</t>
  </si>
  <si>
    <t>6439-3</t>
  </si>
  <si>
    <t>6439-3-Camiseta Dril</t>
  </si>
  <si>
    <t>COS-0012168-8</t>
  </si>
  <si>
    <t>(np.int64(20500),)</t>
  </si>
  <si>
    <t>6439-4</t>
  </si>
  <si>
    <t>6439-4-Chaqueta Cuarto Frío</t>
  </si>
  <si>
    <t>Chaqueta Cuarto Frío</t>
  </si>
  <si>
    <t>COS-0012168-10</t>
  </si>
  <si>
    <t>(np.int64(20527),)</t>
  </si>
  <si>
    <t>(np.int64(20465),)</t>
  </si>
  <si>
    <t>6439-5</t>
  </si>
  <si>
    <t>6439-5-Pasamontañas</t>
  </si>
  <si>
    <t>Pasamontañas</t>
  </si>
  <si>
    <t>COS-0012168-14</t>
  </si>
  <si>
    <t>(np.int64(20387),)</t>
  </si>
  <si>
    <t>6439-6</t>
  </si>
  <si>
    <t>6439-6-Cofia</t>
  </si>
  <si>
    <t>COS-0012168-15</t>
  </si>
  <si>
    <t>(np.int64(20357),)</t>
  </si>
  <si>
    <t>6439-7</t>
  </si>
  <si>
    <t>6439-7-Medias Cuarto Frio</t>
  </si>
  <si>
    <t>Medias Cuarto Frio</t>
  </si>
  <si>
    <t>COS-0012168-18</t>
  </si>
  <si>
    <t>(np.int64(20348),)</t>
  </si>
  <si>
    <t>Medias</t>
  </si>
  <si>
    <t>6439-8</t>
  </si>
  <si>
    <t>6439-8-Pantalón  Cuarto Frio</t>
  </si>
  <si>
    <t>COS-0012168-21</t>
  </si>
  <si>
    <t>(np.int64(20396),)</t>
  </si>
  <si>
    <t>(np.int64(20517),)</t>
  </si>
  <si>
    <t>6439-9</t>
  </si>
  <si>
    <t>6439-9-Pantalón dotación</t>
  </si>
  <si>
    <t>COS-0012168-22</t>
  </si>
  <si>
    <t>(np.int64(20526),)</t>
  </si>
  <si>
    <t>6439-11</t>
  </si>
  <si>
    <t>6439-11-Chaqueta Cuarto Frío</t>
  </si>
  <si>
    <t>COS-0012168-33</t>
  </si>
  <si>
    <t>(np.int64(20466),)</t>
  </si>
  <si>
    <t>6439-12</t>
  </si>
  <si>
    <t>6439-12-Chaqueta Cuarto Frío</t>
  </si>
  <si>
    <t>COS-0012168-34</t>
  </si>
  <si>
    <t>(np.int64(20529),)</t>
  </si>
  <si>
    <t>(np.int64(20467),)</t>
  </si>
  <si>
    <t>6439-13</t>
  </si>
  <si>
    <t>6439-13-Cofia</t>
  </si>
  <si>
    <t>COS-0012168-35</t>
  </si>
  <si>
    <t>(np.int64(20383),)</t>
  </si>
  <si>
    <t>6439-14</t>
  </si>
  <si>
    <t>6439-14-Cofia</t>
  </si>
  <si>
    <t>COS-0012168-36</t>
  </si>
  <si>
    <t>(np.int64(20384),)</t>
  </si>
  <si>
    <t>6439-15</t>
  </si>
  <si>
    <t>6439-15-Cofia</t>
  </si>
  <si>
    <t>COS-0012168-37</t>
  </si>
  <si>
    <t>(np.int64(20385),)</t>
  </si>
  <si>
    <t>6436-1</t>
  </si>
  <si>
    <t>6436-1-Chaqueta Rompevientos</t>
  </si>
  <si>
    <t>COS-0012162-2</t>
  </si>
  <si>
    <t>COS-0012162</t>
  </si>
  <si>
    <t>(np.int64(20509),)</t>
  </si>
  <si>
    <t>(np.int64(20375),)</t>
  </si>
  <si>
    <t>6436-2</t>
  </si>
  <si>
    <t>6436-2-Chaqueta Rompevientos</t>
  </si>
  <si>
    <t>COS-0012162-3</t>
  </si>
  <si>
    <t>(np.int64(20510),)</t>
  </si>
  <si>
    <t>(np.int64(20376),)</t>
  </si>
  <si>
    <t>6436-3</t>
  </si>
  <si>
    <t>6436-3-Chaqueta Rompevientos</t>
  </si>
  <si>
    <t>COS-0012162-4</t>
  </si>
  <si>
    <t>(np.int64(20511),)</t>
  </si>
  <si>
    <t>(np.int64(20422),)</t>
  </si>
  <si>
    <t>6435-1</t>
  </si>
  <si>
    <t>6435-1-Chaqueta Sport</t>
  </si>
  <si>
    <t>COS-0012161-21</t>
  </si>
  <si>
    <t>COS-0012161</t>
  </si>
  <si>
    <t>(np.int64(20507),)</t>
  </si>
  <si>
    <t>(np.int64(20414),)</t>
  </si>
  <si>
    <t>6433-1</t>
  </si>
  <si>
    <t>6433-1-BATA TIPO LABORATORIO</t>
  </si>
  <si>
    <t>BATA TIPO LABORATORIO</t>
  </si>
  <si>
    <t>COS-0012156-3</t>
  </si>
  <si>
    <t>COS-0012156</t>
  </si>
  <si>
    <t>(np.int64(20512),)</t>
  </si>
  <si>
    <t>6433-2</t>
  </si>
  <si>
    <t>6433-2-BATA TIPO LABORATORIO</t>
  </si>
  <si>
    <t>COS-0012156-4</t>
  </si>
  <si>
    <t>(np.int64(20513),)</t>
  </si>
  <si>
    <t>6433-3</t>
  </si>
  <si>
    <t>6433-3-Bata quirúrgica</t>
  </si>
  <si>
    <t>COS-0012156-5</t>
  </si>
  <si>
    <t>(np.int64(20515),)</t>
  </si>
  <si>
    <t>6433-4</t>
  </si>
  <si>
    <t>6433-4-Buzo / Cerrado</t>
  </si>
  <si>
    <t>COS-0012156-6</t>
  </si>
  <si>
    <t>(np.int64(20504),)</t>
  </si>
  <si>
    <t>(np.int64(20389),)</t>
  </si>
  <si>
    <t>6433-5</t>
  </si>
  <si>
    <t>6433-5-Camiseta Dril</t>
  </si>
  <si>
    <t>COS-0012156-7</t>
  </si>
  <si>
    <t>(np.int64(20501),)</t>
  </si>
  <si>
    <t>6433-6</t>
  </si>
  <si>
    <t>6433-6-Camiseta Dril</t>
  </si>
  <si>
    <t>COS-0012156-8</t>
  </si>
  <si>
    <t>(np.int64(20502),)</t>
  </si>
  <si>
    <t>6433-7</t>
  </si>
  <si>
    <t>6433-7-Pasamontañas</t>
  </si>
  <si>
    <t>COS-0012156-14</t>
  </si>
  <si>
    <t>(np.int64(20355),)</t>
  </si>
  <si>
    <t>6433-8</t>
  </si>
  <si>
    <t>6433-8-Cofia</t>
  </si>
  <si>
    <t>COS-0012156-15</t>
  </si>
  <si>
    <t>(np.int64(20356),)</t>
  </si>
  <si>
    <t>6433-9</t>
  </si>
  <si>
    <t>6433-9-Medias Cuarto Frio</t>
  </si>
  <si>
    <t>COS-0012156-18</t>
  </si>
  <si>
    <t>(np.int64(20347),)</t>
  </si>
  <si>
    <t>6433-10</t>
  </si>
  <si>
    <t>6433-10-Pantalón dotación</t>
  </si>
  <si>
    <t>COS-0012156-22</t>
  </si>
  <si>
    <t>(np.int64(20525),)</t>
  </si>
  <si>
    <t>(np.int64(20399),)</t>
  </si>
  <si>
    <t>6433-12</t>
  </si>
  <si>
    <t>6433-12-Cofia</t>
  </si>
  <si>
    <t>COS-0012156-35</t>
  </si>
  <si>
    <t>(np.int64(20380),)</t>
  </si>
  <si>
    <t>6433-13</t>
  </si>
  <si>
    <t>6433-13-Cofia</t>
  </si>
  <si>
    <t>COS-0012156-36</t>
  </si>
  <si>
    <t>(np.int64(20381),)</t>
  </si>
  <si>
    <t>6433-14</t>
  </si>
  <si>
    <t>6433-14-Cofia</t>
  </si>
  <si>
    <t>COS-0012156-37</t>
  </si>
  <si>
    <t>(np.int64(20382),)</t>
  </si>
  <si>
    <t>6430-1</t>
  </si>
  <si>
    <t>6430-1-Camibuzo</t>
  </si>
  <si>
    <t>(np.int64(20207),)</t>
  </si>
  <si>
    <t>(np.int64(20498), np.int64(20476), np.int64(20451), np.int64(20444), np.int64(20443))</t>
  </si>
  <si>
    <t>6428-1</t>
  </si>
  <si>
    <t>6428-1-Saco Tejido</t>
  </si>
  <si>
    <t>COS-0012142-2</t>
  </si>
  <si>
    <t>COS-0012142</t>
  </si>
  <si>
    <t>(np.int64(20538),)</t>
  </si>
  <si>
    <t>6425-1</t>
  </si>
  <si>
    <t>6425-1-POLO MANGA CORTA</t>
  </si>
  <si>
    <t>COS-0012136-10</t>
  </si>
  <si>
    <t>COS-0012136</t>
  </si>
  <si>
    <t>(np.int64(20483),)</t>
  </si>
  <si>
    <t>(np.int64(20371),)</t>
  </si>
  <si>
    <t>6425-2</t>
  </si>
  <si>
    <t>6425-2-POLO MANGA CORTA</t>
  </si>
  <si>
    <t>COS-0012136-2</t>
  </si>
  <si>
    <t>(np.int64(20484),)</t>
  </si>
  <si>
    <t>(np.int64(21060), np.int64(20372))</t>
  </si>
  <si>
    <t>6422-1</t>
  </si>
  <si>
    <t>6422-1-Chaleco Liso</t>
  </si>
  <si>
    <t>COS-0012132-2</t>
  </si>
  <si>
    <t>COS-0012132</t>
  </si>
  <si>
    <t>(np.int64(20134),)</t>
  </si>
  <si>
    <t>6421-1</t>
  </si>
  <si>
    <t>6421-1-CAMISA MANGA LARGA</t>
  </si>
  <si>
    <t>COS-0012129-2</t>
  </si>
  <si>
    <t>COS-0012129</t>
  </si>
  <si>
    <t>(np.int64(20453),)</t>
  </si>
  <si>
    <t>(np.int64(20336),)</t>
  </si>
  <si>
    <t>6421-2</t>
  </si>
  <si>
    <t>6421-2-CAMISA MANGA LARGA</t>
  </si>
  <si>
    <t>COS-0012129-3</t>
  </si>
  <si>
    <t>(np.int64(20446),)</t>
  </si>
  <si>
    <t>(np.int64(20337),)</t>
  </si>
  <si>
    <t>6421-3</t>
  </si>
  <si>
    <t>6421-3-CAMISA MANGA LARGA</t>
  </si>
  <si>
    <t>COS-0012129-4</t>
  </si>
  <si>
    <t>(np.int64(20447),)</t>
  </si>
  <si>
    <t>(np.int64(20338),)</t>
  </si>
  <si>
    <t>6421-4</t>
  </si>
  <si>
    <t>6421-4-CAMISA MANGA LARGA</t>
  </si>
  <si>
    <t>COS-0012129-5</t>
  </si>
  <si>
    <t>(np.int64(20448),)</t>
  </si>
  <si>
    <t>(np.int64(20339),)</t>
  </si>
  <si>
    <t>6421-5</t>
  </si>
  <si>
    <t>6421-5-CAMISA MANGA LARGA</t>
  </si>
  <si>
    <t>(np.int64(20449),)</t>
  </si>
  <si>
    <t>(np.int64(20340),)</t>
  </si>
  <si>
    <t>6384-1</t>
  </si>
  <si>
    <t>6384-1-CAMISA MANGA LARGA</t>
  </si>
  <si>
    <t>PUNTO DE PAGO 1</t>
  </si>
  <si>
    <t>COS-0012022-2</t>
  </si>
  <si>
    <t>COS-0012022</t>
  </si>
  <si>
    <t>(np.int64(20202),)</t>
  </si>
  <si>
    <t>(np.int64(20106),)</t>
  </si>
  <si>
    <t>6384-2</t>
  </si>
  <si>
    <t>6384-2-CAMISA MANGA LARGA</t>
  </si>
  <si>
    <t>COS-0012022-3</t>
  </si>
  <si>
    <t>(np.int64(20192),)</t>
  </si>
  <si>
    <t>(np.int64(20283),)</t>
  </si>
  <si>
    <t>6384-3</t>
  </si>
  <si>
    <t>6384-3-CHAQUETA SPORT</t>
  </si>
  <si>
    <t>COS-0012022-5</t>
  </si>
  <si>
    <t>(np.int64(20147),)</t>
  </si>
  <si>
    <t>(np.int64(20260),)</t>
  </si>
  <si>
    <t>6383-1</t>
  </si>
  <si>
    <t>6383-1-CAMISA MANGA LARGA</t>
  </si>
  <si>
    <t>COS-0012014-2</t>
  </si>
  <si>
    <t>COS-0012014</t>
  </si>
  <si>
    <t>(np.int64(20105),)</t>
  </si>
  <si>
    <t>(np.int64(20201),)</t>
  </si>
  <si>
    <t>6383-2</t>
  </si>
  <si>
    <t>6383-2-CAMISA MANGA LARGA</t>
  </si>
  <si>
    <t>COS-0012014-3</t>
  </si>
  <si>
    <t>(np.int64(20021),)</t>
  </si>
  <si>
    <t>(np.int64(20135),)</t>
  </si>
  <si>
    <t>6383-3</t>
  </si>
  <si>
    <t>6383-3-CAMISA MANGA LARGA</t>
  </si>
  <si>
    <t>COS-0012014-4</t>
  </si>
  <si>
    <t>(np.int64(20282),)</t>
  </si>
  <si>
    <t>(np.int64(20187),)</t>
  </si>
  <si>
    <t>6383-4</t>
  </si>
  <si>
    <t>6383-4-camisa</t>
  </si>
  <si>
    <t>COS-0012014-5</t>
  </si>
  <si>
    <t>(np.int64(20165),)</t>
  </si>
  <si>
    <t>(np.int64(20033),)</t>
  </si>
  <si>
    <t>6383-5</t>
  </si>
  <si>
    <t>6383-5-Pantalón dotación</t>
  </si>
  <si>
    <t>COS-0012014-6</t>
  </si>
  <si>
    <t>(np.int64(20132),)</t>
  </si>
  <si>
    <t>6383-6</t>
  </si>
  <si>
    <t>6383-6-Pantalón dotación</t>
  </si>
  <si>
    <t>COS-0012014-7</t>
  </si>
  <si>
    <t>(np.int64(19969),)</t>
  </si>
  <si>
    <t>6383-7</t>
  </si>
  <si>
    <t>6383-7-Pantalón dotación</t>
  </si>
  <si>
    <t>COS-0012014-8</t>
  </si>
  <si>
    <t>(np.int64(19970),)</t>
  </si>
  <si>
    <t>6383-8</t>
  </si>
  <si>
    <t>6383-8-Pantalón dotación</t>
  </si>
  <si>
    <t>COS-0012014-9</t>
  </si>
  <si>
    <t>(np.int64(20133),)</t>
  </si>
  <si>
    <t>6383-11</t>
  </si>
  <si>
    <t>6383-11-Camiseta polo</t>
  </si>
  <si>
    <t>COS-0012014-13</t>
  </si>
  <si>
    <t>(np.int64(20204),)</t>
  </si>
  <si>
    <t>6383-12</t>
  </si>
  <si>
    <t>6383-12-Camiseta polo</t>
  </si>
  <si>
    <t>COS-0012014-14</t>
  </si>
  <si>
    <t>(np.int64(20205),)</t>
  </si>
  <si>
    <t>6383-13</t>
  </si>
  <si>
    <t>6383-13-Termica</t>
  </si>
  <si>
    <t>Termica</t>
  </si>
  <si>
    <t>COS-0012014-15</t>
  </si>
  <si>
    <t>(np.int64(20145),)</t>
  </si>
  <si>
    <t>(np.int64(20261),)</t>
  </si>
  <si>
    <t>6383-14</t>
  </si>
  <si>
    <t>6383-14-Termica</t>
  </si>
  <si>
    <t>COS-0012014-16</t>
  </si>
  <si>
    <t>(np.int64(20146),)</t>
  </si>
  <si>
    <t>(np.int64(20262),)</t>
  </si>
  <si>
    <t>6382-1</t>
  </si>
  <si>
    <t>6382-1-Camiseta polo</t>
  </si>
  <si>
    <t>COS-0012017-6</t>
  </si>
  <si>
    <t>COS-0012017</t>
  </si>
  <si>
    <t>(np.int64(20228),)</t>
  </si>
  <si>
    <t>(np.int64(20141),)</t>
  </si>
  <si>
    <t>6382-2</t>
  </si>
  <si>
    <t>6382-2-Camiseta polo</t>
  </si>
  <si>
    <t>COS-0012017-7</t>
  </si>
  <si>
    <t>(np.int64(20230),)</t>
  </si>
  <si>
    <t>(np.int64(20142),)</t>
  </si>
  <si>
    <t>6382-3</t>
  </si>
  <si>
    <t>6382-3-Camiseta polo</t>
  </si>
  <si>
    <t>COS-0012017-8</t>
  </si>
  <si>
    <t>(np.int64(20288),)</t>
  </si>
  <si>
    <t>(np.int64(20166),)</t>
  </si>
  <si>
    <t>6382-4</t>
  </si>
  <si>
    <t>6382-4-Camiseta polo</t>
  </si>
  <si>
    <t>COS-0012017-4</t>
  </si>
  <si>
    <t>(np.int64(20229),)</t>
  </si>
  <si>
    <t>(np.int64(20143),)</t>
  </si>
  <si>
    <t>6382-5</t>
  </si>
  <si>
    <t>6382-5-Camiseta polo</t>
  </si>
  <si>
    <t>COS-0012017-5</t>
  </si>
  <si>
    <t>(np.int64(20231),)</t>
  </si>
  <si>
    <t>(np.int64(20144),)</t>
  </si>
  <si>
    <t>6382-6</t>
  </si>
  <si>
    <t>6382-6-Camiseta polo</t>
  </si>
  <si>
    <t>(np.int64(20289),)</t>
  </si>
  <si>
    <t>(np.int64(20167),)</t>
  </si>
  <si>
    <t>6381-1</t>
  </si>
  <si>
    <t>6381-1-CAMISA MANGA LARGA</t>
  </si>
  <si>
    <t>COS-0012012-2</t>
  </si>
  <si>
    <t>COS-0012012</t>
  </si>
  <si>
    <t>(np.int64(20360),)</t>
  </si>
  <si>
    <t>(np.int64(20285),)</t>
  </si>
  <si>
    <t>6381-2</t>
  </si>
  <si>
    <t>6381-2-Pantalón dotación</t>
  </si>
  <si>
    <t>COS-0012012-3</t>
  </si>
  <si>
    <t>(np.int64(20263),)</t>
  </si>
  <si>
    <t>6381-3</t>
  </si>
  <si>
    <t>6381-3-CAMISA MANGA LARGA</t>
  </si>
  <si>
    <t>(np.int64(20361),)</t>
  </si>
  <si>
    <t>(np.int64(20286),)</t>
  </si>
  <si>
    <t>6381-4</t>
  </si>
  <si>
    <t>6381-4-Pantalón dotación</t>
  </si>
  <si>
    <t>COS-0012012-4</t>
  </si>
  <si>
    <t>(np.int64(20264),)</t>
  </si>
  <si>
    <t>6380-2</t>
  </si>
  <si>
    <t>6380-2-OVEROL ENTERIZO</t>
  </si>
  <si>
    <t>COS-0012015-19</t>
  </si>
  <si>
    <t>COS-0012015</t>
  </si>
  <si>
    <t>(np.int64(19935),)</t>
  </si>
  <si>
    <t>6379-1</t>
  </si>
  <si>
    <t>6379-1-CAMISA MANGA LARGA</t>
  </si>
  <si>
    <t>Alfred</t>
  </si>
  <si>
    <t>COS-0012004-5</t>
  </si>
  <si>
    <t>COS-0012004</t>
  </si>
  <si>
    <t>(np.int64(20246),)</t>
  </si>
  <si>
    <t>(np.int64(20351),)</t>
  </si>
  <si>
    <t>6379-2</t>
  </si>
  <si>
    <t>6379-2-camisa</t>
  </si>
  <si>
    <t>COS-0012004-6</t>
  </si>
  <si>
    <t>(np.int64(20247),)</t>
  </si>
  <si>
    <t>(np.int64(20352),)</t>
  </si>
  <si>
    <t>6379-3</t>
  </si>
  <si>
    <t>6379-3-CAMISA MANGA CORTA</t>
  </si>
  <si>
    <t>COS-0012004-8</t>
  </si>
  <si>
    <t>(np.int64(20249),)</t>
  </si>
  <si>
    <t>(np.int64(20353),)</t>
  </si>
  <si>
    <t>6379-4</t>
  </si>
  <si>
    <t>6379-4-BLUSA MANGA CORTA</t>
  </si>
  <si>
    <t>COS-0012004-9</t>
  </si>
  <si>
    <t>(np.int64(20248),)</t>
  </si>
  <si>
    <t>(np.int64(20354),)</t>
  </si>
  <si>
    <t>6379-5</t>
  </si>
  <si>
    <t>6379-5-POLO MANGA CORTA</t>
  </si>
  <si>
    <t>(np.int64(20252),)</t>
  </si>
  <si>
    <t>(np.int64(20365),)</t>
  </si>
  <si>
    <t>6379-6</t>
  </si>
  <si>
    <t>6379-6-POLO MANGA CORTA</t>
  </si>
  <si>
    <t>COS-0012004-7</t>
  </si>
  <si>
    <t>(np.int64(20253),)</t>
  </si>
  <si>
    <t>(np.int64(20366),)</t>
  </si>
  <si>
    <t>6379-7</t>
  </si>
  <si>
    <t>6379-7-PANTALÓN  CALLE  DAMA</t>
  </si>
  <si>
    <t>COS-0012004-4</t>
  </si>
  <si>
    <t>(np.int64(20193),)</t>
  </si>
  <si>
    <t>6379-8</t>
  </si>
  <si>
    <t>6379-8-PANTALÓN TIPO CALLE CABALLERO</t>
  </si>
  <si>
    <t>COS-0012004-3</t>
  </si>
  <si>
    <t>(np.int64(20194),)</t>
  </si>
  <si>
    <t>6379-9</t>
  </si>
  <si>
    <t>6379-9-CHAQUETA SPORT</t>
  </si>
  <si>
    <t>COS-0012004-2</t>
  </si>
  <si>
    <t>(np.int64(20496),)</t>
  </si>
  <si>
    <t>6378-1</t>
  </si>
  <si>
    <t>6378-1-BATA CHEF</t>
  </si>
  <si>
    <t>BATA CHEF</t>
  </si>
  <si>
    <t>COS-0012003-2</t>
  </si>
  <si>
    <t>COS-0012003</t>
  </si>
  <si>
    <t>(np.int64(19749),)</t>
  </si>
  <si>
    <t>(np.int64(20094),)</t>
  </si>
  <si>
    <t>6378-2</t>
  </si>
  <si>
    <t>6378-2-BATA CHEF</t>
  </si>
  <si>
    <t>(np.int64(19750),)</t>
  </si>
  <si>
    <t>(np.int64(20095),)</t>
  </si>
  <si>
    <t>6378-3</t>
  </si>
  <si>
    <t>6378-3-BATA CHEF</t>
  </si>
  <si>
    <t>COS-0012003-3</t>
  </si>
  <si>
    <t>(np.int64(20188),)</t>
  </si>
  <si>
    <t>(np.int64(20096),)</t>
  </si>
  <si>
    <t>6378-4</t>
  </si>
  <si>
    <t>6378-4-BATA CHEF</t>
  </si>
  <si>
    <t>COS-0012003-4</t>
  </si>
  <si>
    <t>(np.int64(20189),)</t>
  </si>
  <si>
    <t>(np.int64(20097),)</t>
  </si>
  <si>
    <t>6377-1</t>
  </si>
  <si>
    <t>6377-1-camisa</t>
  </si>
  <si>
    <t>COS-0011996-2</t>
  </si>
  <si>
    <t>COS-0011996</t>
  </si>
  <si>
    <t>(np.int64(20226),)</t>
  </si>
  <si>
    <t>(np.int64(20125),)</t>
  </si>
  <si>
    <t>6377-2</t>
  </si>
  <si>
    <t>6377-2-CAMISA MANGA LARGA</t>
  </si>
  <si>
    <t>COS-0011996-3</t>
  </si>
  <si>
    <t>(np.int64(20227),)</t>
  </si>
  <si>
    <t>(np.int64(20126),)</t>
  </si>
  <si>
    <t>6377-3</t>
  </si>
  <si>
    <t>6377-3-CAMISA MANGA LARGA</t>
  </si>
  <si>
    <t>COS-0011996-4</t>
  </si>
  <si>
    <t>(np.int64(20190),)</t>
  </si>
  <si>
    <t>(np.int64(20107),)</t>
  </si>
  <si>
    <t>6377-4</t>
  </si>
  <si>
    <t>6377-4-camisa</t>
  </si>
  <si>
    <t>(np.int64(20191),)</t>
  </si>
  <si>
    <t>(np.int64(20108),)</t>
  </si>
  <si>
    <t>6376-2</t>
  </si>
  <si>
    <t>6376-2-Buzo / Cerrado</t>
  </si>
  <si>
    <t>COS-0011994-6</t>
  </si>
  <si>
    <t>COS-0011994</t>
  </si>
  <si>
    <t>(np.int64(20168),)</t>
  </si>
  <si>
    <t>6376-3</t>
  </si>
  <si>
    <t>6376-3-Chaqueta Cuarto Frío</t>
  </si>
  <si>
    <t>COS-0011994-15</t>
  </si>
  <si>
    <t>(np.int64(20169),)</t>
  </si>
  <si>
    <t>(np.int64(20016),)</t>
  </si>
  <si>
    <t>6376-4</t>
  </si>
  <si>
    <t>6376-4-Chaqueta Cuarto Frío</t>
  </si>
  <si>
    <t>COS-0011994-16</t>
  </si>
  <si>
    <t>(np.int64(20170),)</t>
  </si>
  <si>
    <t>(np.int64(20017),)</t>
  </si>
  <si>
    <t>6376-5</t>
  </si>
  <si>
    <t>6376-5-Chaqueta Cuarto Frío</t>
  </si>
  <si>
    <t>COS-0011994-43</t>
  </si>
  <si>
    <t>(np.int64(20171),)</t>
  </si>
  <si>
    <t>(np.int64(20018),)</t>
  </si>
  <si>
    <t>6376-6</t>
  </si>
  <si>
    <t>6376-6-Chaqueta Sport</t>
  </si>
  <si>
    <t>COS-0011994-17</t>
  </si>
  <si>
    <t>(np.int64(19949),)</t>
  </si>
  <si>
    <t>(np.int64(20052), np.int64(20051), np.int64(19919), np.int64(19918))</t>
  </si>
  <si>
    <t>6376-7</t>
  </si>
  <si>
    <t>6376-7-Cofia</t>
  </si>
  <si>
    <t>COS-0011994-21</t>
  </si>
  <si>
    <t>(np.int64(20020),)</t>
  </si>
  <si>
    <t>6376-8</t>
  </si>
  <si>
    <t>6376-8-Medias Cuarto Frio</t>
  </si>
  <si>
    <t>COS-0011994-23</t>
  </si>
  <si>
    <t>(np.int64(20013),)</t>
  </si>
  <si>
    <t>6376-11</t>
  </si>
  <si>
    <t>6376-11-Pantalón  Cuarto Frio</t>
  </si>
  <si>
    <t>COS-0011994-27</t>
  </si>
  <si>
    <t>(np.int64(20010),)</t>
  </si>
  <si>
    <t>6376-12</t>
  </si>
  <si>
    <t>6376-12-Pantalón  Cuarto Frio</t>
  </si>
  <si>
    <t>COS-0011994-40</t>
  </si>
  <si>
    <t>(np.int64(20011),)</t>
  </si>
  <si>
    <t>6376-13</t>
  </si>
  <si>
    <t>6376-13-Pantalón  Cuarto Frio</t>
  </si>
  <si>
    <t>COS-0011994-41</t>
  </si>
  <si>
    <t>(np.int64(20012),)</t>
  </si>
  <si>
    <t>6376-14</t>
  </si>
  <si>
    <t>6376-14-Pantalón Flecce</t>
  </si>
  <si>
    <t>Pantalón Flecce</t>
  </si>
  <si>
    <t>COS-0011994-31</t>
  </si>
  <si>
    <t>(np.int64(20098),)</t>
  </si>
  <si>
    <t>(np.int64(19977),)</t>
  </si>
  <si>
    <t>6373-1</t>
  </si>
  <si>
    <t>6373-1-Chaqueta Sport</t>
  </si>
  <si>
    <t>COS-0011990-2</t>
  </si>
  <si>
    <t>COS-0011990</t>
  </si>
  <si>
    <t>(np.int64(20014),)</t>
  </si>
  <si>
    <t>(np.int64(19946),)</t>
  </si>
  <si>
    <t>6373-2</t>
  </si>
  <si>
    <t>6373-2-Chaqueta Sport</t>
  </si>
  <si>
    <t>COS-0011990-3</t>
  </si>
  <si>
    <t>(np.int64(20015),)</t>
  </si>
  <si>
    <t>(np.int64(19947),)</t>
  </si>
  <si>
    <t>6372-1</t>
  </si>
  <si>
    <t>6372-1-Buzo / Cerrado</t>
  </si>
  <si>
    <t>Solumn Health</t>
  </si>
  <si>
    <t>COS-0011983-2</t>
  </si>
  <si>
    <t>COS-0011983</t>
  </si>
  <si>
    <t>(np.int64(19627),)</t>
  </si>
  <si>
    <t>6372-2</t>
  </si>
  <si>
    <t>6372-2-T-SHIRT MANGA CORTA</t>
  </si>
  <si>
    <t>COS-0011983-3</t>
  </si>
  <si>
    <t>(np.int64(19629),)</t>
  </si>
  <si>
    <t>6372-3</t>
  </si>
  <si>
    <t>6372-3-Gorra seis cascos</t>
  </si>
  <si>
    <t>COS-0011983-4</t>
  </si>
  <si>
    <t>(np.int64(19630),)</t>
  </si>
  <si>
    <t>6371-1</t>
  </si>
  <si>
    <t>6371-1-CHALECO REFLECTIVO</t>
  </si>
  <si>
    <t>COS-0011439-24</t>
  </si>
  <si>
    <t>COS-0011439</t>
  </si>
  <si>
    <t>(np.int64(20303),)</t>
  </si>
  <si>
    <t>(np.int64(20432),)</t>
  </si>
  <si>
    <t>6371-2</t>
  </si>
  <si>
    <t>6371-2-Conjunto antifluido</t>
  </si>
  <si>
    <t>COS-0011982-26</t>
  </si>
  <si>
    <t>(np.int64(20299),)</t>
  </si>
  <si>
    <t>(np.int64(20349),)</t>
  </si>
  <si>
    <t>6371-3</t>
  </si>
  <si>
    <t>6371-3-CHALECO REFLECTIVO</t>
  </si>
  <si>
    <t>COS-0011981-27</t>
  </si>
  <si>
    <t>COS-0011981</t>
  </si>
  <si>
    <t>(np.int64(20637),)</t>
  </si>
  <si>
    <t>(np.int64(20312),)</t>
  </si>
  <si>
    <t>6370-1</t>
  </si>
  <si>
    <t>6370-1-Buzo / Cerrado</t>
  </si>
  <si>
    <t>DISMEC</t>
  </si>
  <si>
    <t>COS-0011980-1</t>
  </si>
  <si>
    <t>COS-0011980</t>
  </si>
  <si>
    <t>(np.int64(19719),)</t>
  </si>
  <si>
    <t>6370-2</t>
  </si>
  <si>
    <t>6370-2-Gorra seis cascos</t>
  </si>
  <si>
    <t>COS-0011980-2</t>
  </si>
  <si>
    <t>(np.int64(19674),)</t>
  </si>
  <si>
    <t>6364-6</t>
  </si>
  <si>
    <t>6364-6-pantalón  overol</t>
  </si>
  <si>
    <t>pantalón  overol</t>
  </si>
  <si>
    <t>COS-0011920-6</t>
  </si>
  <si>
    <t>COS-0011920</t>
  </si>
  <si>
    <t>(np.int64(20378),)</t>
  </si>
  <si>
    <t>(np.int64(21093), np.int64(21022), np.int64(20442), np.int64(20379))</t>
  </si>
  <si>
    <t>6363-1</t>
  </si>
  <si>
    <t>6363-1-camisa</t>
  </si>
  <si>
    <t>Hoteles Decameron</t>
  </si>
  <si>
    <t>COS-0011966-12</t>
  </si>
  <si>
    <t>COS-0011966</t>
  </si>
  <si>
    <t>(np.int64(19907),)</t>
  </si>
  <si>
    <t>(np.int64(19953),)</t>
  </si>
  <si>
    <t>6363-2</t>
  </si>
  <si>
    <t>6363-2-Pantalón dotación</t>
  </si>
  <si>
    <t>COS-0011966-15</t>
  </si>
  <si>
    <t>(np.int64(20117),)</t>
  </si>
  <si>
    <t>6362-3</t>
  </si>
  <si>
    <t>6362-3-CAMISA MANGA LARGA</t>
  </si>
  <si>
    <t>DI-MATIC</t>
  </si>
  <si>
    <t>COS-0011917-3</t>
  </si>
  <si>
    <t>COS-0011917</t>
  </si>
  <si>
    <t>(np.int64(19670),)</t>
  </si>
  <si>
    <t>6362-4</t>
  </si>
  <si>
    <t>6362-4-CAMISA MANGA LARGA</t>
  </si>
  <si>
    <t>COS-0011917-4</t>
  </si>
  <si>
    <t>(np.int64(19671),)</t>
  </si>
  <si>
    <t>Diferencia valor unitario</t>
  </si>
  <si>
    <t>Valor total OS</t>
  </si>
  <si>
    <t>valor total op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</si>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</sst>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035B8-B8CB-4713-A65B-B87037BD2A17}" name="Tabla1" displayName="Tabla1" ref="A1:W471" totalsRowCount="1" headerRowDxfId="16" headerRowBorderDxfId="15" tableBorderDxfId="14">
  <autoFilter ref="A1:W470" xr:uid="{6B3035B8-B8CB-4713-A65B-B87037BD2A17}"/>
  <sortState xmlns:xlrd2="http://schemas.microsoft.com/office/spreadsheetml/2017/richdata2" ref="A2:W470">
    <sortCondition descending="1" ref="G1:G470"/>
  </sortState>
  <tableColumns count="23">
    <tableColumn id="1" xr3:uid="{5C65862A-94E6-4416-A5FD-99C4B7ED8E89}" name="Num-OP"/>
    <tableColumn id="2" xr3:uid="{3005454D-331A-4B96-9FA2-74838F93D2DA}" name="Secuencia"/>
    <tableColumn id="3" xr3:uid="{B1754BCE-06A0-426D-BC8B-416A70D635A6}" name="OP-D"/>
    <tableColumn id="4" xr3:uid="{6B034E9A-4C20-4815-967E-7525A95A47E7}" name="OP Det"/>
    <tableColumn id="5" xr3:uid="{00F4E98E-A3CF-46AE-9497-3991AB2173DE}" name="Productos"/>
    <tableColumn id="6" xr3:uid="{2CD93413-2AFC-4CFA-B4B7-00138BF3F1D1}" name="Cliente"/>
    <tableColumn id="7" xr3:uid="{4EBF2881-0582-48B1-AC20-4600ED877448}" name="Fecha"/>
    <tableColumn id="8" xr3:uid="{EF61CACE-2367-4463-BE76-82CE3C03F87F}" name="Id."/>
    <tableColumn id="9" xr3:uid="{419C83F4-438D-40C1-85B2-1EAB8E3AD7C6}" name="Costeo_Producto"/>
    <tableColumn id="10" xr3:uid="{D98FFCA4-FF92-4C85-ABDF-541E64933D93}" name="Costeo"/>
    <tableColumn id="11" xr3:uid="{1694F66C-2B15-43D5-B7DF-570E327CAB71}" name="Proceso Producción"/>
    <tableColumn id="12" xr3:uid="{3A791C52-BA17-47F1-8FB6-6B18B49AA654}" name="Producir"/>
    <tableColumn id="13" xr3:uid="{A1BC9BDD-1F1D-475D-B8AD-CB1239FC5B38}" name="OS-Cantidad"/>
    <tableColumn id="14" xr3:uid="{284E1164-5CA7-4C95-BD15-DB5A407B9A06}" name="Num OS"/>
    <tableColumn id="15" xr3:uid="{68F59A93-1878-4086-B3DF-5DA83BBD5780}" name="Nombre del Comercial"/>
    <tableColumn id="16" xr3:uid="{36272DC0-582E-44BA-A350-C5B36EAD2D62}" name="Categoría"/>
    <tableColumn id="17" xr3:uid="{8F40440C-0351-4230-B60A-699199CC9FEC}" name="Total Precio Sin IVA" dataDxfId="13" totalsRowDxfId="12"/>
    <tableColumn id="18" xr3:uid="{F235B113-E95E-42BB-A570-03C646EBE0EA}" name="costo_antes_iva" dataDxfId="11" totalsRowDxfId="10"/>
    <tableColumn id="19" xr3:uid="{4CCCE524-F3D6-447E-9614-684F287EC8ED}" name="OS-Valor Unitario" dataDxfId="9" totalsRowDxfId="8"/>
    <tableColumn id="20" xr3:uid="{92D6C706-19B2-41C1-960F-0F19A34EFF7A}" name="Diferencia valor unitario" dataDxfId="7" totalsRowDxfId="6">
      <calculatedColumnFormula>Tabla1[[#This Row],[OS-Valor Unitario]]-Tabla1[[#This Row],[costo_antes_iva]]</calculatedColumnFormula>
    </tableColumn>
    <tableColumn id="21" xr3:uid="{1AF8AD52-D22C-417F-A041-6FB246F72068}" name="Valor total OS" dataDxfId="5" totalsRowDxfId="4">
      <calculatedColumnFormula>Tabla1[[#This Row],[OS-Valor Unitario]]*Tabla1[[#This Row],[OS-Cantidad]]</calculatedColumnFormula>
    </tableColumn>
    <tableColumn id="22" xr3:uid="{DF14BE5A-2081-4559-848E-5D50DB13DCCD}" name="valor total op" dataDxfId="3" totalsRowDxfId="2">
      <calculatedColumnFormula>Tabla1[[#This Row],[costo_antes_iva]]*Tabla1[[#This Row],[OS-Cantidad]]</calculatedColumnFormula>
    </tableColumn>
    <tableColumn id="23" xr3:uid="{9F2434E0-B8A1-476A-BDBE-31342159F154}" name="Diferencia" totalsRowFunction="sum" dataDxfId="1" totalsRowDxfId="0">
      <calculatedColumnFormula>Tabla1[[#This Row],[Valor total OS]]-Tabla1[[#This Row],[valor total op]]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1"/>
  <sheetViews>
    <sheetView tabSelected="1" topLeftCell="B315" workbookViewId="0">
      <selection activeCell="N333" sqref="N333"/>
    </sheetView>
  </sheetViews>
  <sheetFormatPr baseColWidth="10" defaultColWidth="8.88671875" defaultRowHeight="14.4" x14ac:dyDescent="0.3"/>
  <cols>
    <col min="1" max="1" width="10.109375" customWidth="1"/>
    <col min="2" max="2" width="11.33203125" customWidth="1"/>
    <col min="5" max="5" width="11.44140625" customWidth="1"/>
    <col min="7" max="7" width="13.33203125" customWidth="1"/>
    <col min="9" max="9" width="17.44140625" customWidth="1"/>
    <col min="11" max="11" width="19.5546875" customWidth="1"/>
    <col min="12" max="12" width="10" customWidth="1"/>
    <col min="13" max="13" width="13.44140625" customWidth="1"/>
    <col min="14" max="14" width="41.33203125" customWidth="1"/>
    <col min="15" max="15" width="21.5546875" customWidth="1"/>
    <col min="16" max="16" width="10.88671875" customWidth="1"/>
    <col min="17" max="17" width="19.21875" style="4" customWidth="1"/>
    <col min="18" max="18" width="16.44140625" style="4" customWidth="1"/>
    <col min="19" max="19" width="17.5546875" style="4" customWidth="1"/>
    <col min="20" max="20" width="8.88671875" style="4"/>
    <col min="21" max="21" width="17.6640625" customWidth="1"/>
    <col min="22" max="22" width="26.77734375" customWidth="1"/>
    <col min="23" max="23" width="33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5" t="s">
        <v>1604</v>
      </c>
      <c r="U1" s="5" t="s">
        <v>1605</v>
      </c>
      <c r="V1" s="5" t="s">
        <v>1606</v>
      </c>
      <c r="W1" s="5" t="s">
        <v>1607</v>
      </c>
    </row>
    <row r="2" spans="1:23" x14ac:dyDescent="0.3">
      <c r="A2">
        <v>6696</v>
      </c>
      <c r="B2">
        <v>10</v>
      </c>
      <c r="C2" t="s">
        <v>32</v>
      </c>
      <c r="D2" t="s">
        <v>33</v>
      </c>
      <c r="E2" t="s">
        <v>34</v>
      </c>
      <c r="F2" t="s">
        <v>35</v>
      </c>
      <c r="G2" s="2">
        <v>46109</v>
      </c>
      <c r="H2">
        <v>82496900</v>
      </c>
      <c r="I2" t="s">
        <v>36</v>
      </c>
      <c r="J2" t="s">
        <v>37</v>
      </c>
      <c r="K2" t="s">
        <v>25</v>
      </c>
      <c r="L2">
        <v>90</v>
      </c>
      <c r="M2">
        <v>90</v>
      </c>
      <c r="N2" t="s">
        <v>38</v>
      </c>
      <c r="O2" t="s">
        <v>39</v>
      </c>
      <c r="P2" t="s">
        <v>40</v>
      </c>
      <c r="Q2" s="4">
        <v>1249830</v>
      </c>
      <c r="R2" s="4">
        <v>1800</v>
      </c>
      <c r="S2" s="4">
        <v>2500</v>
      </c>
      <c r="T2" s="4">
        <f>Tabla1[[#This Row],[OS-Valor Unitario]]-Tabla1[[#This Row],[costo_antes_iva]]</f>
        <v>700</v>
      </c>
      <c r="U2" s="4">
        <f>Tabla1[[#This Row],[OS-Valor Unitario]]*Tabla1[[#This Row],[OS-Cantidad]]</f>
        <v>225000</v>
      </c>
      <c r="V2" s="4">
        <f>Tabla1[[#This Row],[costo_antes_iva]]*Tabla1[[#This Row],[OS-Cantidad]]</f>
        <v>162000</v>
      </c>
      <c r="W2" s="4">
        <f>Tabla1[[#This Row],[Valor total OS]]-Tabla1[[#This Row],[valor total op]]</f>
        <v>63000</v>
      </c>
    </row>
    <row r="3" spans="1:23" x14ac:dyDescent="0.3">
      <c r="A3">
        <v>6696</v>
      </c>
      <c r="B3">
        <v>11</v>
      </c>
      <c r="C3" t="s">
        <v>41</v>
      </c>
      <c r="D3" t="s">
        <v>42</v>
      </c>
      <c r="E3" t="s">
        <v>34</v>
      </c>
      <c r="F3" t="s">
        <v>35</v>
      </c>
      <c r="G3" s="2">
        <v>46109</v>
      </c>
      <c r="H3">
        <v>82496904</v>
      </c>
      <c r="I3" t="s">
        <v>43</v>
      </c>
      <c r="J3" t="s">
        <v>37</v>
      </c>
      <c r="K3" t="s">
        <v>25</v>
      </c>
      <c r="L3">
        <v>20</v>
      </c>
      <c r="M3">
        <v>20</v>
      </c>
      <c r="N3" t="s">
        <v>44</v>
      </c>
      <c r="O3" t="s">
        <v>39</v>
      </c>
      <c r="P3" t="s">
        <v>40</v>
      </c>
      <c r="Q3" s="4">
        <v>277740</v>
      </c>
      <c r="R3" s="4">
        <v>1800</v>
      </c>
      <c r="S3" s="4">
        <v>2500</v>
      </c>
      <c r="T3" s="4">
        <f>Tabla1[[#This Row],[OS-Valor Unitario]]-Tabla1[[#This Row],[costo_antes_iva]]</f>
        <v>700</v>
      </c>
      <c r="U3" s="4">
        <f>Tabla1[[#This Row],[OS-Valor Unitario]]*Tabla1[[#This Row],[OS-Cantidad]]</f>
        <v>50000</v>
      </c>
      <c r="V3" s="4">
        <f>Tabla1[[#This Row],[costo_antes_iva]]*Tabla1[[#This Row],[OS-Cantidad]]</f>
        <v>36000</v>
      </c>
      <c r="W3" s="4">
        <f>Tabla1[[#This Row],[Valor total OS]]-Tabla1[[#This Row],[valor total op]]</f>
        <v>14000</v>
      </c>
    </row>
    <row r="4" spans="1:23" x14ac:dyDescent="0.3">
      <c r="A4">
        <v>6696</v>
      </c>
      <c r="B4">
        <v>12</v>
      </c>
      <c r="C4" t="s">
        <v>45</v>
      </c>
      <c r="D4" t="s">
        <v>46</v>
      </c>
      <c r="E4" t="s">
        <v>34</v>
      </c>
      <c r="F4" t="s">
        <v>35</v>
      </c>
      <c r="G4" s="2">
        <v>46109</v>
      </c>
      <c r="H4">
        <v>82496916</v>
      </c>
      <c r="I4" t="s">
        <v>47</v>
      </c>
      <c r="J4" t="s">
        <v>37</v>
      </c>
      <c r="K4" t="s">
        <v>25</v>
      </c>
      <c r="L4">
        <v>135</v>
      </c>
      <c r="M4">
        <v>135</v>
      </c>
      <c r="N4" t="s">
        <v>48</v>
      </c>
      <c r="O4" t="s">
        <v>39</v>
      </c>
      <c r="P4" t="s">
        <v>40</v>
      </c>
      <c r="Q4" s="4">
        <v>1874745</v>
      </c>
      <c r="R4" s="4">
        <v>1800</v>
      </c>
      <c r="S4" s="4">
        <v>2500</v>
      </c>
      <c r="T4" s="4">
        <f>Tabla1[[#This Row],[OS-Valor Unitario]]-Tabla1[[#This Row],[costo_antes_iva]]</f>
        <v>700</v>
      </c>
      <c r="U4" s="4">
        <f>Tabla1[[#This Row],[OS-Valor Unitario]]*Tabla1[[#This Row],[OS-Cantidad]]</f>
        <v>337500</v>
      </c>
      <c r="V4" s="4">
        <f>Tabla1[[#This Row],[costo_antes_iva]]*Tabla1[[#This Row],[OS-Cantidad]]</f>
        <v>243000</v>
      </c>
      <c r="W4" s="4">
        <f>Tabla1[[#This Row],[Valor total OS]]-Tabla1[[#This Row],[valor total op]]</f>
        <v>94500</v>
      </c>
    </row>
    <row r="5" spans="1:23" x14ac:dyDescent="0.3">
      <c r="A5">
        <v>6694</v>
      </c>
      <c r="B5">
        <v>10</v>
      </c>
      <c r="C5" t="s">
        <v>49</v>
      </c>
      <c r="D5" t="s">
        <v>50</v>
      </c>
      <c r="E5" t="s">
        <v>51</v>
      </c>
      <c r="F5" t="s">
        <v>35</v>
      </c>
      <c r="G5" s="2">
        <v>46109</v>
      </c>
      <c r="H5">
        <v>82486028</v>
      </c>
      <c r="I5" t="s">
        <v>52</v>
      </c>
      <c r="J5" t="s">
        <v>53</v>
      </c>
      <c r="K5" t="s">
        <v>25</v>
      </c>
      <c r="L5">
        <v>70</v>
      </c>
      <c r="M5">
        <v>70</v>
      </c>
      <c r="N5" t="s">
        <v>54</v>
      </c>
      <c r="O5" t="s">
        <v>39</v>
      </c>
      <c r="P5" t="s">
        <v>55</v>
      </c>
      <c r="Q5" s="4">
        <v>1640450</v>
      </c>
      <c r="R5" s="4">
        <v>1800</v>
      </c>
      <c r="S5" s="4">
        <v>1250</v>
      </c>
      <c r="T5" s="4">
        <f>Tabla1[[#This Row],[OS-Valor Unitario]]-Tabla1[[#This Row],[costo_antes_iva]]</f>
        <v>-550</v>
      </c>
      <c r="U5" s="4">
        <f>Tabla1[[#This Row],[OS-Valor Unitario]]*Tabla1[[#This Row],[OS-Cantidad]]</f>
        <v>87500</v>
      </c>
      <c r="V5" s="4">
        <f>Tabla1[[#This Row],[costo_antes_iva]]*Tabla1[[#This Row],[OS-Cantidad]]</f>
        <v>126000</v>
      </c>
      <c r="W5" s="4">
        <f>Tabla1[[#This Row],[Valor total OS]]-Tabla1[[#This Row],[valor total op]]</f>
        <v>-38500</v>
      </c>
    </row>
    <row r="6" spans="1:23" x14ac:dyDescent="0.3">
      <c r="A6">
        <v>6694</v>
      </c>
      <c r="B6">
        <v>14</v>
      </c>
      <c r="C6" t="s">
        <v>56</v>
      </c>
      <c r="D6" t="s">
        <v>57</v>
      </c>
      <c r="E6" t="s">
        <v>58</v>
      </c>
      <c r="F6" t="s">
        <v>35</v>
      </c>
      <c r="G6" s="2">
        <v>46109</v>
      </c>
      <c r="H6">
        <v>82486299</v>
      </c>
      <c r="I6" t="s">
        <v>59</v>
      </c>
      <c r="J6" t="s">
        <v>53</v>
      </c>
      <c r="K6" t="s">
        <v>60</v>
      </c>
      <c r="L6">
        <v>15</v>
      </c>
      <c r="M6">
        <v>15</v>
      </c>
      <c r="N6" t="s">
        <v>61</v>
      </c>
      <c r="O6" t="s">
        <v>39</v>
      </c>
      <c r="P6" t="s">
        <v>62</v>
      </c>
      <c r="Q6" s="4">
        <v>170850</v>
      </c>
      <c r="R6" s="4">
        <v>2500</v>
      </c>
      <c r="S6" s="4">
        <v>3000</v>
      </c>
      <c r="T6" s="4">
        <f>Tabla1[[#This Row],[OS-Valor Unitario]]-Tabla1[[#This Row],[costo_antes_iva]]</f>
        <v>500</v>
      </c>
      <c r="U6" s="4">
        <f>Tabla1[[#This Row],[OS-Valor Unitario]]*Tabla1[[#This Row],[OS-Cantidad]]</f>
        <v>45000</v>
      </c>
      <c r="V6" s="4">
        <f>Tabla1[[#This Row],[costo_antes_iva]]*Tabla1[[#This Row],[OS-Cantidad]]</f>
        <v>37500</v>
      </c>
      <c r="W6" s="4">
        <f>Tabla1[[#This Row],[Valor total OS]]-Tabla1[[#This Row],[valor total op]]</f>
        <v>7500</v>
      </c>
    </row>
    <row r="7" spans="1:23" x14ac:dyDescent="0.3">
      <c r="A7">
        <v>6694</v>
      </c>
      <c r="B7">
        <v>15</v>
      </c>
      <c r="C7" t="s">
        <v>63</v>
      </c>
      <c r="D7" t="s">
        <v>64</v>
      </c>
      <c r="E7" t="s">
        <v>34</v>
      </c>
      <c r="F7" t="s">
        <v>35</v>
      </c>
      <c r="G7" s="2">
        <v>46109</v>
      </c>
      <c r="H7">
        <v>82486311</v>
      </c>
      <c r="I7" t="s">
        <v>65</v>
      </c>
      <c r="J7" t="s">
        <v>53</v>
      </c>
      <c r="K7" t="s">
        <v>25</v>
      </c>
      <c r="L7">
        <v>70</v>
      </c>
      <c r="M7">
        <v>72</v>
      </c>
      <c r="N7" t="s">
        <v>66</v>
      </c>
      <c r="O7" t="s">
        <v>39</v>
      </c>
      <c r="P7" t="s">
        <v>40</v>
      </c>
      <c r="Q7" s="4">
        <v>925120</v>
      </c>
      <c r="R7" s="4">
        <v>1800</v>
      </c>
      <c r="S7" s="4">
        <v>1850</v>
      </c>
      <c r="T7" s="4">
        <f>Tabla1[[#This Row],[OS-Valor Unitario]]-Tabla1[[#This Row],[costo_antes_iva]]</f>
        <v>50</v>
      </c>
      <c r="U7" s="4">
        <f>Tabla1[[#This Row],[OS-Valor Unitario]]*Tabla1[[#This Row],[OS-Cantidad]]</f>
        <v>133200</v>
      </c>
      <c r="V7" s="4">
        <f>Tabla1[[#This Row],[costo_antes_iva]]*Tabla1[[#This Row],[OS-Cantidad]]</f>
        <v>129600</v>
      </c>
      <c r="W7" s="4">
        <f>Tabla1[[#This Row],[Valor total OS]]-Tabla1[[#This Row],[valor total op]]</f>
        <v>3600</v>
      </c>
    </row>
    <row r="8" spans="1:23" x14ac:dyDescent="0.3">
      <c r="A8">
        <v>6694</v>
      </c>
      <c r="B8">
        <v>19</v>
      </c>
      <c r="C8" t="s">
        <v>67</v>
      </c>
      <c r="D8" t="s">
        <v>68</v>
      </c>
      <c r="E8" t="s">
        <v>69</v>
      </c>
      <c r="F8" t="s">
        <v>35</v>
      </c>
      <c r="G8" s="2">
        <v>46109</v>
      </c>
      <c r="H8">
        <v>82486401</v>
      </c>
      <c r="I8" t="s">
        <v>70</v>
      </c>
      <c r="J8" t="s">
        <v>53</v>
      </c>
      <c r="K8" t="s">
        <v>60</v>
      </c>
      <c r="L8">
        <v>115</v>
      </c>
      <c r="M8">
        <v>115</v>
      </c>
      <c r="N8" t="s">
        <v>71</v>
      </c>
      <c r="O8" t="s">
        <v>39</v>
      </c>
      <c r="P8" t="s">
        <v>72</v>
      </c>
      <c r="Q8" s="4">
        <v>3487835</v>
      </c>
      <c r="R8" s="4">
        <v>5000</v>
      </c>
      <c r="S8" s="4">
        <v>5500</v>
      </c>
      <c r="T8" s="4">
        <f>Tabla1[[#This Row],[OS-Valor Unitario]]-Tabla1[[#This Row],[costo_antes_iva]]</f>
        <v>500</v>
      </c>
      <c r="U8" s="4">
        <f>Tabla1[[#This Row],[OS-Valor Unitario]]*Tabla1[[#This Row],[OS-Cantidad]]</f>
        <v>632500</v>
      </c>
      <c r="V8" s="4">
        <f>Tabla1[[#This Row],[costo_antes_iva]]*Tabla1[[#This Row],[OS-Cantidad]]</f>
        <v>575000</v>
      </c>
      <c r="W8" s="4">
        <f>Tabla1[[#This Row],[Valor total OS]]-Tabla1[[#This Row],[valor total op]]</f>
        <v>57500</v>
      </c>
    </row>
    <row r="9" spans="1:23" x14ac:dyDescent="0.3">
      <c r="A9">
        <v>6694</v>
      </c>
      <c r="B9">
        <v>20</v>
      </c>
      <c r="C9" t="s">
        <v>73</v>
      </c>
      <c r="D9" t="s">
        <v>74</v>
      </c>
      <c r="E9" t="s">
        <v>69</v>
      </c>
      <c r="F9" t="s">
        <v>35</v>
      </c>
      <c r="G9" s="2">
        <v>46109</v>
      </c>
      <c r="H9">
        <v>82486407</v>
      </c>
      <c r="I9" t="s">
        <v>75</v>
      </c>
      <c r="J9" t="s">
        <v>53</v>
      </c>
      <c r="K9" t="s">
        <v>60</v>
      </c>
      <c r="L9">
        <v>90</v>
      </c>
      <c r="M9">
        <v>90</v>
      </c>
      <c r="N9" t="s">
        <v>76</v>
      </c>
      <c r="O9" t="s">
        <v>39</v>
      </c>
      <c r="P9" t="s">
        <v>72</v>
      </c>
      <c r="Q9" s="4">
        <v>2729610</v>
      </c>
      <c r="R9" s="4">
        <v>5000</v>
      </c>
      <c r="S9" s="4">
        <v>5500</v>
      </c>
      <c r="T9" s="4">
        <f>Tabla1[[#This Row],[OS-Valor Unitario]]-Tabla1[[#This Row],[costo_antes_iva]]</f>
        <v>500</v>
      </c>
      <c r="U9" s="4">
        <f>Tabla1[[#This Row],[OS-Valor Unitario]]*Tabla1[[#This Row],[OS-Cantidad]]</f>
        <v>495000</v>
      </c>
      <c r="V9" s="4">
        <f>Tabla1[[#This Row],[costo_antes_iva]]*Tabla1[[#This Row],[OS-Cantidad]]</f>
        <v>450000</v>
      </c>
      <c r="W9" s="4">
        <f>Tabla1[[#This Row],[Valor total OS]]-Tabla1[[#This Row],[valor total op]]</f>
        <v>45000</v>
      </c>
    </row>
    <row r="10" spans="1:23" x14ac:dyDescent="0.3">
      <c r="A10">
        <v>6692</v>
      </c>
      <c r="B10">
        <v>1</v>
      </c>
      <c r="C10" t="s">
        <v>77</v>
      </c>
      <c r="D10" t="s">
        <v>78</v>
      </c>
      <c r="E10" t="s">
        <v>79</v>
      </c>
      <c r="F10" t="s">
        <v>80</v>
      </c>
      <c r="G10" s="2">
        <v>46108</v>
      </c>
      <c r="H10">
        <v>82450793</v>
      </c>
      <c r="I10" t="s">
        <v>81</v>
      </c>
      <c r="J10" t="s">
        <v>82</v>
      </c>
      <c r="K10" t="s">
        <v>25</v>
      </c>
      <c r="L10">
        <v>206</v>
      </c>
      <c r="M10">
        <v>206</v>
      </c>
      <c r="N10" t="s">
        <v>83</v>
      </c>
      <c r="O10" t="s">
        <v>84</v>
      </c>
      <c r="P10" t="s">
        <v>85</v>
      </c>
      <c r="Q10" s="4">
        <v>7297138</v>
      </c>
      <c r="R10" s="4">
        <v>1000</v>
      </c>
      <c r="S10" s="4">
        <v>1000</v>
      </c>
      <c r="T10" s="4">
        <f>Tabla1[[#This Row],[OS-Valor Unitario]]-Tabla1[[#This Row],[costo_antes_iva]]</f>
        <v>0</v>
      </c>
      <c r="U10" s="4">
        <f>Tabla1[[#This Row],[OS-Valor Unitario]]*Tabla1[[#This Row],[OS-Cantidad]]</f>
        <v>206000</v>
      </c>
      <c r="V10" s="4">
        <f>Tabla1[[#This Row],[costo_antes_iva]]*Tabla1[[#This Row],[OS-Cantidad]]</f>
        <v>206000</v>
      </c>
      <c r="W10" s="4">
        <f>Tabla1[[#This Row],[Valor total OS]]-Tabla1[[#This Row],[valor total op]]</f>
        <v>0</v>
      </c>
    </row>
    <row r="11" spans="1:23" x14ac:dyDescent="0.3">
      <c r="A11">
        <v>6692</v>
      </c>
      <c r="B11">
        <v>1</v>
      </c>
      <c r="C11" t="s">
        <v>77</v>
      </c>
      <c r="D11" t="s">
        <v>78</v>
      </c>
      <c r="E11" t="s">
        <v>79</v>
      </c>
      <c r="F11" t="s">
        <v>80</v>
      </c>
      <c r="G11" s="2">
        <v>46108</v>
      </c>
      <c r="H11">
        <v>82450793</v>
      </c>
      <c r="I11" t="s">
        <v>81</v>
      </c>
      <c r="J11" t="s">
        <v>82</v>
      </c>
      <c r="K11" t="s">
        <v>86</v>
      </c>
      <c r="L11">
        <v>206</v>
      </c>
      <c r="M11">
        <v>206</v>
      </c>
      <c r="N11" t="s">
        <v>87</v>
      </c>
      <c r="O11" t="s">
        <v>84</v>
      </c>
      <c r="P11" t="s">
        <v>85</v>
      </c>
      <c r="Q11" s="4">
        <v>7297138</v>
      </c>
      <c r="R11" s="4">
        <v>12000</v>
      </c>
      <c r="S11" s="4">
        <v>12000</v>
      </c>
      <c r="T11" s="4">
        <f>Tabla1[[#This Row],[OS-Valor Unitario]]-Tabla1[[#This Row],[costo_antes_iva]]</f>
        <v>0</v>
      </c>
      <c r="U11" s="4">
        <f>Tabla1[[#This Row],[OS-Valor Unitario]]*Tabla1[[#This Row],[OS-Cantidad]]</f>
        <v>2472000</v>
      </c>
      <c r="V11" s="4">
        <f>Tabla1[[#This Row],[costo_antes_iva]]*Tabla1[[#This Row],[OS-Cantidad]]</f>
        <v>2472000</v>
      </c>
      <c r="W11" s="4">
        <f>Tabla1[[#This Row],[Valor total OS]]-Tabla1[[#This Row],[valor total op]]</f>
        <v>0</v>
      </c>
    </row>
    <row r="12" spans="1:23" x14ac:dyDescent="0.3">
      <c r="A12">
        <v>6690</v>
      </c>
      <c r="B12">
        <v>1</v>
      </c>
      <c r="C12" t="s">
        <v>88</v>
      </c>
      <c r="D12" t="s">
        <v>89</v>
      </c>
      <c r="E12" t="s">
        <v>79</v>
      </c>
      <c r="F12" t="s">
        <v>90</v>
      </c>
      <c r="G12" s="2">
        <v>46108</v>
      </c>
      <c r="H12">
        <v>82449661</v>
      </c>
      <c r="I12" t="s">
        <v>91</v>
      </c>
      <c r="J12" t="s">
        <v>92</v>
      </c>
      <c r="K12" t="s">
        <v>25</v>
      </c>
      <c r="L12">
        <v>5</v>
      </c>
      <c r="M12">
        <v>5</v>
      </c>
      <c r="N12" t="s">
        <v>93</v>
      </c>
      <c r="O12" t="s">
        <v>27</v>
      </c>
      <c r="P12" t="s">
        <v>85</v>
      </c>
      <c r="Q12" s="4">
        <v>241955</v>
      </c>
      <c r="R12" s="4">
        <v>5600</v>
      </c>
      <c r="S12" s="4">
        <v>5600</v>
      </c>
      <c r="T12" s="4">
        <f>Tabla1[[#This Row],[OS-Valor Unitario]]-Tabla1[[#This Row],[costo_antes_iva]]</f>
        <v>0</v>
      </c>
      <c r="U12" s="4">
        <f>Tabla1[[#This Row],[OS-Valor Unitario]]*Tabla1[[#This Row],[OS-Cantidad]]</f>
        <v>28000</v>
      </c>
      <c r="V12" s="4">
        <f>Tabla1[[#This Row],[costo_antes_iva]]*Tabla1[[#This Row],[OS-Cantidad]]</f>
        <v>28000</v>
      </c>
      <c r="W12" s="4">
        <f>Tabla1[[#This Row],[Valor total OS]]-Tabla1[[#This Row],[valor total op]]</f>
        <v>0</v>
      </c>
    </row>
    <row r="13" spans="1:23" x14ac:dyDescent="0.3">
      <c r="A13">
        <v>6689</v>
      </c>
      <c r="B13">
        <v>1</v>
      </c>
      <c r="C13" t="s">
        <v>94</v>
      </c>
      <c r="D13" t="s">
        <v>95</v>
      </c>
      <c r="E13" t="s">
        <v>96</v>
      </c>
      <c r="F13" t="s">
        <v>97</v>
      </c>
      <c r="G13" s="2">
        <v>46107</v>
      </c>
      <c r="H13">
        <v>82419909</v>
      </c>
      <c r="I13" t="s">
        <v>98</v>
      </c>
      <c r="J13" t="s">
        <v>99</v>
      </c>
      <c r="K13" t="s">
        <v>60</v>
      </c>
      <c r="L13">
        <v>45</v>
      </c>
      <c r="M13">
        <v>45</v>
      </c>
      <c r="N13" t="s">
        <v>100</v>
      </c>
      <c r="O13" t="s">
        <v>101</v>
      </c>
      <c r="P13" t="s">
        <v>28</v>
      </c>
      <c r="Q13" s="4">
        <v>1138995</v>
      </c>
      <c r="R13" s="4">
        <v>7500</v>
      </c>
      <c r="S13" s="4">
        <v>7000</v>
      </c>
      <c r="T13" s="4">
        <f>Tabla1[[#This Row],[OS-Valor Unitario]]-Tabla1[[#This Row],[costo_antes_iva]]</f>
        <v>-500</v>
      </c>
      <c r="U13" s="4">
        <f>Tabla1[[#This Row],[OS-Valor Unitario]]*Tabla1[[#This Row],[OS-Cantidad]]</f>
        <v>315000</v>
      </c>
      <c r="V13" s="4">
        <f>Tabla1[[#This Row],[costo_antes_iva]]*Tabla1[[#This Row],[OS-Cantidad]]</f>
        <v>337500</v>
      </c>
      <c r="W13" s="4">
        <f>Tabla1[[#This Row],[Valor total OS]]-Tabla1[[#This Row],[valor total op]]</f>
        <v>-22500</v>
      </c>
    </row>
    <row r="14" spans="1:23" x14ac:dyDescent="0.3">
      <c r="A14">
        <v>6689</v>
      </c>
      <c r="B14">
        <v>2</v>
      </c>
      <c r="C14" t="s">
        <v>102</v>
      </c>
      <c r="D14" t="s">
        <v>103</v>
      </c>
      <c r="E14" t="s">
        <v>104</v>
      </c>
      <c r="F14" t="s">
        <v>97</v>
      </c>
      <c r="G14" s="2">
        <v>46107</v>
      </c>
      <c r="H14">
        <v>82419915</v>
      </c>
      <c r="I14" t="s">
        <v>105</v>
      </c>
      <c r="J14" t="s">
        <v>99</v>
      </c>
      <c r="K14" t="s">
        <v>25</v>
      </c>
      <c r="L14">
        <v>45</v>
      </c>
      <c r="M14">
        <v>45</v>
      </c>
      <c r="N14" t="s">
        <v>106</v>
      </c>
      <c r="O14" t="s">
        <v>101</v>
      </c>
      <c r="P14" t="s">
        <v>107</v>
      </c>
      <c r="Q14" s="4">
        <v>1253475</v>
      </c>
      <c r="R14" s="4">
        <v>2000</v>
      </c>
      <c r="S14" s="4">
        <v>3500</v>
      </c>
      <c r="T14" s="4">
        <f>Tabla1[[#This Row],[OS-Valor Unitario]]-Tabla1[[#This Row],[costo_antes_iva]]</f>
        <v>1500</v>
      </c>
      <c r="U14" s="4">
        <f>Tabla1[[#This Row],[OS-Valor Unitario]]*Tabla1[[#This Row],[OS-Cantidad]]</f>
        <v>157500</v>
      </c>
      <c r="V14" s="4">
        <f>Tabla1[[#This Row],[costo_antes_iva]]*Tabla1[[#This Row],[OS-Cantidad]]</f>
        <v>90000</v>
      </c>
      <c r="W14" s="4">
        <f>Tabla1[[#This Row],[Valor total OS]]-Tabla1[[#This Row],[valor total op]]</f>
        <v>67500</v>
      </c>
    </row>
    <row r="15" spans="1:23" x14ac:dyDescent="0.3">
      <c r="A15">
        <v>6688</v>
      </c>
      <c r="B15">
        <v>2</v>
      </c>
      <c r="C15" t="s">
        <v>108</v>
      </c>
      <c r="D15" t="s">
        <v>109</v>
      </c>
      <c r="E15" t="s">
        <v>104</v>
      </c>
      <c r="F15" t="s">
        <v>97</v>
      </c>
      <c r="G15" s="2">
        <v>46107</v>
      </c>
      <c r="H15">
        <v>82418981</v>
      </c>
      <c r="I15" t="s">
        <v>110</v>
      </c>
      <c r="J15" t="s">
        <v>111</v>
      </c>
      <c r="K15" t="s">
        <v>25</v>
      </c>
      <c r="L15">
        <v>34</v>
      </c>
      <c r="M15">
        <v>34</v>
      </c>
      <c r="N15" t="s">
        <v>112</v>
      </c>
      <c r="O15" t="s">
        <v>101</v>
      </c>
      <c r="P15" t="s">
        <v>107</v>
      </c>
      <c r="Q15" s="4">
        <v>947070</v>
      </c>
      <c r="R15" s="4">
        <v>2000</v>
      </c>
      <c r="S15" s="4">
        <v>800</v>
      </c>
      <c r="T15" s="4">
        <f>Tabla1[[#This Row],[OS-Valor Unitario]]-Tabla1[[#This Row],[costo_antes_iva]]</f>
        <v>-1200</v>
      </c>
      <c r="U15" s="4">
        <f>Tabla1[[#This Row],[OS-Valor Unitario]]*Tabla1[[#This Row],[OS-Cantidad]]</f>
        <v>27200</v>
      </c>
      <c r="V15" s="4">
        <f>Tabla1[[#This Row],[costo_antes_iva]]*Tabla1[[#This Row],[OS-Cantidad]]</f>
        <v>68000</v>
      </c>
      <c r="W15" s="4">
        <f>Tabla1[[#This Row],[Valor total OS]]-Tabla1[[#This Row],[valor total op]]</f>
        <v>-40800</v>
      </c>
    </row>
    <row r="16" spans="1:23" x14ac:dyDescent="0.3">
      <c r="A16">
        <v>6686</v>
      </c>
      <c r="B16">
        <v>1</v>
      </c>
      <c r="C16" t="s">
        <v>113</v>
      </c>
      <c r="D16" t="s">
        <v>114</v>
      </c>
      <c r="E16" t="s">
        <v>79</v>
      </c>
      <c r="F16" t="s">
        <v>115</v>
      </c>
      <c r="G16" s="2">
        <v>46107</v>
      </c>
      <c r="H16">
        <v>82397121</v>
      </c>
      <c r="I16" t="s">
        <v>116</v>
      </c>
      <c r="J16" t="s">
        <v>117</v>
      </c>
      <c r="K16" t="s">
        <v>60</v>
      </c>
      <c r="L16">
        <v>4</v>
      </c>
      <c r="M16">
        <v>4</v>
      </c>
      <c r="N16" t="s">
        <v>118</v>
      </c>
      <c r="O16" t="s">
        <v>101</v>
      </c>
      <c r="P16" t="s">
        <v>85</v>
      </c>
      <c r="Q16" s="4">
        <v>158564</v>
      </c>
      <c r="R16" s="4">
        <v>13500</v>
      </c>
      <c r="S16" s="4">
        <v>15000</v>
      </c>
      <c r="T16" s="4">
        <f>Tabla1[[#This Row],[OS-Valor Unitario]]-Tabla1[[#This Row],[costo_antes_iva]]</f>
        <v>1500</v>
      </c>
      <c r="U16" s="4">
        <f>Tabla1[[#This Row],[OS-Valor Unitario]]*Tabla1[[#This Row],[OS-Cantidad]]</f>
        <v>60000</v>
      </c>
      <c r="V16" s="4">
        <f>Tabla1[[#This Row],[costo_antes_iva]]*Tabla1[[#This Row],[OS-Cantidad]]</f>
        <v>54000</v>
      </c>
      <c r="W16" s="4">
        <f>Tabla1[[#This Row],[Valor total OS]]-Tabla1[[#This Row],[valor total op]]</f>
        <v>6000</v>
      </c>
    </row>
    <row r="17" spans="1:23" x14ac:dyDescent="0.3">
      <c r="A17">
        <v>6682</v>
      </c>
      <c r="B17">
        <v>3</v>
      </c>
      <c r="C17" t="s">
        <v>119</v>
      </c>
      <c r="D17" t="s">
        <v>120</v>
      </c>
      <c r="E17" t="s">
        <v>121</v>
      </c>
      <c r="F17" t="s">
        <v>122</v>
      </c>
      <c r="G17" s="2">
        <v>46106</v>
      </c>
      <c r="H17">
        <v>82332791</v>
      </c>
      <c r="I17" t="s">
        <v>123</v>
      </c>
      <c r="J17" t="s">
        <v>124</v>
      </c>
      <c r="K17" t="s">
        <v>60</v>
      </c>
      <c r="L17">
        <v>1200</v>
      </c>
      <c r="M17">
        <v>1200</v>
      </c>
      <c r="N17" t="s">
        <v>125</v>
      </c>
      <c r="O17" t="s">
        <v>126</v>
      </c>
      <c r="P17" t="s">
        <v>127</v>
      </c>
      <c r="Q17" s="4">
        <v>37868400</v>
      </c>
      <c r="R17" s="4">
        <v>9000</v>
      </c>
      <c r="S17" s="4">
        <v>7500</v>
      </c>
      <c r="T17" s="4">
        <f>Tabla1[[#This Row],[OS-Valor Unitario]]-Tabla1[[#This Row],[costo_antes_iva]]</f>
        <v>-1500</v>
      </c>
      <c r="U17" s="4">
        <f>Tabla1[[#This Row],[OS-Valor Unitario]]*Tabla1[[#This Row],[OS-Cantidad]]</f>
        <v>9000000</v>
      </c>
      <c r="V17" s="4">
        <f>Tabla1[[#This Row],[costo_antes_iva]]*Tabla1[[#This Row],[OS-Cantidad]]</f>
        <v>10800000</v>
      </c>
      <c r="W17" s="4">
        <f>Tabla1[[#This Row],[Valor total OS]]-Tabla1[[#This Row],[valor total op]]</f>
        <v>-1800000</v>
      </c>
    </row>
    <row r="18" spans="1:23" x14ac:dyDescent="0.3">
      <c r="A18">
        <v>6682</v>
      </c>
      <c r="B18">
        <v>4</v>
      </c>
      <c r="C18" t="s">
        <v>128</v>
      </c>
      <c r="D18" t="s">
        <v>129</v>
      </c>
      <c r="E18" t="s">
        <v>130</v>
      </c>
      <c r="F18" t="s">
        <v>122</v>
      </c>
      <c r="G18" s="2">
        <v>46106</v>
      </c>
      <c r="H18">
        <v>82338137</v>
      </c>
      <c r="I18" t="s">
        <v>131</v>
      </c>
      <c r="J18" t="s">
        <v>124</v>
      </c>
      <c r="K18" t="s">
        <v>60</v>
      </c>
      <c r="L18">
        <v>300</v>
      </c>
      <c r="M18">
        <v>300</v>
      </c>
      <c r="N18" t="s">
        <v>132</v>
      </c>
      <c r="O18" t="s">
        <v>126</v>
      </c>
      <c r="P18" t="s">
        <v>130</v>
      </c>
      <c r="Q18" s="4">
        <v>13425000</v>
      </c>
      <c r="R18" s="4">
        <v>1800</v>
      </c>
      <c r="S18" s="4">
        <v>1500</v>
      </c>
      <c r="T18" s="4">
        <f>Tabla1[[#This Row],[OS-Valor Unitario]]-Tabla1[[#This Row],[costo_antes_iva]]</f>
        <v>-300</v>
      </c>
      <c r="U18" s="4">
        <f>Tabla1[[#This Row],[OS-Valor Unitario]]*Tabla1[[#This Row],[OS-Cantidad]]</f>
        <v>450000</v>
      </c>
      <c r="V18" s="4">
        <f>Tabla1[[#This Row],[costo_antes_iva]]*Tabla1[[#This Row],[OS-Cantidad]]</f>
        <v>540000</v>
      </c>
      <c r="W18" s="4">
        <f>Tabla1[[#This Row],[Valor total OS]]-Tabla1[[#This Row],[valor total op]]</f>
        <v>-90000</v>
      </c>
    </row>
    <row r="19" spans="1:23" x14ac:dyDescent="0.3">
      <c r="A19">
        <v>6682</v>
      </c>
      <c r="B19">
        <v>6</v>
      </c>
      <c r="C19" t="s">
        <v>133</v>
      </c>
      <c r="D19" t="s">
        <v>134</v>
      </c>
      <c r="E19" t="s">
        <v>135</v>
      </c>
      <c r="F19" t="s">
        <v>122</v>
      </c>
      <c r="G19" s="2">
        <v>46106</v>
      </c>
      <c r="H19">
        <v>82339593</v>
      </c>
      <c r="I19" t="s">
        <v>136</v>
      </c>
      <c r="J19" t="s">
        <v>137</v>
      </c>
      <c r="K19" t="s">
        <v>138</v>
      </c>
      <c r="L19">
        <v>107</v>
      </c>
      <c r="M19">
        <v>107</v>
      </c>
      <c r="N19" t="s">
        <v>139</v>
      </c>
      <c r="O19" t="s">
        <v>126</v>
      </c>
      <c r="P19" t="s">
        <v>135</v>
      </c>
      <c r="Q19" s="4">
        <v>7231167</v>
      </c>
      <c r="R19" s="4">
        <v>5600</v>
      </c>
      <c r="S19" s="4">
        <v>7000</v>
      </c>
      <c r="T19" s="4">
        <f>Tabla1[[#This Row],[OS-Valor Unitario]]-Tabla1[[#This Row],[costo_antes_iva]]</f>
        <v>1400</v>
      </c>
      <c r="U19" s="4">
        <f>Tabla1[[#This Row],[OS-Valor Unitario]]*Tabla1[[#This Row],[OS-Cantidad]]</f>
        <v>749000</v>
      </c>
      <c r="V19" s="4">
        <f>Tabla1[[#This Row],[costo_antes_iva]]*Tabla1[[#This Row],[OS-Cantidad]]</f>
        <v>599200</v>
      </c>
      <c r="W19" s="4">
        <f>Tabla1[[#This Row],[Valor total OS]]-Tabla1[[#This Row],[valor total op]]</f>
        <v>149800</v>
      </c>
    </row>
    <row r="20" spans="1:23" x14ac:dyDescent="0.3">
      <c r="A20">
        <v>6681</v>
      </c>
      <c r="B20">
        <v>1</v>
      </c>
      <c r="C20" t="s">
        <v>140</v>
      </c>
      <c r="D20" t="s">
        <v>141</v>
      </c>
      <c r="E20" t="s">
        <v>142</v>
      </c>
      <c r="F20" t="s">
        <v>143</v>
      </c>
      <c r="G20" s="2">
        <v>46106</v>
      </c>
      <c r="H20">
        <v>82337803</v>
      </c>
      <c r="I20" t="s">
        <v>144</v>
      </c>
      <c r="J20" t="s">
        <v>145</v>
      </c>
      <c r="K20" t="s">
        <v>60</v>
      </c>
      <c r="L20">
        <v>5653</v>
      </c>
      <c r="M20">
        <v>5032</v>
      </c>
      <c r="N20" t="s">
        <v>146</v>
      </c>
      <c r="O20" t="s">
        <v>27</v>
      </c>
      <c r="P20" t="s">
        <v>72</v>
      </c>
      <c r="Q20" s="4">
        <v>151443870</v>
      </c>
      <c r="R20" s="4">
        <v>12500</v>
      </c>
      <c r="S20" s="4">
        <v>11104.80922098569</v>
      </c>
      <c r="T20" s="4">
        <f>Tabla1[[#This Row],[OS-Valor Unitario]]-Tabla1[[#This Row],[costo_antes_iva]]</f>
        <v>-1395.1907790143105</v>
      </c>
      <c r="U20" s="4">
        <f>Tabla1[[#This Row],[OS-Valor Unitario]]*Tabla1[[#This Row],[OS-Cantidad]]</f>
        <v>55879399.999999993</v>
      </c>
      <c r="V20" s="4">
        <f>Tabla1[[#This Row],[costo_antes_iva]]*Tabla1[[#This Row],[OS-Cantidad]]</f>
        <v>62900000</v>
      </c>
      <c r="W20" s="4">
        <f>Tabla1[[#This Row],[Valor total OS]]-Tabla1[[#This Row],[valor total op]]</f>
        <v>-7020600.0000000075</v>
      </c>
    </row>
    <row r="21" spans="1:23" x14ac:dyDescent="0.3">
      <c r="A21">
        <v>6681</v>
      </c>
      <c r="B21">
        <v>2</v>
      </c>
      <c r="C21" t="s">
        <v>147</v>
      </c>
      <c r="D21" t="s">
        <v>148</v>
      </c>
      <c r="E21" t="s">
        <v>149</v>
      </c>
      <c r="F21" t="s">
        <v>143</v>
      </c>
      <c r="G21" s="2">
        <v>46106</v>
      </c>
      <c r="H21">
        <v>82337867</v>
      </c>
      <c r="I21" t="s">
        <v>144</v>
      </c>
      <c r="J21" t="s">
        <v>145</v>
      </c>
      <c r="K21" t="s">
        <v>60</v>
      </c>
      <c r="L21">
        <v>6149</v>
      </c>
      <c r="M21">
        <v>5797</v>
      </c>
      <c r="N21" t="s">
        <v>150</v>
      </c>
      <c r="O21" t="s">
        <v>27</v>
      </c>
      <c r="P21" t="s">
        <v>72</v>
      </c>
      <c r="Q21" s="4">
        <v>164731710</v>
      </c>
      <c r="R21" s="4">
        <v>12500</v>
      </c>
      <c r="S21" s="4">
        <v>11090.90909090909</v>
      </c>
      <c r="T21" s="4">
        <f>Tabla1[[#This Row],[OS-Valor Unitario]]-Tabla1[[#This Row],[costo_antes_iva]]</f>
        <v>-1409.0909090909099</v>
      </c>
      <c r="U21" s="4">
        <f>Tabla1[[#This Row],[OS-Valor Unitario]]*Tabla1[[#This Row],[OS-Cantidad]]</f>
        <v>64293999.999999993</v>
      </c>
      <c r="V21" s="4">
        <f>Tabla1[[#This Row],[costo_antes_iva]]*Tabla1[[#This Row],[OS-Cantidad]]</f>
        <v>72462500</v>
      </c>
      <c r="W21" s="4">
        <f>Tabla1[[#This Row],[Valor total OS]]-Tabla1[[#This Row],[valor total op]]</f>
        <v>-8168500.0000000075</v>
      </c>
    </row>
    <row r="22" spans="1:23" x14ac:dyDescent="0.3">
      <c r="A22">
        <v>6628</v>
      </c>
      <c r="B22">
        <v>1</v>
      </c>
      <c r="C22" t="s">
        <v>151</v>
      </c>
      <c r="D22" t="s">
        <v>152</v>
      </c>
      <c r="E22" t="s">
        <v>79</v>
      </c>
      <c r="F22" t="s">
        <v>90</v>
      </c>
      <c r="G22" s="2">
        <v>46080</v>
      </c>
      <c r="H22">
        <v>80815764</v>
      </c>
      <c r="I22" t="s">
        <v>153</v>
      </c>
      <c r="J22" t="s">
        <v>154</v>
      </c>
      <c r="K22" t="s">
        <v>60</v>
      </c>
      <c r="L22">
        <v>2</v>
      </c>
      <c r="M22">
        <v>2</v>
      </c>
      <c r="N22" t="s">
        <v>155</v>
      </c>
      <c r="O22" t="s">
        <v>27</v>
      </c>
      <c r="P22" t="s">
        <v>85</v>
      </c>
      <c r="Q22" s="4">
        <v>204362</v>
      </c>
      <c r="R22" s="4">
        <v>12500</v>
      </c>
      <c r="S22" s="4">
        <v>12500</v>
      </c>
      <c r="T22" s="4">
        <f>Tabla1[[#This Row],[OS-Valor Unitario]]-Tabla1[[#This Row],[costo_antes_iva]]</f>
        <v>0</v>
      </c>
      <c r="U22" s="4">
        <f>Tabla1[[#This Row],[OS-Valor Unitario]]*Tabla1[[#This Row],[OS-Cantidad]]</f>
        <v>25000</v>
      </c>
      <c r="V22" s="4">
        <f>Tabla1[[#This Row],[costo_antes_iva]]*Tabla1[[#This Row],[OS-Cantidad]]</f>
        <v>25000</v>
      </c>
      <c r="W22" s="4">
        <f>Tabla1[[#This Row],[Valor total OS]]-Tabla1[[#This Row],[valor total op]]</f>
        <v>0</v>
      </c>
    </row>
    <row r="23" spans="1:23" x14ac:dyDescent="0.3">
      <c r="A23">
        <v>6628</v>
      </c>
      <c r="B23">
        <v>1</v>
      </c>
      <c r="C23" t="s">
        <v>151</v>
      </c>
      <c r="D23" t="s">
        <v>152</v>
      </c>
      <c r="E23" t="s">
        <v>79</v>
      </c>
      <c r="F23" t="s">
        <v>90</v>
      </c>
      <c r="G23" s="2">
        <v>46080</v>
      </c>
      <c r="H23">
        <v>80815764</v>
      </c>
      <c r="I23" t="s">
        <v>153</v>
      </c>
      <c r="J23" t="s">
        <v>154</v>
      </c>
      <c r="K23" t="s">
        <v>25</v>
      </c>
      <c r="L23">
        <v>2</v>
      </c>
      <c r="M23">
        <v>2</v>
      </c>
      <c r="N23" t="s">
        <v>156</v>
      </c>
      <c r="O23" t="s">
        <v>27</v>
      </c>
      <c r="P23" t="s">
        <v>85</v>
      </c>
      <c r="Q23" s="4">
        <v>204362</v>
      </c>
      <c r="R23" s="4">
        <v>5600</v>
      </c>
      <c r="S23" s="4">
        <v>2800</v>
      </c>
      <c r="T23" s="4">
        <f>Tabla1[[#This Row],[OS-Valor Unitario]]-Tabla1[[#This Row],[costo_antes_iva]]</f>
        <v>-2800</v>
      </c>
      <c r="U23" s="4">
        <f>Tabla1[[#This Row],[OS-Valor Unitario]]*Tabla1[[#This Row],[OS-Cantidad]]</f>
        <v>5600</v>
      </c>
      <c r="V23" s="4">
        <f>Tabla1[[#This Row],[costo_antes_iva]]*Tabla1[[#This Row],[OS-Cantidad]]</f>
        <v>11200</v>
      </c>
      <c r="W23" s="4">
        <f>Tabla1[[#This Row],[Valor total OS]]-Tabla1[[#This Row],[valor total op]]</f>
        <v>-5600</v>
      </c>
    </row>
    <row r="24" spans="1:23" x14ac:dyDescent="0.3">
      <c r="A24">
        <v>6625</v>
      </c>
      <c r="B24">
        <v>1</v>
      </c>
      <c r="C24" t="s">
        <v>157</v>
      </c>
      <c r="D24" t="s">
        <v>158</v>
      </c>
      <c r="E24" t="s">
        <v>96</v>
      </c>
      <c r="F24" t="s">
        <v>159</v>
      </c>
      <c r="G24" s="2">
        <v>46080</v>
      </c>
      <c r="H24">
        <v>80846108</v>
      </c>
      <c r="I24" t="s">
        <v>160</v>
      </c>
      <c r="J24" t="s">
        <v>161</v>
      </c>
      <c r="K24" t="s">
        <v>60</v>
      </c>
      <c r="L24">
        <v>53</v>
      </c>
      <c r="M24">
        <v>53</v>
      </c>
      <c r="N24" t="s">
        <v>162</v>
      </c>
      <c r="O24" t="s">
        <v>126</v>
      </c>
      <c r="P24" t="s">
        <v>28</v>
      </c>
      <c r="Q24" s="4">
        <v>1765271</v>
      </c>
      <c r="R24" s="4">
        <v>6000</v>
      </c>
      <c r="S24" s="4">
        <v>5500</v>
      </c>
      <c r="T24" s="4">
        <f>Tabla1[[#This Row],[OS-Valor Unitario]]-Tabla1[[#This Row],[costo_antes_iva]]</f>
        <v>-500</v>
      </c>
      <c r="U24" s="4">
        <f>Tabla1[[#This Row],[OS-Valor Unitario]]*Tabla1[[#This Row],[OS-Cantidad]]</f>
        <v>291500</v>
      </c>
      <c r="V24" s="4">
        <f>Tabla1[[#This Row],[costo_antes_iva]]*Tabla1[[#This Row],[OS-Cantidad]]</f>
        <v>318000</v>
      </c>
      <c r="W24" s="4">
        <f>Tabla1[[#This Row],[Valor total OS]]-Tabla1[[#This Row],[valor total op]]</f>
        <v>-26500</v>
      </c>
    </row>
    <row r="25" spans="1:23" x14ac:dyDescent="0.3">
      <c r="A25">
        <v>6625</v>
      </c>
      <c r="B25">
        <v>1</v>
      </c>
      <c r="C25" t="s">
        <v>157</v>
      </c>
      <c r="D25" t="s">
        <v>158</v>
      </c>
      <c r="E25" t="s">
        <v>96</v>
      </c>
      <c r="F25" t="s">
        <v>159</v>
      </c>
      <c r="G25" s="2">
        <v>46080</v>
      </c>
      <c r="H25">
        <v>80846108</v>
      </c>
      <c r="I25" t="s">
        <v>160</v>
      </c>
      <c r="J25" t="s">
        <v>161</v>
      </c>
      <c r="K25" t="s">
        <v>25</v>
      </c>
      <c r="L25">
        <v>53</v>
      </c>
      <c r="M25">
        <v>53</v>
      </c>
      <c r="N25" t="s">
        <v>163</v>
      </c>
      <c r="O25" t="s">
        <v>126</v>
      </c>
      <c r="P25" t="s">
        <v>28</v>
      </c>
      <c r="Q25" s="4">
        <v>1765271</v>
      </c>
      <c r="R25" s="4">
        <v>1200</v>
      </c>
      <c r="S25" s="4">
        <v>1400</v>
      </c>
      <c r="T25" s="4">
        <f>Tabla1[[#This Row],[OS-Valor Unitario]]-Tabla1[[#This Row],[costo_antes_iva]]</f>
        <v>200</v>
      </c>
      <c r="U25" s="4">
        <f>Tabla1[[#This Row],[OS-Valor Unitario]]*Tabla1[[#This Row],[OS-Cantidad]]</f>
        <v>74200</v>
      </c>
      <c r="V25" s="4">
        <f>Tabla1[[#This Row],[costo_antes_iva]]*Tabla1[[#This Row],[OS-Cantidad]]</f>
        <v>63600</v>
      </c>
      <c r="W25" s="4">
        <f>Tabla1[[#This Row],[Valor total OS]]-Tabla1[[#This Row],[valor total op]]</f>
        <v>10600</v>
      </c>
    </row>
    <row r="26" spans="1:23" x14ac:dyDescent="0.3">
      <c r="A26">
        <v>6625</v>
      </c>
      <c r="B26">
        <v>2</v>
      </c>
      <c r="C26" t="s">
        <v>164</v>
      </c>
      <c r="D26" t="s">
        <v>165</v>
      </c>
      <c r="E26" t="s">
        <v>166</v>
      </c>
      <c r="F26" t="s">
        <v>159</v>
      </c>
      <c r="G26" s="2">
        <v>46080</v>
      </c>
      <c r="H26">
        <v>80846131</v>
      </c>
      <c r="I26" t="s">
        <v>167</v>
      </c>
      <c r="J26" t="s">
        <v>161</v>
      </c>
      <c r="K26" t="s">
        <v>60</v>
      </c>
      <c r="L26">
        <v>85</v>
      </c>
      <c r="M26">
        <v>85</v>
      </c>
      <c r="N26" t="s">
        <v>168</v>
      </c>
      <c r="O26" t="s">
        <v>126</v>
      </c>
      <c r="P26" t="s">
        <v>169</v>
      </c>
      <c r="Q26" s="4">
        <v>3755470</v>
      </c>
      <c r="R26" s="4">
        <v>9000</v>
      </c>
      <c r="S26" s="4">
        <v>7500</v>
      </c>
      <c r="T26" s="4">
        <f>Tabla1[[#This Row],[OS-Valor Unitario]]-Tabla1[[#This Row],[costo_antes_iva]]</f>
        <v>-1500</v>
      </c>
      <c r="U26" s="4">
        <f>Tabla1[[#This Row],[OS-Valor Unitario]]*Tabla1[[#This Row],[OS-Cantidad]]</f>
        <v>637500</v>
      </c>
      <c r="V26" s="4">
        <f>Tabla1[[#This Row],[costo_antes_iva]]*Tabla1[[#This Row],[OS-Cantidad]]</f>
        <v>765000</v>
      </c>
      <c r="W26" s="4">
        <f>Tabla1[[#This Row],[Valor total OS]]-Tabla1[[#This Row],[valor total op]]</f>
        <v>-127500</v>
      </c>
    </row>
    <row r="27" spans="1:23" x14ac:dyDescent="0.3">
      <c r="A27">
        <v>6625</v>
      </c>
      <c r="B27">
        <v>2</v>
      </c>
      <c r="C27" t="s">
        <v>164</v>
      </c>
      <c r="D27" t="s">
        <v>165</v>
      </c>
      <c r="E27" t="s">
        <v>166</v>
      </c>
      <c r="F27" t="s">
        <v>159</v>
      </c>
      <c r="G27" s="2">
        <v>46080</v>
      </c>
      <c r="H27">
        <v>80846131</v>
      </c>
      <c r="I27" t="s">
        <v>167</v>
      </c>
      <c r="J27" t="s">
        <v>161</v>
      </c>
      <c r="K27" t="s">
        <v>170</v>
      </c>
      <c r="L27">
        <v>85</v>
      </c>
      <c r="M27">
        <v>85</v>
      </c>
      <c r="N27" t="s">
        <v>171</v>
      </c>
      <c r="O27" t="s">
        <v>126</v>
      </c>
      <c r="P27" t="s">
        <v>169</v>
      </c>
      <c r="Q27" s="4">
        <v>3755470</v>
      </c>
      <c r="R27" s="4">
        <v>1200</v>
      </c>
      <c r="S27" s="4">
        <v>1200</v>
      </c>
      <c r="T27" s="4">
        <f>Tabla1[[#This Row],[OS-Valor Unitario]]-Tabla1[[#This Row],[costo_antes_iva]]</f>
        <v>0</v>
      </c>
      <c r="U27" s="4">
        <f>Tabla1[[#This Row],[OS-Valor Unitario]]*Tabla1[[#This Row],[OS-Cantidad]]</f>
        <v>102000</v>
      </c>
      <c r="V27" s="4">
        <f>Tabla1[[#This Row],[costo_antes_iva]]*Tabla1[[#This Row],[OS-Cantidad]]</f>
        <v>102000</v>
      </c>
      <c r="W27" s="4">
        <f>Tabla1[[#This Row],[Valor total OS]]-Tabla1[[#This Row],[valor total op]]</f>
        <v>0</v>
      </c>
    </row>
    <row r="28" spans="1:23" x14ac:dyDescent="0.3">
      <c r="A28">
        <v>6625</v>
      </c>
      <c r="B28">
        <v>3</v>
      </c>
      <c r="C28" t="s">
        <v>172</v>
      </c>
      <c r="D28" t="s">
        <v>173</v>
      </c>
      <c r="E28" t="s">
        <v>174</v>
      </c>
      <c r="F28" t="s">
        <v>159</v>
      </c>
      <c r="G28" s="2">
        <v>46080</v>
      </c>
      <c r="H28">
        <v>80846142</v>
      </c>
      <c r="I28" t="s">
        <v>175</v>
      </c>
      <c r="J28" t="s">
        <v>161</v>
      </c>
      <c r="K28" t="s">
        <v>60</v>
      </c>
      <c r="L28">
        <v>33</v>
      </c>
      <c r="M28">
        <v>33</v>
      </c>
      <c r="N28" t="s">
        <v>176</v>
      </c>
      <c r="O28" t="s">
        <v>126</v>
      </c>
      <c r="P28" t="s">
        <v>177</v>
      </c>
      <c r="Q28" s="4">
        <v>2733621</v>
      </c>
      <c r="R28" s="4">
        <v>21000</v>
      </c>
      <c r="S28" s="4">
        <v>16000</v>
      </c>
      <c r="T28" s="4">
        <f>Tabla1[[#This Row],[OS-Valor Unitario]]-Tabla1[[#This Row],[costo_antes_iva]]</f>
        <v>-5000</v>
      </c>
      <c r="U28" s="4">
        <f>Tabla1[[#This Row],[OS-Valor Unitario]]*Tabla1[[#This Row],[OS-Cantidad]]</f>
        <v>528000</v>
      </c>
      <c r="V28" s="4">
        <f>Tabla1[[#This Row],[costo_antes_iva]]*Tabla1[[#This Row],[OS-Cantidad]]</f>
        <v>693000</v>
      </c>
      <c r="W28" s="4">
        <f>Tabla1[[#This Row],[Valor total OS]]-Tabla1[[#This Row],[valor total op]]</f>
        <v>-165000</v>
      </c>
    </row>
    <row r="29" spans="1:23" x14ac:dyDescent="0.3">
      <c r="A29">
        <v>6625</v>
      </c>
      <c r="B29">
        <v>3</v>
      </c>
      <c r="C29" t="s">
        <v>172</v>
      </c>
      <c r="D29" t="s">
        <v>173</v>
      </c>
      <c r="E29" t="s">
        <v>174</v>
      </c>
      <c r="F29" t="s">
        <v>159</v>
      </c>
      <c r="G29" s="2">
        <v>46080</v>
      </c>
      <c r="H29">
        <v>80846142</v>
      </c>
      <c r="I29" t="s">
        <v>175</v>
      </c>
      <c r="J29" t="s">
        <v>161</v>
      </c>
      <c r="K29" t="s">
        <v>25</v>
      </c>
      <c r="L29">
        <v>33</v>
      </c>
      <c r="M29">
        <v>32</v>
      </c>
      <c r="N29" t="s">
        <v>178</v>
      </c>
      <c r="O29" t="s">
        <v>126</v>
      </c>
      <c r="P29" t="s">
        <v>177</v>
      </c>
      <c r="Q29" s="4">
        <v>2733621</v>
      </c>
      <c r="R29" s="4">
        <v>1700</v>
      </c>
      <c r="S29" s="4">
        <v>1950</v>
      </c>
      <c r="T29" s="4">
        <f>Tabla1[[#This Row],[OS-Valor Unitario]]-Tabla1[[#This Row],[costo_antes_iva]]</f>
        <v>250</v>
      </c>
      <c r="U29" s="4">
        <f>Tabla1[[#This Row],[OS-Valor Unitario]]*Tabla1[[#This Row],[OS-Cantidad]]</f>
        <v>62400</v>
      </c>
      <c r="V29" s="4">
        <f>Tabla1[[#This Row],[costo_antes_iva]]*Tabla1[[#This Row],[OS-Cantidad]]</f>
        <v>54400</v>
      </c>
      <c r="W29" s="4">
        <f>Tabla1[[#This Row],[Valor total OS]]-Tabla1[[#This Row],[valor total op]]</f>
        <v>8000</v>
      </c>
    </row>
    <row r="30" spans="1:23" x14ac:dyDescent="0.3">
      <c r="A30">
        <v>6625</v>
      </c>
      <c r="B30">
        <v>4</v>
      </c>
      <c r="C30" t="s">
        <v>179</v>
      </c>
      <c r="D30" t="s">
        <v>180</v>
      </c>
      <c r="E30" t="s">
        <v>174</v>
      </c>
      <c r="F30" t="s">
        <v>159</v>
      </c>
      <c r="G30" s="2">
        <v>46080</v>
      </c>
      <c r="H30">
        <v>80846156</v>
      </c>
      <c r="I30" t="s">
        <v>181</v>
      </c>
      <c r="J30" t="s">
        <v>161</v>
      </c>
      <c r="K30" t="s">
        <v>60</v>
      </c>
      <c r="L30">
        <v>19</v>
      </c>
      <c r="M30">
        <v>19</v>
      </c>
      <c r="N30" t="s">
        <v>182</v>
      </c>
      <c r="O30" t="s">
        <v>126</v>
      </c>
      <c r="P30" t="s">
        <v>177</v>
      </c>
      <c r="Q30" s="4">
        <v>1565372</v>
      </c>
      <c r="R30" s="4">
        <v>21000</v>
      </c>
      <c r="S30" s="4">
        <v>16000</v>
      </c>
      <c r="T30" s="4">
        <f>Tabla1[[#This Row],[OS-Valor Unitario]]-Tabla1[[#This Row],[costo_antes_iva]]</f>
        <v>-5000</v>
      </c>
      <c r="U30" s="4">
        <f>Tabla1[[#This Row],[OS-Valor Unitario]]*Tabla1[[#This Row],[OS-Cantidad]]</f>
        <v>304000</v>
      </c>
      <c r="V30" s="4">
        <f>Tabla1[[#This Row],[costo_antes_iva]]*Tabla1[[#This Row],[OS-Cantidad]]</f>
        <v>399000</v>
      </c>
      <c r="W30" s="4">
        <f>Tabla1[[#This Row],[Valor total OS]]-Tabla1[[#This Row],[valor total op]]</f>
        <v>-95000</v>
      </c>
    </row>
    <row r="31" spans="1:23" x14ac:dyDescent="0.3">
      <c r="A31">
        <v>6625</v>
      </c>
      <c r="B31">
        <v>4</v>
      </c>
      <c r="C31" t="s">
        <v>179</v>
      </c>
      <c r="D31" t="s">
        <v>180</v>
      </c>
      <c r="E31" t="s">
        <v>174</v>
      </c>
      <c r="F31" t="s">
        <v>159</v>
      </c>
      <c r="G31" s="2">
        <v>46080</v>
      </c>
      <c r="H31">
        <v>80846156</v>
      </c>
      <c r="I31" t="s">
        <v>181</v>
      </c>
      <c r="J31" t="s">
        <v>161</v>
      </c>
      <c r="K31" t="s">
        <v>25</v>
      </c>
      <c r="L31">
        <v>19</v>
      </c>
      <c r="M31">
        <v>19</v>
      </c>
      <c r="N31" t="s">
        <v>183</v>
      </c>
      <c r="O31" t="s">
        <v>126</v>
      </c>
      <c r="P31" t="s">
        <v>177</v>
      </c>
      <c r="Q31" s="4">
        <v>1565372</v>
      </c>
      <c r="R31" s="4">
        <v>1700</v>
      </c>
      <c r="S31" s="4">
        <v>1950</v>
      </c>
      <c r="T31" s="4">
        <f>Tabla1[[#This Row],[OS-Valor Unitario]]-Tabla1[[#This Row],[costo_antes_iva]]</f>
        <v>250</v>
      </c>
      <c r="U31" s="4">
        <f>Tabla1[[#This Row],[OS-Valor Unitario]]*Tabla1[[#This Row],[OS-Cantidad]]</f>
        <v>37050</v>
      </c>
      <c r="V31" s="4">
        <f>Tabla1[[#This Row],[costo_antes_iva]]*Tabla1[[#This Row],[OS-Cantidad]]</f>
        <v>32300</v>
      </c>
      <c r="W31" s="4">
        <f>Tabla1[[#This Row],[Valor total OS]]-Tabla1[[#This Row],[valor total op]]</f>
        <v>4750</v>
      </c>
    </row>
    <row r="32" spans="1:23" x14ac:dyDescent="0.3">
      <c r="A32">
        <v>6625</v>
      </c>
      <c r="B32">
        <v>5</v>
      </c>
      <c r="C32" t="s">
        <v>184</v>
      </c>
      <c r="D32" t="s">
        <v>185</v>
      </c>
      <c r="E32" t="s">
        <v>174</v>
      </c>
      <c r="F32" t="s">
        <v>159</v>
      </c>
      <c r="G32" s="2">
        <v>46080</v>
      </c>
      <c r="H32">
        <v>80846169</v>
      </c>
      <c r="I32" t="s">
        <v>186</v>
      </c>
      <c r="J32" t="s">
        <v>161</v>
      </c>
      <c r="K32" t="s">
        <v>60</v>
      </c>
      <c r="L32">
        <v>69</v>
      </c>
      <c r="M32">
        <v>69</v>
      </c>
      <c r="N32" t="s">
        <v>187</v>
      </c>
      <c r="O32" t="s">
        <v>126</v>
      </c>
      <c r="P32" t="s">
        <v>177</v>
      </c>
      <c r="Q32" s="4">
        <v>5708715</v>
      </c>
      <c r="R32" s="4">
        <v>21000</v>
      </c>
      <c r="S32" s="4">
        <v>16000</v>
      </c>
      <c r="T32" s="4">
        <f>Tabla1[[#This Row],[OS-Valor Unitario]]-Tabla1[[#This Row],[costo_antes_iva]]</f>
        <v>-5000</v>
      </c>
      <c r="U32" s="4">
        <f>Tabla1[[#This Row],[OS-Valor Unitario]]*Tabla1[[#This Row],[OS-Cantidad]]</f>
        <v>1104000</v>
      </c>
      <c r="V32" s="4">
        <f>Tabla1[[#This Row],[costo_antes_iva]]*Tabla1[[#This Row],[OS-Cantidad]]</f>
        <v>1449000</v>
      </c>
      <c r="W32" s="4">
        <f>Tabla1[[#This Row],[Valor total OS]]-Tabla1[[#This Row],[valor total op]]</f>
        <v>-345000</v>
      </c>
    </row>
    <row r="33" spans="1:23" x14ac:dyDescent="0.3">
      <c r="A33">
        <v>6625</v>
      </c>
      <c r="B33">
        <v>5</v>
      </c>
      <c r="C33" t="s">
        <v>184</v>
      </c>
      <c r="D33" t="s">
        <v>185</v>
      </c>
      <c r="E33" t="s">
        <v>174</v>
      </c>
      <c r="F33" t="s">
        <v>159</v>
      </c>
      <c r="G33" s="2">
        <v>46080</v>
      </c>
      <c r="H33">
        <v>80846169</v>
      </c>
      <c r="I33" t="s">
        <v>186</v>
      </c>
      <c r="J33" t="s">
        <v>161</v>
      </c>
      <c r="K33" t="s">
        <v>25</v>
      </c>
      <c r="L33">
        <v>69</v>
      </c>
      <c r="M33">
        <v>69</v>
      </c>
      <c r="N33" t="s">
        <v>188</v>
      </c>
      <c r="O33" t="s">
        <v>126</v>
      </c>
      <c r="P33" t="s">
        <v>177</v>
      </c>
      <c r="Q33" s="4">
        <v>5708715</v>
      </c>
      <c r="R33" s="4">
        <v>1400</v>
      </c>
      <c r="S33" s="4">
        <v>1950</v>
      </c>
      <c r="T33" s="4">
        <f>Tabla1[[#This Row],[OS-Valor Unitario]]-Tabla1[[#This Row],[costo_antes_iva]]</f>
        <v>550</v>
      </c>
      <c r="U33" s="4">
        <f>Tabla1[[#This Row],[OS-Valor Unitario]]*Tabla1[[#This Row],[OS-Cantidad]]</f>
        <v>134550</v>
      </c>
      <c r="V33" s="4">
        <f>Tabla1[[#This Row],[costo_antes_iva]]*Tabla1[[#This Row],[OS-Cantidad]]</f>
        <v>96600</v>
      </c>
      <c r="W33" s="4">
        <f>Tabla1[[#This Row],[Valor total OS]]-Tabla1[[#This Row],[valor total op]]</f>
        <v>37950</v>
      </c>
    </row>
    <row r="34" spans="1:23" x14ac:dyDescent="0.3">
      <c r="A34">
        <v>6625</v>
      </c>
      <c r="B34">
        <v>6</v>
      </c>
      <c r="C34" t="s">
        <v>189</v>
      </c>
      <c r="D34" t="s">
        <v>190</v>
      </c>
      <c r="E34" t="s">
        <v>191</v>
      </c>
      <c r="F34" t="s">
        <v>159</v>
      </c>
      <c r="G34" s="2">
        <v>46080</v>
      </c>
      <c r="H34">
        <v>80846181</v>
      </c>
      <c r="I34" t="s">
        <v>192</v>
      </c>
      <c r="J34" t="s">
        <v>161</v>
      </c>
      <c r="K34" t="s">
        <v>60</v>
      </c>
      <c r="L34">
        <v>3</v>
      </c>
      <c r="M34">
        <v>3</v>
      </c>
      <c r="N34" t="s">
        <v>193</v>
      </c>
      <c r="O34" t="s">
        <v>126</v>
      </c>
      <c r="P34" t="s">
        <v>177</v>
      </c>
      <c r="Q34" s="4">
        <v>248007</v>
      </c>
      <c r="R34" s="4">
        <v>21000</v>
      </c>
      <c r="S34" s="4">
        <v>16000</v>
      </c>
      <c r="T34" s="4">
        <f>Tabla1[[#This Row],[OS-Valor Unitario]]-Tabla1[[#This Row],[costo_antes_iva]]</f>
        <v>-5000</v>
      </c>
      <c r="U34" s="4">
        <f>Tabla1[[#This Row],[OS-Valor Unitario]]*Tabla1[[#This Row],[OS-Cantidad]]</f>
        <v>48000</v>
      </c>
      <c r="V34" s="4">
        <f>Tabla1[[#This Row],[costo_antes_iva]]*Tabla1[[#This Row],[OS-Cantidad]]</f>
        <v>63000</v>
      </c>
      <c r="W34" s="4">
        <f>Tabla1[[#This Row],[Valor total OS]]-Tabla1[[#This Row],[valor total op]]</f>
        <v>-15000</v>
      </c>
    </row>
    <row r="35" spans="1:23" x14ac:dyDescent="0.3">
      <c r="A35">
        <v>6625</v>
      </c>
      <c r="B35">
        <v>6</v>
      </c>
      <c r="C35" t="s">
        <v>189</v>
      </c>
      <c r="D35" t="s">
        <v>190</v>
      </c>
      <c r="E35" t="s">
        <v>191</v>
      </c>
      <c r="F35" t="s">
        <v>159</v>
      </c>
      <c r="G35" s="2">
        <v>46080</v>
      </c>
      <c r="H35">
        <v>80846181</v>
      </c>
      <c r="I35" t="s">
        <v>192</v>
      </c>
      <c r="J35" t="s">
        <v>161</v>
      </c>
      <c r="K35" t="s">
        <v>25</v>
      </c>
      <c r="L35">
        <v>3</v>
      </c>
      <c r="M35">
        <v>3</v>
      </c>
      <c r="N35" t="s">
        <v>194</v>
      </c>
      <c r="O35" t="s">
        <v>126</v>
      </c>
      <c r="P35" t="s">
        <v>177</v>
      </c>
      <c r="Q35" s="4">
        <v>248007</v>
      </c>
      <c r="R35" s="4">
        <v>4200</v>
      </c>
      <c r="S35" s="4">
        <v>4000</v>
      </c>
      <c r="T35" s="4">
        <f>Tabla1[[#This Row],[OS-Valor Unitario]]-Tabla1[[#This Row],[costo_antes_iva]]</f>
        <v>-200</v>
      </c>
      <c r="U35" s="4">
        <f>Tabla1[[#This Row],[OS-Valor Unitario]]*Tabla1[[#This Row],[OS-Cantidad]]</f>
        <v>12000</v>
      </c>
      <c r="V35" s="4">
        <f>Tabla1[[#This Row],[costo_antes_iva]]*Tabla1[[#This Row],[OS-Cantidad]]</f>
        <v>12600</v>
      </c>
      <c r="W35" s="4">
        <f>Tabla1[[#This Row],[Valor total OS]]-Tabla1[[#This Row],[valor total op]]</f>
        <v>-600</v>
      </c>
    </row>
    <row r="36" spans="1:23" x14ac:dyDescent="0.3">
      <c r="A36">
        <v>6625</v>
      </c>
      <c r="B36">
        <v>7</v>
      </c>
      <c r="C36" t="s">
        <v>195</v>
      </c>
      <c r="D36" t="s">
        <v>196</v>
      </c>
      <c r="E36" t="s">
        <v>197</v>
      </c>
      <c r="F36" t="s">
        <v>159</v>
      </c>
      <c r="G36" s="2">
        <v>46080</v>
      </c>
      <c r="H36">
        <v>80846292</v>
      </c>
      <c r="I36" t="s">
        <v>198</v>
      </c>
      <c r="J36" t="s">
        <v>161</v>
      </c>
      <c r="K36" t="s">
        <v>60</v>
      </c>
      <c r="L36">
        <v>400</v>
      </c>
      <c r="M36">
        <v>400</v>
      </c>
      <c r="N36" t="s">
        <v>199</v>
      </c>
      <c r="O36" t="s">
        <v>126</v>
      </c>
      <c r="P36" t="s">
        <v>197</v>
      </c>
      <c r="Q36" s="4">
        <v>1870400</v>
      </c>
      <c r="R36" s="4">
        <v>2000</v>
      </c>
      <c r="S36" s="4">
        <v>1500</v>
      </c>
      <c r="T36" s="4">
        <f>Tabla1[[#This Row],[OS-Valor Unitario]]-Tabla1[[#This Row],[costo_antes_iva]]</f>
        <v>-500</v>
      </c>
      <c r="U36" s="4">
        <f>Tabla1[[#This Row],[OS-Valor Unitario]]*Tabla1[[#This Row],[OS-Cantidad]]</f>
        <v>600000</v>
      </c>
      <c r="V36" s="4">
        <f>Tabla1[[#This Row],[costo_antes_iva]]*Tabla1[[#This Row],[OS-Cantidad]]</f>
        <v>800000</v>
      </c>
      <c r="W36" s="4">
        <f>Tabla1[[#This Row],[Valor total OS]]-Tabla1[[#This Row],[valor total op]]</f>
        <v>-200000</v>
      </c>
    </row>
    <row r="37" spans="1:23" x14ac:dyDescent="0.3">
      <c r="A37">
        <v>6625</v>
      </c>
      <c r="B37">
        <v>8</v>
      </c>
      <c r="C37" t="s">
        <v>200</v>
      </c>
      <c r="D37" t="s">
        <v>201</v>
      </c>
      <c r="E37" t="s">
        <v>166</v>
      </c>
      <c r="F37" t="s">
        <v>159</v>
      </c>
      <c r="G37" s="2">
        <v>46080</v>
      </c>
      <c r="H37">
        <v>80846350</v>
      </c>
      <c r="I37" t="s">
        <v>202</v>
      </c>
      <c r="J37" t="s">
        <v>161</v>
      </c>
      <c r="K37" t="s">
        <v>60</v>
      </c>
      <c r="L37">
        <v>20</v>
      </c>
      <c r="M37">
        <v>20</v>
      </c>
      <c r="N37" t="s">
        <v>203</v>
      </c>
      <c r="O37" t="s">
        <v>126</v>
      </c>
      <c r="P37" t="s">
        <v>169</v>
      </c>
      <c r="Q37" s="4">
        <v>883640</v>
      </c>
      <c r="R37" s="4">
        <v>9000</v>
      </c>
      <c r="S37" s="4">
        <v>7500</v>
      </c>
      <c r="T37" s="4">
        <f>Tabla1[[#This Row],[OS-Valor Unitario]]-Tabla1[[#This Row],[costo_antes_iva]]</f>
        <v>-1500</v>
      </c>
      <c r="U37" s="4">
        <f>Tabla1[[#This Row],[OS-Valor Unitario]]*Tabla1[[#This Row],[OS-Cantidad]]</f>
        <v>150000</v>
      </c>
      <c r="V37" s="4">
        <f>Tabla1[[#This Row],[costo_antes_iva]]*Tabla1[[#This Row],[OS-Cantidad]]</f>
        <v>180000</v>
      </c>
      <c r="W37" s="4">
        <f>Tabla1[[#This Row],[Valor total OS]]-Tabla1[[#This Row],[valor total op]]</f>
        <v>-30000</v>
      </c>
    </row>
    <row r="38" spans="1:23" x14ac:dyDescent="0.3">
      <c r="A38">
        <v>6625</v>
      </c>
      <c r="B38">
        <v>8</v>
      </c>
      <c r="C38" t="s">
        <v>200</v>
      </c>
      <c r="D38" t="s">
        <v>201</v>
      </c>
      <c r="E38" t="s">
        <v>166</v>
      </c>
      <c r="F38" t="s">
        <v>159</v>
      </c>
      <c r="G38" s="2">
        <v>46080</v>
      </c>
      <c r="H38">
        <v>80846350</v>
      </c>
      <c r="I38" t="s">
        <v>202</v>
      </c>
      <c r="J38" t="s">
        <v>161</v>
      </c>
      <c r="K38" t="s">
        <v>170</v>
      </c>
      <c r="L38">
        <v>20</v>
      </c>
      <c r="M38">
        <v>20</v>
      </c>
      <c r="N38" t="s">
        <v>204</v>
      </c>
      <c r="O38" t="s">
        <v>126</v>
      </c>
      <c r="P38" t="s">
        <v>169</v>
      </c>
      <c r="Q38" s="4">
        <v>883640</v>
      </c>
      <c r="R38" s="4">
        <v>1200</v>
      </c>
      <c r="S38" s="4">
        <v>1200</v>
      </c>
      <c r="T38" s="4">
        <f>Tabla1[[#This Row],[OS-Valor Unitario]]-Tabla1[[#This Row],[costo_antes_iva]]</f>
        <v>0</v>
      </c>
      <c r="U38" s="4">
        <f>Tabla1[[#This Row],[OS-Valor Unitario]]*Tabla1[[#This Row],[OS-Cantidad]]</f>
        <v>24000</v>
      </c>
      <c r="V38" s="4">
        <f>Tabla1[[#This Row],[costo_antes_iva]]*Tabla1[[#This Row],[OS-Cantidad]]</f>
        <v>24000</v>
      </c>
      <c r="W38" s="4">
        <f>Tabla1[[#This Row],[Valor total OS]]-Tabla1[[#This Row],[valor total op]]</f>
        <v>0</v>
      </c>
    </row>
    <row r="39" spans="1:23" x14ac:dyDescent="0.3">
      <c r="A39">
        <v>6623</v>
      </c>
      <c r="B39">
        <v>8</v>
      </c>
      <c r="C39" t="s">
        <v>239</v>
      </c>
      <c r="D39" t="s">
        <v>240</v>
      </c>
      <c r="E39" t="s">
        <v>96</v>
      </c>
      <c r="F39" t="s">
        <v>208</v>
      </c>
      <c r="G39" s="2">
        <v>46080</v>
      </c>
      <c r="H39">
        <v>80850214</v>
      </c>
      <c r="I39" t="s">
        <v>233</v>
      </c>
      <c r="J39" t="s">
        <v>210</v>
      </c>
      <c r="K39" t="s">
        <v>25</v>
      </c>
      <c r="L39">
        <v>3</v>
      </c>
      <c r="M39">
        <v>3</v>
      </c>
      <c r="N39" t="s">
        <v>241</v>
      </c>
      <c r="O39" t="s">
        <v>27</v>
      </c>
      <c r="P39" t="s">
        <v>28</v>
      </c>
      <c r="Q39" s="4">
        <v>97983</v>
      </c>
      <c r="R39" s="4">
        <v>1300</v>
      </c>
      <c r="S39" s="4">
        <v>1200</v>
      </c>
      <c r="T39" s="4">
        <f>Tabla1[[#This Row],[OS-Valor Unitario]]-Tabla1[[#This Row],[costo_antes_iva]]</f>
        <v>-100</v>
      </c>
      <c r="U39" s="4">
        <f>Tabla1[[#This Row],[OS-Valor Unitario]]*Tabla1[[#This Row],[OS-Cantidad]]</f>
        <v>3600</v>
      </c>
      <c r="V39" s="4">
        <f>Tabla1[[#This Row],[costo_antes_iva]]*Tabla1[[#This Row],[OS-Cantidad]]</f>
        <v>3900</v>
      </c>
      <c r="W39" s="4">
        <f>Tabla1[[#This Row],[Valor total OS]]-Tabla1[[#This Row],[valor total op]]</f>
        <v>-300</v>
      </c>
    </row>
    <row r="40" spans="1:23" x14ac:dyDescent="0.3">
      <c r="A40">
        <v>6622</v>
      </c>
      <c r="B40">
        <v>1</v>
      </c>
      <c r="C40" t="s">
        <v>242</v>
      </c>
      <c r="D40" t="s">
        <v>243</v>
      </c>
      <c r="E40" t="s">
        <v>96</v>
      </c>
      <c r="F40" t="s">
        <v>35</v>
      </c>
      <c r="G40" s="2">
        <v>46080</v>
      </c>
      <c r="H40">
        <v>80848494</v>
      </c>
      <c r="I40" t="s">
        <v>244</v>
      </c>
      <c r="J40" t="s">
        <v>245</v>
      </c>
      <c r="K40" t="s">
        <v>25</v>
      </c>
      <c r="L40">
        <v>16</v>
      </c>
      <c r="M40">
        <v>16</v>
      </c>
      <c r="N40" t="s">
        <v>246</v>
      </c>
      <c r="O40" t="s">
        <v>39</v>
      </c>
      <c r="P40" t="s">
        <v>28</v>
      </c>
      <c r="Q40" s="4">
        <v>506704</v>
      </c>
      <c r="R40" s="4">
        <v>700</v>
      </c>
      <c r="S40" s="4">
        <v>1400</v>
      </c>
      <c r="T40" s="4">
        <f>Tabla1[[#This Row],[OS-Valor Unitario]]-Tabla1[[#This Row],[costo_antes_iva]]</f>
        <v>700</v>
      </c>
      <c r="U40" s="4">
        <f>Tabla1[[#This Row],[OS-Valor Unitario]]*Tabla1[[#This Row],[OS-Cantidad]]</f>
        <v>22400</v>
      </c>
      <c r="V40" s="4">
        <f>Tabla1[[#This Row],[costo_antes_iva]]*Tabla1[[#This Row],[OS-Cantidad]]</f>
        <v>11200</v>
      </c>
      <c r="W40" s="4">
        <f>Tabla1[[#This Row],[Valor total OS]]-Tabla1[[#This Row],[valor total op]]</f>
        <v>11200</v>
      </c>
    </row>
    <row r="41" spans="1:23" x14ac:dyDescent="0.3">
      <c r="A41">
        <v>6622</v>
      </c>
      <c r="B41">
        <v>1</v>
      </c>
      <c r="C41" t="s">
        <v>242</v>
      </c>
      <c r="D41" t="s">
        <v>243</v>
      </c>
      <c r="E41" t="s">
        <v>96</v>
      </c>
      <c r="F41" t="s">
        <v>35</v>
      </c>
      <c r="G41" s="2">
        <v>46080</v>
      </c>
      <c r="H41">
        <v>80848494</v>
      </c>
      <c r="I41" t="s">
        <v>244</v>
      </c>
      <c r="J41" t="s">
        <v>245</v>
      </c>
      <c r="K41" t="s">
        <v>60</v>
      </c>
      <c r="L41">
        <v>16</v>
      </c>
      <c r="M41">
        <v>16</v>
      </c>
      <c r="N41" t="s">
        <v>247</v>
      </c>
      <c r="O41" t="s">
        <v>39</v>
      </c>
      <c r="P41" t="s">
        <v>28</v>
      </c>
      <c r="Q41" s="4">
        <v>506704</v>
      </c>
      <c r="R41" s="4">
        <v>4000</v>
      </c>
      <c r="S41" s="4">
        <v>5000</v>
      </c>
      <c r="T41" s="4">
        <f>Tabla1[[#This Row],[OS-Valor Unitario]]-Tabla1[[#This Row],[costo_antes_iva]]</f>
        <v>1000</v>
      </c>
      <c r="U41" s="4">
        <f>Tabla1[[#This Row],[OS-Valor Unitario]]*Tabla1[[#This Row],[OS-Cantidad]]</f>
        <v>80000</v>
      </c>
      <c r="V41" s="4">
        <f>Tabla1[[#This Row],[costo_antes_iva]]*Tabla1[[#This Row],[OS-Cantidad]]</f>
        <v>64000</v>
      </c>
      <c r="W41" s="4">
        <f>Tabla1[[#This Row],[Valor total OS]]-Tabla1[[#This Row],[valor total op]]</f>
        <v>16000</v>
      </c>
    </row>
    <row r="42" spans="1:23" x14ac:dyDescent="0.3">
      <c r="A42">
        <v>6622</v>
      </c>
      <c r="B42">
        <v>1</v>
      </c>
      <c r="C42" t="s">
        <v>242</v>
      </c>
      <c r="D42" t="s">
        <v>243</v>
      </c>
      <c r="E42" t="s">
        <v>96</v>
      </c>
      <c r="F42" t="s">
        <v>35</v>
      </c>
      <c r="G42" s="2">
        <v>46080</v>
      </c>
      <c r="H42">
        <v>80848494</v>
      </c>
      <c r="I42" t="s">
        <v>244</v>
      </c>
      <c r="J42" t="s">
        <v>245</v>
      </c>
      <c r="K42" t="s">
        <v>25</v>
      </c>
      <c r="L42">
        <v>16</v>
      </c>
      <c r="M42">
        <v>16</v>
      </c>
      <c r="N42" t="s">
        <v>246</v>
      </c>
      <c r="O42" t="s">
        <v>39</v>
      </c>
      <c r="P42" t="s">
        <v>28</v>
      </c>
      <c r="Q42" s="4">
        <v>506704</v>
      </c>
      <c r="R42" s="4">
        <v>2000</v>
      </c>
      <c r="S42" s="4">
        <v>1400</v>
      </c>
      <c r="T42" s="4">
        <f>Tabla1[[#This Row],[OS-Valor Unitario]]-Tabla1[[#This Row],[costo_antes_iva]]</f>
        <v>-600</v>
      </c>
      <c r="U42" s="4">
        <f>Tabla1[[#This Row],[OS-Valor Unitario]]*Tabla1[[#This Row],[OS-Cantidad]]</f>
        <v>22400</v>
      </c>
      <c r="V42" s="4">
        <f>Tabla1[[#This Row],[costo_antes_iva]]*Tabla1[[#This Row],[OS-Cantidad]]</f>
        <v>32000</v>
      </c>
      <c r="W42" s="4">
        <f>Tabla1[[#This Row],[Valor total OS]]-Tabla1[[#This Row],[valor total op]]</f>
        <v>-9600</v>
      </c>
    </row>
    <row r="43" spans="1:23" x14ac:dyDescent="0.3">
      <c r="A43">
        <v>6622</v>
      </c>
      <c r="B43">
        <v>2</v>
      </c>
      <c r="C43" t="s">
        <v>248</v>
      </c>
      <c r="D43" t="s">
        <v>249</v>
      </c>
      <c r="E43" t="s">
        <v>250</v>
      </c>
      <c r="F43" t="s">
        <v>35</v>
      </c>
      <c r="G43" s="2">
        <v>46080</v>
      </c>
      <c r="H43">
        <v>80848506</v>
      </c>
      <c r="I43" t="s">
        <v>251</v>
      </c>
      <c r="J43" t="s">
        <v>245</v>
      </c>
      <c r="K43" t="s">
        <v>60</v>
      </c>
      <c r="L43">
        <v>16</v>
      </c>
      <c r="M43">
        <v>16</v>
      </c>
      <c r="N43" t="s">
        <v>252</v>
      </c>
      <c r="O43" t="s">
        <v>39</v>
      </c>
      <c r="P43" t="s">
        <v>253</v>
      </c>
      <c r="Q43" s="4">
        <v>875248</v>
      </c>
      <c r="R43" s="4">
        <v>14500</v>
      </c>
      <c r="S43" s="4">
        <v>15000</v>
      </c>
      <c r="T43" s="4">
        <f>Tabla1[[#This Row],[OS-Valor Unitario]]-Tabla1[[#This Row],[costo_antes_iva]]</f>
        <v>500</v>
      </c>
      <c r="U43" s="4">
        <f>Tabla1[[#This Row],[OS-Valor Unitario]]*Tabla1[[#This Row],[OS-Cantidad]]</f>
        <v>240000</v>
      </c>
      <c r="V43" s="4">
        <f>Tabla1[[#This Row],[costo_antes_iva]]*Tabla1[[#This Row],[OS-Cantidad]]</f>
        <v>232000</v>
      </c>
      <c r="W43" s="4">
        <f>Tabla1[[#This Row],[Valor total OS]]-Tabla1[[#This Row],[valor total op]]</f>
        <v>8000</v>
      </c>
    </row>
    <row r="44" spans="1:23" x14ac:dyDescent="0.3">
      <c r="A44">
        <v>6622</v>
      </c>
      <c r="B44">
        <v>4</v>
      </c>
      <c r="C44" t="s">
        <v>254</v>
      </c>
      <c r="D44" t="s">
        <v>255</v>
      </c>
      <c r="E44" t="s">
        <v>34</v>
      </c>
      <c r="F44" t="s">
        <v>35</v>
      </c>
      <c r="G44" s="2">
        <v>46080</v>
      </c>
      <c r="H44">
        <v>80848551</v>
      </c>
      <c r="I44" t="s">
        <v>256</v>
      </c>
      <c r="J44" t="s">
        <v>245</v>
      </c>
      <c r="K44" t="s">
        <v>25</v>
      </c>
      <c r="L44">
        <v>10</v>
      </c>
      <c r="M44">
        <v>10</v>
      </c>
      <c r="N44" t="s">
        <v>257</v>
      </c>
      <c r="O44" t="s">
        <v>39</v>
      </c>
      <c r="P44" t="s">
        <v>40</v>
      </c>
      <c r="Q44" s="4">
        <v>185250</v>
      </c>
      <c r="R44" s="4">
        <v>2500</v>
      </c>
      <c r="S44" s="4">
        <v>1650</v>
      </c>
      <c r="T44" s="4">
        <f>Tabla1[[#This Row],[OS-Valor Unitario]]-Tabla1[[#This Row],[costo_antes_iva]]</f>
        <v>-850</v>
      </c>
      <c r="U44" s="4">
        <f>Tabla1[[#This Row],[OS-Valor Unitario]]*Tabla1[[#This Row],[OS-Cantidad]]</f>
        <v>16500</v>
      </c>
      <c r="V44" s="4">
        <f>Tabla1[[#This Row],[costo_antes_iva]]*Tabla1[[#This Row],[OS-Cantidad]]</f>
        <v>25000</v>
      </c>
      <c r="W44" s="4">
        <f>Tabla1[[#This Row],[Valor total OS]]-Tabla1[[#This Row],[valor total op]]</f>
        <v>-8500</v>
      </c>
    </row>
    <row r="45" spans="1:23" x14ac:dyDescent="0.3">
      <c r="A45">
        <v>6623</v>
      </c>
      <c r="B45">
        <v>1</v>
      </c>
      <c r="C45" t="s">
        <v>205</v>
      </c>
      <c r="D45" t="s">
        <v>206</v>
      </c>
      <c r="E45" t="s">
        <v>207</v>
      </c>
      <c r="F45" t="s">
        <v>208</v>
      </c>
      <c r="G45" s="2">
        <v>46079</v>
      </c>
      <c r="H45">
        <v>80773968</v>
      </c>
      <c r="I45" t="s">
        <v>209</v>
      </c>
      <c r="J45" t="s">
        <v>210</v>
      </c>
      <c r="K45" t="s">
        <v>25</v>
      </c>
      <c r="L45">
        <v>17</v>
      </c>
      <c r="M45">
        <v>17</v>
      </c>
      <c r="N45" t="s">
        <v>211</v>
      </c>
      <c r="O45" t="s">
        <v>27</v>
      </c>
      <c r="P45" t="s">
        <v>212</v>
      </c>
      <c r="Q45" s="4">
        <v>4233476</v>
      </c>
      <c r="R45" s="4">
        <v>1300</v>
      </c>
      <c r="S45" s="4">
        <v>1100</v>
      </c>
      <c r="T45" s="4">
        <f>Tabla1[[#This Row],[OS-Valor Unitario]]-Tabla1[[#This Row],[costo_antes_iva]]</f>
        <v>-200</v>
      </c>
      <c r="U45" s="4">
        <f>Tabla1[[#This Row],[OS-Valor Unitario]]*Tabla1[[#This Row],[OS-Cantidad]]</f>
        <v>18700</v>
      </c>
      <c r="V45" s="4">
        <f>Tabla1[[#This Row],[costo_antes_iva]]*Tabla1[[#This Row],[OS-Cantidad]]</f>
        <v>22100</v>
      </c>
      <c r="W45" s="4">
        <f>Tabla1[[#This Row],[Valor total OS]]-Tabla1[[#This Row],[valor total op]]</f>
        <v>-3400</v>
      </c>
    </row>
    <row r="46" spans="1:23" x14ac:dyDescent="0.3">
      <c r="A46">
        <v>6623</v>
      </c>
      <c r="B46">
        <v>2</v>
      </c>
      <c r="C46" t="s">
        <v>213</v>
      </c>
      <c r="D46" t="s">
        <v>214</v>
      </c>
      <c r="E46" t="s">
        <v>215</v>
      </c>
      <c r="F46" t="s">
        <v>208</v>
      </c>
      <c r="G46" s="2">
        <v>46079</v>
      </c>
      <c r="H46">
        <v>80773973</v>
      </c>
      <c r="I46" t="s">
        <v>216</v>
      </c>
      <c r="J46" t="s">
        <v>210</v>
      </c>
      <c r="K46" t="s">
        <v>25</v>
      </c>
      <c r="L46">
        <v>5</v>
      </c>
      <c r="M46">
        <v>5</v>
      </c>
      <c r="N46" t="s">
        <v>217</v>
      </c>
      <c r="O46" t="s">
        <v>27</v>
      </c>
      <c r="P46" t="s">
        <v>212</v>
      </c>
      <c r="Q46" s="4">
        <v>1866235</v>
      </c>
      <c r="R46" s="4">
        <v>1300</v>
      </c>
      <c r="S46" s="4">
        <v>1100</v>
      </c>
      <c r="T46" s="4">
        <f>Tabla1[[#This Row],[OS-Valor Unitario]]-Tabla1[[#This Row],[costo_antes_iva]]</f>
        <v>-200</v>
      </c>
      <c r="U46" s="4">
        <f>Tabla1[[#This Row],[OS-Valor Unitario]]*Tabla1[[#This Row],[OS-Cantidad]]</f>
        <v>5500</v>
      </c>
      <c r="V46" s="4">
        <f>Tabla1[[#This Row],[costo_antes_iva]]*Tabla1[[#This Row],[OS-Cantidad]]</f>
        <v>6500</v>
      </c>
      <c r="W46" s="4">
        <f>Tabla1[[#This Row],[Valor total OS]]-Tabla1[[#This Row],[valor total op]]</f>
        <v>-1000</v>
      </c>
    </row>
    <row r="47" spans="1:23" x14ac:dyDescent="0.3">
      <c r="A47">
        <v>6623</v>
      </c>
      <c r="B47">
        <v>3</v>
      </c>
      <c r="C47" t="s">
        <v>218</v>
      </c>
      <c r="D47" t="s">
        <v>219</v>
      </c>
      <c r="E47" t="s">
        <v>207</v>
      </c>
      <c r="F47" t="s">
        <v>208</v>
      </c>
      <c r="G47" s="2">
        <v>46079</v>
      </c>
      <c r="H47">
        <v>80773980</v>
      </c>
      <c r="I47" t="s">
        <v>220</v>
      </c>
      <c r="J47" t="s">
        <v>210</v>
      </c>
      <c r="K47" t="s">
        <v>25</v>
      </c>
      <c r="L47">
        <v>1</v>
      </c>
      <c r="M47">
        <v>1</v>
      </c>
      <c r="N47" t="s">
        <v>221</v>
      </c>
      <c r="O47" t="s">
        <v>27</v>
      </c>
      <c r="P47" t="s">
        <v>212</v>
      </c>
      <c r="Q47" s="4">
        <v>254289</v>
      </c>
      <c r="R47" s="4">
        <v>1300</v>
      </c>
      <c r="S47" s="4">
        <v>1100</v>
      </c>
      <c r="T47" s="4">
        <f>Tabla1[[#This Row],[OS-Valor Unitario]]-Tabla1[[#This Row],[costo_antes_iva]]</f>
        <v>-200</v>
      </c>
      <c r="U47" s="4">
        <f>Tabla1[[#This Row],[OS-Valor Unitario]]*Tabla1[[#This Row],[OS-Cantidad]]</f>
        <v>1100</v>
      </c>
      <c r="V47" s="4">
        <f>Tabla1[[#This Row],[costo_antes_iva]]*Tabla1[[#This Row],[OS-Cantidad]]</f>
        <v>1300</v>
      </c>
      <c r="W47" s="4">
        <f>Tabla1[[#This Row],[Valor total OS]]-Tabla1[[#This Row],[valor total op]]</f>
        <v>-200</v>
      </c>
    </row>
    <row r="48" spans="1:23" x14ac:dyDescent="0.3">
      <c r="A48">
        <v>6623</v>
      </c>
      <c r="B48">
        <v>4</v>
      </c>
      <c r="C48" t="s">
        <v>222</v>
      </c>
      <c r="D48" t="s">
        <v>223</v>
      </c>
      <c r="E48" t="s">
        <v>149</v>
      </c>
      <c r="F48" t="s">
        <v>208</v>
      </c>
      <c r="G48" s="2">
        <v>46079</v>
      </c>
      <c r="H48">
        <v>80773985</v>
      </c>
      <c r="I48" t="s">
        <v>224</v>
      </c>
      <c r="J48" t="s">
        <v>210</v>
      </c>
      <c r="K48" t="s">
        <v>60</v>
      </c>
      <c r="L48">
        <v>1</v>
      </c>
      <c r="M48">
        <v>1</v>
      </c>
      <c r="N48" t="s">
        <v>225</v>
      </c>
      <c r="O48" t="s">
        <v>27</v>
      </c>
      <c r="P48" t="s">
        <v>72</v>
      </c>
      <c r="Q48" s="4">
        <v>52830</v>
      </c>
      <c r="R48" s="4">
        <v>12500</v>
      </c>
      <c r="S48" s="4">
        <v>12000</v>
      </c>
      <c r="T48" s="4">
        <f>Tabla1[[#This Row],[OS-Valor Unitario]]-Tabla1[[#This Row],[costo_antes_iva]]</f>
        <v>-500</v>
      </c>
      <c r="U48" s="4">
        <f>Tabla1[[#This Row],[OS-Valor Unitario]]*Tabla1[[#This Row],[OS-Cantidad]]</f>
        <v>12000</v>
      </c>
      <c r="V48" s="4">
        <f>Tabla1[[#This Row],[costo_antes_iva]]*Tabla1[[#This Row],[OS-Cantidad]]</f>
        <v>12500</v>
      </c>
      <c r="W48" s="4">
        <f>Tabla1[[#This Row],[Valor total OS]]-Tabla1[[#This Row],[valor total op]]</f>
        <v>-500</v>
      </c>
    </row>
    <row r="49" spans="1:23" x14ac:dyDescent="0.3">
      <c r="A49">
        <v>6623</v>
      </c>
      <c r="B49">
        <v>5</v>
      </c>
      <c r="C49" t="s">
        <v>226</v>
      </c>
      <c r="D49" t="s">
        <v>227</v>
      </c>
      <c r="E49" t="s">
        <v>142</v>
      </c>
      <c r="F49" t="s">
        <v>208</v>
      </c>
      <c r="G49" s="2">
        <v>46079</v>
      </c>
      <c r="H49">
        <v>80773992</v>
      </c>
      <c r="I49" t="s">
        <v>228</v>
      </c>
      <c r="J49" t="s">
        <v>210</v>
      </c>
      <c r="K49" t="s">
        <v>60</v>
      </c>
      <c r="L49">
        <v>1</v>
      </c>
      <c r="M49">
        <v>1</v>
      </c>
      <c r="N49" t="s">
        <v>229</v>
      </c>
      <c r="O49" t="s">
        <v>27</v>
      </c>
      <c r="P49" t="s">
        <v>72</v>
      </c>
      <c r="Q49" s="4">
        <v>61160</v>
      </c>
      <c r="R49" s="4">
        <v>12500</v>
      </c>
      <c r="S49" s="4">
        <v>12000</v>
      </c>
      <c r="T49" s="4">
        <f>Tabla1[[#This Row],[OS-Valor Unitario]]-Tabla1[[#This Row],[costo_antes_iva]]</f>
        <v>-500</v>
      </c>
      <c r="U49" s="4">
        <f>Tabla1[[#This Row],[OS-Valor Unitario]]*Tabla1[[#This Row],[OS-Cantidad]]</f>
        <v>12000</v>
      </c>
      <c r="V49" s="4">
        <f>Tabla1[[#This Row],[costo_antes_iva]]*Tabla1[[#This Row],[OS-Cantidad]]</f>
        <v>12500</v>
      </c>
      <c r="W49" s="4">
        <f>Tabla1[[#This Row],[Valor total OS]]-Tabla1[[#This Row],[valor total op]]</f>
        <v>-500</v>
      </c>
    </row>
    <row r="50" spans="1:23" x14ac:dyDescent="0.3">
      <c r="A50">
        <v>6623</v>
      </c>
      <c r="B50">
        <v>6</v>
      </c>
      <c r="C50" t="s">
        <v>230</v>
      </c>
      <c r="D50" t="s">
        <v>231</v>
      </c>
      <c r="E50" t="s">
        <v>232</v>
      </c>
      <c r="F50" t="s">
        <v>208</v>
      </c>
      <c r="G50" s="2">
        <v>46079</v>
      </c>
      <c r="H50">
        <v>80774011</v>
      </c>
      <c r="I50" t="s">
        <v>233</v>
      </c>
      <c r="J50" t="s">
        <v>210</v>
      </c>
      <c r="K50" t="s">
        <v>60</v>
      </c>
      <c r="L50">
        <v>5</v>
      </c>
      <c r="M50">
        <v>5</v>
      </c>
      <c r="N50" t="s">
        <v>234</v>
      </c>
      <c r="O50" t="s">
        <v>27</v>
      </c>
      <c r="P50" t="s">
        <v>85</v>
      </c>
      <c r="Q50" s="4">
        <v>287970</v>
      </c>
      <c r="R50" s="4">
        <v>13500</v>
      </c>
      <c r="S50" s="4">
        <v>18000</v>
      </c>
      <c r="T50" s="4">
        <f>Tabla1[[#This Row],[OS-Valor Unitario]]-Tabla1[[#This Row],[costo_antes_iva]]</f>
        <v>4500</v>
      </c>
      <c r="U50" s="4">
        <f>Tabla1[[#This Row],[OS-Valor Unitario]]*Tabla1[[#This Row],[OS-Cantidad]]</f>
        <v>90000</v>
      </c>
      <c r="V50" s="4">
        <f>Tabla1[[#This Row],[costo_antes_iva]]*Tabla1[[#This Row],[OS-Cantidad]]</f>
        <v>67500</v>
      </c>
      <c r="W50" s="4">
        <f>Tabla1[[#This Row],[Valor total OS]]-Tabla1[[#This Row],[valor total op]]</f>
        <v>22500</v>
      </c>
    </row>
    <row r="51" spans="1:23" x14ac:dyDescent="0.3">
      <c r="A51">
        <v>6623</v>
      </c>
      <c r="B51">
        <v>7</v>
      </c>
      <c r="C51" t="s">
        <v>235</v>
      </c>
      <c r="D51" t="s">
        <v>236</v>
      </c>
      <c r="E51" t="s">
        <v>96</v>
      </c>
      <c r="F51" t="s">
        <v>208</v>
      </c>
      <c r="G51" s="2">
        <v>46079</v>
      </c>
      <c r="H51">
        <v>80774001</v>
      </c>
      <c r="I51" t="s">
        <v>237</v>
      </c>
      <c r="J51" t="s">
        <v>210</v>
      </c>
      <c r="K51" t="s">
        <v>25</v>
      </c>
      <c r="L51">
        <v>12</v>
      </c>
      <c r="M51">
        <v>12</v>
      </c>
      <c r="N51" t="s">
        <v>238</v>
      </c>
      <c r="O51" t="s">
        <v>27</v>
      </c>
      <c r="P51" t="s">
        <v>28</v>
      </c>
      <c r="Q51" s="4">
        <v>391932</v>
      </c>
      <c r="R51" s="4">
        <v>1300</v>
      </c>
      <c r="S51" s="4">
        <v>1200</v>
      </c>
      <c r="T51" s="4">
        <f>Tabla1[[#This Row],[OS-Valor Unitario]]-Tabla1[[#This Row],[costo_antes_iva]]</f>
        <v>-100</v>
      </c>
      <c r="U51" s="4">
        <f>Tabla1[[#This Row],[OS-Valor Unitario]]*Tabla1[[#This Row],[OS-Cantidad]]</f>
        <v>14400</v>
      </c>
      <c r="V51" s="4">
        <f>Tabla1[[#This Row],[costo_antes_iva]]*Tabla1[[#This Row],[OS-Cantidad]]</f>
        <v>15600</v>
      </c>
      <c r="W51" s="4">
        <f>Tabla1[[#This Row],[Valor total OS]]-Tabla1[[#This Row],[valor total op]]</f>
        <v>-1200</v>
      </c>
    </row>
    <row r="52" spans="1:23" x14ac:dyDescent="0.3">
      <c r="A52">
        <v>6618</v>
      </c>
      <c r="B52">
        <v>1</v>
      </c>
      <c r="C52" t="s">
        <v>420</v>
      </c>
      <c r="D52" t="s">
        <v>421</v>
      </c>
      <c r="E52" t="s">
        <v>21</v>
      </c>
      <c r="F52" t="s">
        <v>422</v>
      </c>
      <c r="G52" s="2">
        <v>46079</v>
      </c>
      <c r="H52">
        <v>80759138</v>
      </c>
      <c r="I52" t="s">
        <v>423</v>
      </c>
      <c r="J52" t="s">
        <v>424</v>
      </c>
      <c r="K52" t="s">
        <v>170</v>
      </c>
      <c r="L52">
        <v>996</v>
      </c>
      <c r="M52">
        <v>996</v>
      </c>
      <c r="N52" t="s">
        <v>425</v>
      </c>
      <c r="O52" t="s">
        <v>27</v>
      </c>
      <c r="P52" t="s">
        <v>28</v>
      </c>
      <c r="Q52" s="4">
        <v>45084936</v>
      </c>
      <c r="R52" s="4">
        <v>3600</v>
      </c>
      <c r="S52" s="4">
        <v>3000</v>
      </c>
      <c r="T52" s="4">
        <f>Tabla1[[#This Row],[OS-Valor Unitario]]-Tabla1[[#This Row],[costo_antes_iva]]</f>
        <v>-600</v>
      </c>
      <c r="U52" s="4">
        <f>Tabla1[[#This Row],[OS-Valor Unitario]]*Tabla1[[#This Row],[OS-Cantidad]]</f>
        <v>2988000</v>
      </c>
      <c r="V52" s="4">
        <f>Tabla1[[#This Row],[costo_antes_iva]]*Tabla1[[#This Row],[OS-Cantidad]]</f>
        <v>3585600</v>
      </c>
      <c r="W52" s="4">
        <f>Tabla1[[#This Row],[Valor total OS]]-Tabla1[[#This Row],[valor total op]]</f>
        <v>-597600</v>
      </c>
    </row>
    <row r="53" spans="1:23" x14ac:dyDescent="0.3">
      <c r="A53">
        <v>6618</v>
      </c>
      <c r="B53">
        <v>1</v>
      </c>
      <c r="C53" t="s">
        <v>420</v>
      </c>
      <c r="D53" t="s">
        <v>421</v>
      </c>
      <c r="E53" t="s">
        <v>21</v>
      </c>
      <c r="F53" t="s">
        <v>422</v>
      </c>
      <c r="G53" s="2">
        <v>46079</v>
      </c>
      <c r="H53">
        <v>80759138</v>
      </c>
      <c r="I53" t="s">
        <v>423</v>
      </c>
      <c r="J53" t="s">
        <v>424</v>
      </c>
      <c r="K53" t="s">
        <v>60</v>
      </c>
      <c r="L53">
        <v>996</v>
      </c>
      <c r="M53">
        <v>996</v>
      </c>
      <c r="N53" t="s">
        <v>426</v>
      </c>
      <c r="O53" t="s">
        <v>27</v>
      </c>
      <c r="P53" t="s">
        <v>28</v>
      </c>
      <c r="Q53" s="4">
        <v>45084936</v>
      </c>
      <c r="R53" s="4">
        <v>5000</v>
      </c>
      <c r="S53" s="4">
        <v>5000</v>
      </c>
      <c r="T53" s="4">
        <f>Tabla1[[#This Row],[OS-Valor Unitario]]-Tabla1[[#This Row],[costo_antes_iva]]</f>
        <v>0</v>
      </c>
      <c r="U53" s="4">
        <f>Tabla1[[#This Row],[OS-Valor Unitario]]*Tabla1[[#This Row],[OS-Cantidad]]</f>
        <v>4980000</v>
      </c>
      <c r="V53" s="4">
        <f>Tabla1[[#This Row],[costo_antes_iva]]*Tabla1[[#This Row],[OS-Cantidad]]</f>
        <v>4980000</v>
      </c>
      <c r="W53" s="4">
        <f>Tabla1[[#This Row],[Valor total OS]]-Tabla1[[#This Row],[valor total op]]</f>
        <v>0</v>
      </c>
    </row>
    <row r="54" spans="1:23" x14ac:dyDescent="0.3">
      <c r="A54">
        <v>6618</v>
      </c>
      <c r="B54">
        <v>2</v>
      </c>
      <c r="C54" t="s">
        <v>427</v>
      </c>
      <c r="D54" t="s">
        <v>428</v>
      </c>
      <c r="E54" t="s">
        <v>21</v>
      </c>
      <c r="F54" t="s">
        <v>422</v>
      </c>
      <c r="G54" s="2">
        <v>46079</v>
      </c>
      <c r="H54">
        <v>80759145</v>
      </c>
      <c r="I54" t="s">
        <v>429</v>
      </c>
      <c r="J54" t="s">
        <v>424</v>
      </c>
      <c r="K54" t="s">
        <v>170</v>
      </c>
      <c r="L54">
        <v>30</v>
      </c>
      <c r="M54">
        <v>30</v>
      </c>
      <c r="N54" t="s">
        <v>430</v>
      </c>
      <c r="O54" t="s">
        <v>27</v>
      </c>
      <c r="P54" t="s">
        <v>28</v>
      </c>
      <c r="Q54" s="4">
        <v>1357980</v>
      </c>
      <c r="R54" s="4">
        <v>3600</v>
      </c>
      <c r="S54" s="4">
        <v>3000</v>
      </c>
      <c r="T54" s="4">
        <f>Tabla1[[#This Row],[OS-Valor Unitario]]-Tabla1[[#This Row],[costo_antes_iva]]</f>
        <v>-600</v>
      </c>
      <c r="U54" s="4">
        <f>Tabla1[[#This Row],[OS-Valor Unitario]]*Tabla1[[#This Row],[OS-Cantidad]]</f>
        <v>90000</v>
      </c>
      <c r="V54" s="4">
        <f>Tabla1[[#This Row],[costo_antes_iva]]*Tabla1[[#This Row],[OS-Cantidad]]</f>
        <v>108000</v>
      </c>
      <c r="W54" s="4">
        <f>Tabla1[[#This Row],[Valor total OS]]-Tabla1[[#This Row],[valor total op]]</f>
        <v>-18000</v>
      </c>
    </row>
    <row r="55" spans="1:23" x14ac:dyDescent="0.3">
      <c r="A55">
        <v>6618</v>
      </c>
      <c r="B55">
        <v>2</v>
      </c>
      <c r="C55" t="s">
        <v>427</v>
      </c>
      <c r="D55" t="s">
        <v>428</v>
      </c>
      <c r="E55" t="s">
        <v>21</v>
      </c>
      <c r="F55" t="s">
        <v>422</v>
      </c>
      <c r="G55" s="2">
        <v>46079</v>
      </c>
      <c r="H55">
        <v>80759145</v>
      </c>
      <c r="I55" t="s">
        <v>429</v>
      </c>
      <c r="J55" t="s">
        <v>424</v>
      </c>
      <c r="K55" t="s">
        <v>60</v>
      </c>
      <c r="L55">
        <v>30</v>
      </c>
      <c r="M55">
        <v>30</v>
      </c>
      <c r="N55" t="s">
        <v>431</v>
      </c>
      <c r="O55" t="s">
        <v>27</v>
      </c>
      <c r="P55" t="s">
        <v>28</v>
      </c>
      <c r="Q55" s="4">
        <v>1357980</v>
      </c>
      <c r="R55" s="4">
        <v>5000</v>
      </c>
      <c r="S55" s="4">
        <v>5500</v>
      </c>
      <c r="T55" s="4">
        <f>Tabla1[[#This Row],[OS-Valor Unitario]]-Tabla1[[#This Row],[costo_antes_iva]]</f>
        <v>500</v>
      </c>
      <c r="U55" s="4">
        <f>Tabla1[[#This Row],[OS-Valor Unitario]]*Tabla1[[#This Row],[OS-Cantidad]]</f>
        <v>165000</v>
      </c>
      <c r="V55" s="4">
        <f>Tabla1[[#This Row],[costo_antes_iva]]*Tabla1[[#This Row],[OS-Cantidad]]</f>
        <v>150000</v>
      </c>
      <c r="W55" s="4">
        <f>Tabla1[[#This Row],[Valor total OS]]-Tabla1[[#This Row],[valor total op]]</f>
        <v>15000</v>
      </c>
    </row>
    <row r="56" spans="1:23" x14ac:dyDescent="0.3">
      <c r="A56">
        <v>6618</v>
      </c>
      <c r="B56">
        <v>3</v>
      </c>
      <c r="C56" t="s">
        <v>432</v>
      </c>
      <c r="D56" t="s">
        <v>433</v>
      </c>
      <c r="E56" t="s">
        <v>21</v>
      </c>
      <c r="F56" t="s">
        <v>422</v>
      </c>
      <c r="G56" s="2">
        <v>46079</v>
      </c>
      <c r="H56">
        <v>80759154</v>
      </c>
      <c r="I56" t="s">
        <v>434</v>
      </c>
      <c r="J56" t="s">
        <v>424</v>
      </c>
      <c r="K56" t="s">
        <v>170</v>
      </c>
      <c r="L56">
        <v>96</v>
      </c>
      <c r="M56">
        <v>96</v>
      </c>
      <c r="N56" t="s">
        <v>435</v>
      </c>
      <c r="O56" t="s">
        <v>27</v>
      </c>
      <c r="P56" t="s">
        <v>28</v>
      </c>
      <c r="Q56" s="4">
        <v>4345536</v>
      </c>
      <c r="R56" s="4">
        <v>3600</v>
      </c>
      <c r="S56" s="4">
        <v>3000</v>
      </c>
      <c r="T56" s="4">
        <f>Tabla1[[#This Row],[OS-Valor Unitario]]-Tabla1[[#This Row],[costo_antes_iva]]</f>
        <v>-600</v>
      </c>
      <c r="U56" s="4">
        <f>Tabla1[[#This Row],[OS-Valor Unitario]]*Tabla1[[#This Row],[OS-Cantidad]]</f>
        <v>288000</v>
      </c>
      <c r="V56" s="4">
        <f>Tabla1[[#This Row],[costo_antes_iva]]*Tabla1[[#This Row],[OS-Cantidad]]</f>
        <v>345600</v>
      </c>
      <c r="W56" s="4">
        <f>Tabla1[[#This Row],[Valor total OS]]-Tabla1[[#This Row],[valor total op]]</f>
        <v>-57600</v>
      </c>
    </row>
    <row r="57" spans="1:23" x14ac:dyDescent="0.3">
      <c r="A57">
        <v>6618</v>
      </c>
      <c r="B57">
        <v>3</v>
      </c>
      <c r="C57" t="s">
        <v>432</v>
      </c>
      <c r="D57" t="s">
        <v>433</v>
      </c>
      <c r="E57" t="s">
        <v>21</v>
      </c>
      <c r="F57" t="s">
        <v>422</v>
      </c>
      <c r="G57" s="2">
        <v>46079</v>
      </c>
      <c r="H57">
        <v>80759154</v>
      </c>
      <c r="I57" t="s">
        <v>434</v>
      </c>
      <c r="J57" t="s">
        <v>424</v>
      </c>
      <c r="K57" t="s">
        <v>60</v>
      </c>
      <c r="L57">
        <v>96</v>
      </c>
      <c r="M57">
        <v>96</v>
      </c>
      <c r="N57" t="s">
        <v>436</v>
      </c>
      <c r="O57" t="s">
        <v>27</v>
      </c>
      <c r="P57" t="s">
        <v>28</v>
      </c>
      <c r="Q57" s="4">
        <v>4345536</v>
      </c>
      <c r="R57" s="4">
        <v>5000</v>
      </c>
      <c r="S57" s="4">
        <v>5000</v>
      </c>
      <c r="T57" s="4">
        <f>Tabla1[[#This Row],[OS-Valor Unitario]]-Tabla1[[#This Row],[costo_antes_iva]]</f>
        <v>0</v>
      </c>
      <c r="U57" s="4">
        <f>Tabla1[[#This Row],[OS-Valor Unitario]]*Tabla1[[#This Row],[OS-Cantidad]]</f>
        <v>480000</v>
      </c>
      <c r="V57" s="4">
        <f>Tabla1[[#This Row],[costo_antes_iva]]*Tabla1[[#This Row],[OS-Cantidad]]</f>
        <v>480000</v>
      </c>
      <c r="W57" s="4">
        <f>Tabla1[[#This Row],[Valor total OS]]-Tabla1[[#This Row],[valor total op]]</f>
        <v>0</v>
      </c>
    </row>
    <row r="58" spans="1:23" x14ac:dyDescent="0.3">
      <c r="A58">
        <v>6618</v>
      </c>
      <c r="B58">
        <v>4</v>
      </c>
      <c r="C58" t="s">
        <v>437</v>
      </c>
      <c r="D58" t="s">
        <v>438</v>
      </c>
      <c r="E58" t="s">
        <v>96</v>
      </c>
      <c r="F58" t="s">
        <v>422</v>
      </c>
      <c r="G58" s="2">
        <v>46079</v>
      </c>
      <c r="H58">
        <v>80759162</v>
      </c>
      <c r="I58" t="s">
        <v>439</v>
      </c>
      <c r="J58" t="s">
        <v>424</v>
      </c>
      <c r="K58" t="s">
        <v>170</v>
      </c>
      <c r="L58">
        <v>1248</v>
      </c>
      <c r="M58">
        <v>1248</v>
      </c>
      <c r="N58" t="s">
        <v>440</v>
      </c>
      <c r="O58" t="s">
        <v>27</v>
      </c>
      <c r="P58" t="s">
        <v>28</v>
      </c>
      <c r="Q58" s="4">
        <v>49010208</v>
      </c>
      <c r="R58" s="4">
        <v>3600</v>
      </c>
      <c r="S58" s="4">
        <v>3000</v>
      </c>
      <c r="T58" s="4">
        <f>Tabla1[[#This Row],[OS-Valor Unitario]]-Tabla1[[#This Row],[costo_antes_iva]]</f>
        <v>-600</v>
      </c>
      <c r="U58" s="4">
        <f>Tabla1[[#This Row],[OS-Valor Unitario]]*Tabla1[[#This Row],[OS-Cantidad]]</f>
        <v>3744000</v>
      </c>
      <c r="V58" s="4">
        <f>Tabla1[[#This Row],[costo_antes_iva]]*Tabla1[[#This Row],[OS-Cantidad]]</f>
        <v>4492800</v>
      </c>
      <c r="W58" s="4">
        <f>Tabla1[[#This Row],[Valor total OS]]-Tabla1[[#This Row],[valor total op]]</f>
        <v>-748800</v>
      </c>
    </row>
    <row r="59" spans="1:23" x14ac:dyDescent="0.3">
      <c r="A59">
        <v>6618</v>
      </c>
      <c r="B59">
        <v>4</v>
      </c>
      <c r="C59" t="s">
        <v>437</v>
      </c>
      <c r="D59" t="s">
        <v>438</v>
      </c>
      <c r="E59" t="s">
        <v>96</v>
      </c>
      <c r="F59" t="s">
        <v>422</v>
      </c>
      <c r="G59" s="2">
        <v>46079</v>
      </c>
      <c r="H59">
        <v>80759162</v>
      </c>
      <c r="I59" t="s">
        <v>439</v>
      </c>
      <c r="J59" t="s">
        <v>424</v>
      </c>
      <c r="K59" t="s">
        <v>60</v>
      </c>
      <c r="L59">
        <v>1248</v>
      </c>
      <c r="M59">
        <v>1248</v>
      </c>
      <c r="N59" t="s">
        <v>441</v>
      </c>
      <c r="O59" t="s">
        <v>27</v>
      </c>
      <c r="P59" t="s">
        <v>28</v>
      </c>
      <c r="Q59" s="4">
        <v>49010208</v>
      </c>
      <c r="R59" s="4">
        <v>5000</v>
      </c>
      <c r="S59" s="4">
        <v>5000</v>
      </c>
      <c r="T59" s="4">
        <f>Tabla1[[#This Row],[OS-Valor Unitario]]-Tabla1[[#This Row],[costo_antes_iva]]</f>
        <v>0</v>
      </c>
      <c r="U59" s="4">
        <f>Tabla1[[#This Row],[OS-Valor Unitario]]*Tabla1[[#This Row],[OS-Cantidad]]</f>
        <v>6240000</v>
      </c>
      <c r="V59" s="4">
        <f>Tabla1[[#This Row],[costo_antes_iva]]*Tabla1[[#This Row],[OS-Cantidad]]</f>
        <v>6240000</v>
      </c>
      <c r="W59" s="4">
        <f>Tabla1[[#This Row],[Valor total OS]]-Tabla1[[#This Row],[valor total op]]</f>
        <v>0</v>
      </c>
    </row>
    <row r="60" spans="1:23" x14ac:dyDescent="0.3">
      <c r="A60">
        <v>6618</v>
      </c>
      <c r="B60">
        <v>5</v>
      </c>
      <c r="C60" t="s">
        <v>442</v>
      </c>
      <c r="D60" t="s">
        <v>443</v>
      </c>
      <c r="E60" t="s">
        <v>96</v>
      </c>
      <c r="F60" t="s">
        <v>422</v>
      </c>
      <c r="G60" s="2">
        <v>46079</v>
      </c>
      <c r="H60">
        <v>80759171</v>
      </c>
      <c r="I60" t="s">
        <v>444</v>
      </c>
      <c r="J60" t="s">
        <v>424</v>
      </c>
      <c r="K60" t="s">
        <v>170</v>
      </c>
      <c r="L60">
        <v>26</v>
      </c>
      <c r="M60">
        <v>26</v>
      </c>
      <c r="N60" t="s">
        <v>445</v>
      </c>
      <c r="O60" t="s">
        <v>27</v>
      </c>
      <c r="P60" t="s">
        <v>28</v>
      </c>
      <c r="Q60" s="4">
        <v>1021046</v>
      </c>
      <c r="R60" s="4">
        <v>3600</v>
      </c>
      <c r="S60" s="4">
        <v>3000</v>
      </c>
      <c r="T60" s="4">
        <f>Tabla1[[#This Row],[OS-Valor Unitario]]-Tabla1[[#This Row],[costo_antes_iva]]</f>
        <v>-600</v>
      </c>
      <c r="U60" s="4">
        <f>Tabla1[[#This Row],[OS-Valor Unitario]]*Tabla1[[#This Row],[OS-Cantidad]]</f>
        <v>78000</v>
      </c>
      <c r="V60" s="4">
        <f>Tabla1[[#This Row],[costo_antes_iva]]*Tabla1[[#This Row],[OS-Cantidad]]</f>
        <v>93600</v>
      </c>
      <c r="W60" s="4">
        <f>Tabla1[[#This Row],[Valor total OS]]-Tabla1[[#This Row],[valor total op]]</f>
        <v>-15600</v>
      </c>
    </row>
    <row r="61" spans="1:23" x14ac:dyDescent="0.3">
      <c r="A61">
        <v>6618</v>
      </c>
      <c r="B61">
        <v>5</v>
      </c>
      <c r="C61" t="s">
        <v>442</v>
      </c>
      <c r="D61" t="s">
        <v>443</v>
      </c>
      <c r="E61" t="s">
        <v>96</v>
      </c>
      <c r="F61" t="s">
        <v>422</v>
      </c>
      <c r="G61" s="2">
        <v>46079</v>
      </c>
      <c r="H61">
        <v>80759171</v>
      </c>
      <c r="I61" t="s">
        <v>444</v>
      </c>
      <c r="J61" t="s">
        <v>424</v>
      </c>
      <c r="K61" t="s">
        <v>60</v>
      </c>
      <c r="L61">
        <v>26</v>
      </c>
      <c r="M61">
        <v>26</v>
      </c>
      <c r="N61" t="s">
        <v>446</v>
      </c>
      <c r="O61" t="s">
        <v>27</v>
      </c>
      <c r="P61" t="s">
        <v>28</v>
      </c>
      <c r="Q61" s="4">
        <v>1021046</v>
      </c>
      <c r="R61" s="4">
        <v>5000</v>
      </c>
      <c r="S61" s="4">
        <v>5000</v>
      </c>
      <c r="T61" s="4">
        <f>Tabla1[[#This Row],[OS-Valor Unitario]]-Tabla1[[#This Row],[costo_antes_iva]]</f>
        <v>0</v>
      </c>
      <c r="U61" s="4">
        <f>Tabla1[[#This Row],[OS-Valor Unitario]]*Tabla1[[#This Row],[OS-Cantidad]]</f>
        <v>130000</v>
      </c>
      <c r="V61" s="4">
        <f>Tabla1[[#This Row],[costo_antes_iva]]*Tabla1[[#This Row],[OS-Cantidad]]</f>
        <v>130000</v>
      </c>
      <c r="W61" s="4">
        <f>Tabla1[[#This Row],[Valor total OS]]-Tabla1[[#This Row],[valor total op]]</f>
        <v>0</v>
      </c>
    </row>
    <row r="62" spans="1:23" x14ac:dyDescent="0.3">
      <c r="A62">
        <v>6618</v>
      </c>
      <c r="B62">
        <v>6</v>
      </c>
      <c r="C62" t="s">
        <v>447</v>
      </c>
      <c r="D62" t="s">
        <v>448</v>
      </c>
      <c r="E62" t="s">
        <v>96</v>
      </c>
      <c r="F62" t="s">
        <v>422</v>
      </c>
      <c r="G62" s="2">
        <v>46079</v>
      </c>
      <c r="H62">
        <v>80759181</v>
      </c>
      <c r="I62" t="s">
        <v>449</v>
      </c>
      <c r="J62" t="s">
        <v>424</v>
      </c>
      <c r="K62" t="s">
        <v>170</v>
      </c>
      <c r="L62">
        <v>144</v>
      </c>
      <c r="M62">
        <v>144</v>
      </c>
      <c r="N62" t="s">
        <v>450</v>
      </c>
      <c r="O62" t="s">
        <v>27</v>
      </c>
      <c r="P62" t="s">
        <v>28</v>
      </c>
      <c r="Q62" s="4">
        <v>5672304</v>
      </c>
      <c r="R62" s="4">
        <v>3600</v>
      </c>
      <c r="S62" s="4">
        <v>3000</v>
      </c>
      <c r="T62" s="4">
        <f>Tabla1[[#This Row],[OS-Valor Unitario]]-Tabla1[[#This Row],[costo_antes_iva]]</f>
        <v>-600</v>
      </c>
      <c r="U62" s="4">
        <f>Tabla1[[#This Row],[OS-Valor Unitario]]*Tabla1[[#This Row],[OS-Cantidad]]</f>
        <v>432000</v>
      </c>
      <c r="V62" s="4">
        <f>Tabla1[[#This Row],[costo_antes_iva]]*Tabla1[[#This Row],[OS-Cantidad]]</f>
        <v>518400</v>
      </c>
      <c r="W62" s="4">
        <f>Tabla1[[#This Row],[Valor total OS]]-Tabla1[[#This Row],[valor total op]]</f>
        <v>-86400</v>
      </c>
    </row>
    <row r="63" spans="1:23" x14ac:dyDescent="0.3">
      <c r="A63">
        <v>6618</v>
      </c>
      <c r="B63">
        <v>6</v>
      </c>
      <c r="C63" t="s">
        <v>447</v>
      </c>
      <c r="D63" t="s">
        <v>448</v>
      </c>
      <c r="E63" t="s">
        <v>96</v>
      </c>
      <c r="F63" t="s">
        <v>422</v>
      </c>
      <c r="G63" s="2">
        <v>46079</v>
      </c>
      <c r="H63">
        <v>80759181</v>
      </c>
      <c r="I63" t="s">
        <v>449</v>
      </c>
      <c r="J63" t="s">
        <v>424</v>
      </c>
      <c r="K63" t="s">
        <v>60</v>
      </c>
      <c r="L63">
        <v>144</v>
      </c>
      <c r="M63">
        <v>144</v>
      </c>
      <c r="N63" t="s">
        <v>451</v>
      </c>
      <c r="O63" t="s">
        <v>27</v>
      </c>
      <c r="P63" t="s">
        <v>28</v>
      </c>
      <c r="Q63" s="4">
        <v>5672304</v>
      </c>
      <c r="R63" s="4">
        <v>5000</v>
      </c>
      <c r="S63" s="4">
        <v>5000</v>
      </c>
      <c r="T63" s="4">
        <f>Tabla1[[#This Row],[OS-Valor Unitario]]-Tabla1[[#This Row],[costo_antes_iva]]</f>
        <v>0</v>
      </c>
      <c r="U63" s="4">
        <f>Tabla1[[#This Row],[OS-Valor Unitario]]*Tabla1[[#This Row],[OS-Cantidad]]</f>
        <v>720000</v>
      </c>
      <c r="V63" s="4">
        <f>Tabla1[[#This Row],[costo_antes_iva]]*Tabla1[[#This Row],[OS-Cantidad]]</f>
        <v>720000</v>
      </c>
      <c r="W63" s="4">
        <f>Tabla1[[#This Row],[Valor total OS]]-Tabla1[[#This Row],[valor total op]]</f>
        <v>0</v>
      </c>
    </row>
    <row r="64" spans="1:23" x14ac:dyDescent="0.3">
      <c r="A64">
        <v>6618</v>
      </c>
      <c r="B64">
        <v>11</v>
      </c>
      <c r="C64" t="s">
        <v>452</v>
      </c>
      <c r="D64" t="s">
        <v>453</v>
      </c>
      <c r="E64" t="s">
        <v>454</v>
      </c>
      <c r="F64" t="s">
        <v>422</v>
      </c>
      <c r="G64" s="2">
        <v>46079</v>
      </c>
      <c r="H64">
        <v>80759211</v>
      </c>
      <c r="I64" t="s">
        <v>455</v>
      </c>
      <c r="J64" t="s">
        <v>424</v>
      </c>
      <c r="K64" t="s">
        <v>170</v>
      </c>
      <c r="L64">
        <v>30</v>
      </c>
      <c r="M64">
        <v>30</v>
      </c>
      <c r="N64" t="s">
        <v>456</v>
      </c>
      <c r="O64" t="s">
        <v>27</v>
      </c>
      <c r="P64" t="s">
        <v>127</v>
      </c>
      <c r="Q64" s="4">
        <v>671670</v>
      </c>
      <c r="R64" s="4">
        <v>2300</v>
      </c>
      <c r="S64" s="4">
        <v>4500</v>
      </c>
      <c r="T64" s="4">
        <f>Tabla1[[#This Row],[OS-Valor Unitario]]-Tabla1[[#This Row],[costo_antes_iva]]</f>
        <v>2200</v>
      </c>
      <c r="U64" s="4">
        <f>Tabla1[[#This Row],[OS-Valor Unitario]]*Tabla1[[#This Row],[OS-Cantidad]]</f>
        <v>135000</v>
      </c>
      <c r="V64" s="4">
        <f>Tabla1[[#This Row],[costo_antes_iva]]*Tabla1[[#This Row],[OS-Cantidad]]</f>
        <v>69000</v>
      </c>
      <c r="W64" s="4">
        <f>Tabla1[[#This Row],[Valor total OS]]-Tabla1[[#This Row],[valor total op]]</f>
        <v>66000</v>
      </c>
    </row>
    <row r="65" spans="1:23" x14ac:dyDescent="0.3">
      <c r="A65">
        <v>6618</v>
      </c>
      <c r="B65">
        <v>12</v>
      </c>
      <c r="C65" t="s">
        <v>457</v>
      </c>
      <c r="D65" t="s">
        <v>458</v>
      </c>
      <c r="E65" t="s">
        <v>454</v>
      </c>
      <c r="F65" t="s">
        <v>422</v>
      </c>
      <c r="G65" s="2">
        <v>46079</v>
      </c>
      <c r="H65">
        <v>80759216</v>
      </c>
      <c r="I65" t="s">
        <v>459</v>
      </c>
      <c r="J65" t="s">
        <v>424</v>
      </c>
      <c r="K65" t="s">
        <v>170</v>
      </c>
      <c r="L65">
        <v>30</v>
      </c>
      <c r="M65">
        <v>30</v>
      </c>
      <c r="N65" t="s">
        <v>460</v>
      </c>
      <c r="O65" t="s">
        <v>27</v>
      </c>
      <c r="P65" t="s">
        <v>127</v>
      </c>
      <c r="Q65" s="4">
        <v>687150</v>
      </c>
      <c r="R65" s="4">
        <v>2300</v>
      </c>
      <c r="S65" s="4">
        <v>4500</v>
      </c>
      <c r="T65" s="4">
        <f>Tabla1[[#This Row],[OS-Valor Unitario]]-Tabla1[[#This Row],[costo_antes_iva]]</f>
        <v>2200</v>
      </c>
      <c r="U65" s="4">
        <f>Tabla1[[#This Row],[OS-Valor Unitario]]*Tabla1[[#This Row],[OS-Cantidad]]</f>
        <v>135000</v>
      </c>
      <c r="V65" s="4">
        <f>Tabla1[[#This Row],[costo_antes_iva]]*Tabla1[[#This Row],[OS-Cantidad]]</f>
        <v>69000</v>
      </c>
      <c r="W65" s="4">
        <f>Tabla1[[#This Row],[Valor total OS]]-Tabla1[[#This Row],[valor total op]]</f>
        <v>66000</v>
      </c>
    </row>
    <row r="66" spans="1:23" x14ac:dyDescent="0.3">
      <c r="A66">
        <v>6618</v>
      </c>
      <c r="B66">
        <v>13</v>
      </c>
      <c r="C66" t="s">
        <v>461</v>
      </c>
      <c r="D66" t="s">
        <v>462</v>
      </c>
      <c r="E66" t="s">
        <v>463</v>
      </c>
      <c r="F66" t="s">
        <v>422</v>
      </c>
      <c r="G66" s="2">
        <v>46079</v>
      </c>
      <c r="H66">
        <v>80759227</v>
      </c>
      <c r="I66" t="s">
        <v>464</v>
      </c>
      <c r="J66" t="s">
        <v>424</v>
      </c>
      <c r="K66" t="s">
        <v>170</v>
      </c>
      <c r="L66">
        <v>10</v>
      </c>
      <c r="M66">
        <v>10</v>
      </c>
      <c r="N66" t="s">
        <v>465</v>
      </c>
      <c r="O66" t="s">
        <v>27</v>
      </c>
      <c r="P66" t="s">
        <v>62</v>
      </c>
      <c r="Q66" s="4">
        <v>150910</v>
      </c>
      <c r="R66" s="4">
        <v>1200</v>
      </c>
      <c r="S66" s="4">
        <v>2400</v>
      </c>
      <c r="T66" s="4">
        <f>Tabla1[[#This Row],[OS-Valor Unitario]]-Tabla1[[#This Row],[costo_antes_iva]]</f>
        <v>1200</v>
      </c>
      <c r="U66" s="4">
        <f>Tabla1[[#This Row],[OS-Valor Unitario]]*Tabla1[[#This Row],[OS-Cantidad]]</f>
        <v>24000</v>
      </c>
      <c r="V66" s="4">
        <f>Tabla1[[#This Row],[costo_antes_iva]]*Tabla1[[#This Row],[OS-Cantidad]]</f>
        <v>12000</v>
      </c>
      <c r="W66" s="4">
        <f>Tabla1[[#This Row],[Valor total OS]]-Tabla1[[#This Row],[valor total op]]</f>
        <v>12000</v>
      </c>
    </row>
    <row r="67" spans="1:23" x14ac:dyDescent="0.3">
      <c r="A67">
        <v>6618</v>
      </c>
      <c r="B67">
        <v>14</v>
      </c>
      <c r="C67" t="s">
        <v>466</v>
      </c>
      <c r="D67" t="s">
        <v>467</v>
      </c>
      <c r="E67" t="s">
        <v>463</v>
      </c>
      <c r="F67" t="s">
        <v>422</v>
      </c>
      <c r="G67" s="2">
        <v>46079</v>
      </c>
      <c r="H67">
        <v>80759238</v>
      </c>
      <c r="I67" t="s">
        <v>468</v>
      </c>
      <c r="J67" t="s">
        <v>424</v>
      </c>
      <c r="K67" t="s">
        <v>170</v>
      </c>
      <c r="L67">
        <v>10</v>
      </c>
      <c r="M67">
        <v>10</v>
      </c>
      <c r="N67" t="s">
        <v>469</v>
      </c>
      <c r="O67" t="s">
        <v>27</v>
      </c>
      <c r="P67" t="s">
        <v>62</v>
      </c>
      <c r="Q67" s="4">
        <v>171990</v>
      </c>
      <c r="R67" s="4">
        <v>1200</v>
      </c>
      <c r="S67" s="4">
        <v>2400</v>
      </c>
      <c r="T67" s="4">
        <f>Tabla1[[#This Row],[OS-Valor Unitario]]-Tabla1[[#This Row],[costo_antes_iva]]</f>
        <v>1200</v>
      </c>
      <c r="U67" s="4">
        <f>Tabla1[[#This Row],[OS-Valor Unitario]]*Tabla1[[#This Row],[OS-Cantidad]]</f>
        <v>24000</v>
      </c>
      <c r="V67" s="4">
        <f>Tabla1[[#This Row],[costo_antes_iva]]*Tabla1[[#This Row],[OS-Cantidad]]</f>
        <v>12000</v>
      </c>
      <c r="W67" s="4">
        <f>Tabla1[[#This Row],[Valor total OS]]-Tabla1[[#This Row],[valor total op]]</f>
        <v>12000</v>
      </c>
    </row>
    <row r="68" spans="1:23" x14ac:dyDescent="0.3">
      <c r="A68">
        <v>6618</v>
      </c>
      <c r="B68">
        <v>14</v>
      </c>
      <c r="C68" t="s">
        <v>466</v>
      </c>
      <c r="D68" t="s">
        <v>467</v>
      </c>
      <c r="E68" t="s">
        <v>463</v>
      </c>
      <c r="F68" t="s">
        <v>422</v>
      </c>
      <c r="G68" s="2">
        <v>46079</v>
      </c>
      <c r="H68">
        <v>80759238</v>
      </c>
      <c r="I68" t="s">
        <v>468</v>
      </c>
      <c r="J68" t="s">
        <v>424</v>
      </c>
      <c r="K68" t="s">
        <v>60</v>
      </c>
      <c r="L68">
        <v>10</v>
      </c>
      <c r="M68">
        <v>10</v>
      </c>
      <c r="N68" t="s">
        <v>470</v>
      </c>
      <c r="O68" t="s">
        <v>27</v>
      </c>
      <c r="P68" t="s">
        <v>62</v>
      </c>
      <c r="Q68" s="4">
        <v>171990</v>
      </c>
      <c r="R68" s="4">
        <v>4000</v>
      </c>
      <c r="S68" s="4">
        <v>4500</v>
      </c>
      <c r="T68" s="4">
        <f>Tabla1[[#This Row],[OS-Valor Unitario]]-Tabla1[[#This Row],[costo_antes_iva]]</f>
        <v>500</v>
      </c>
      <c r="U68" s="4">
        <f>Tabla1[[#This Row],[OS-Valor Unitario]]*Tabla1[[#This Row],[OS-Cantidad]]</f>
        <v>45000</v>
      </c>
      <c r="V68" s="4">
        <f>Tabla1[[#This Row],[costo_antes_iva]]*Tabla1[[#This Row],[OS-Cantidad]]</f>
        <v>40000</v>
      </c>
      <c r="W68" s="4">
        <f>Tabla1[[#This Row],[Valor total OS]]-Tabla1[[#This Row],[valor total op]]</f>
        <v>5000</v>
      </c>
    </row>
    <row r="69" spans="1:23" x14ac:dyDescent="0.3">
      <c r="A69">
        <v>6618</v>
      </c>
      <c r="B69">
        <v>15</v>
      </c>
      <c r="C69" t="s">
        <v>471</v>
      </c>
      <c r="D69" t="s">
        <v>472</v>
      </c>
      <c r="E69" t="s">
        <v>278</v>
      </c>
      <c r="F69" t="s">
        <v>422</v>
      </c>
      <c r="G69" s="2">
        <v>46079</v>
      </c>
      <c r="H69">
        <v>80759244</v>
      </c>
      <c r="I69" t="s">
        <v>473</v>
      </c>
      <c r="J69" t="s">
        <v>424</v>
      </c>
      <c r="K69" t="s">
        <v>60</v>
      </c>
      <c r="L69">
        <v>10</v>
      </c>
      <c r="M69">
        <v>10</v>
      </c>
      <c r="N69" t="s">
        <v>474</v>
      </c>
      <c r="O69" t="s">
        <v>27</v>
      </c>
      <c r="P69" t="s">
        <v>40</v>
      </c>
      <c r="Q69" s="4">
        <v>154920</v>
      </c>
      <c r="R69" s="4">
        <v>7000</v>
      </c>
      <c r="S69" s="4">
        <v>6500</v>
      </c>
      <c r="T69" s="4">
        <f>Tabla1[[#This Row],[OS-Valor Unitario]]-Tabla1[[#This Row],[costo_antes_iva]]</f>
        <v>-500</v>
      </c>
      <c r="U69" s="4">
        <f>Tabla1[[#This Row],[OS-Valor Unitario]]*Tabla1[[#This Row],[OS-Cantidad]]</f>
        <v>65000</v>
      </c>
      <c r="V69" s="4">
        <f>Tabla1[[#This Row],[costo_antes_iva]]*Tabla1[[#This Row],[OS-Cantidad]]</f>
        <v>70000</v>
      </c>
      <c r="W69" s="4">
        <f>Tabla1[[#This Row],[Valor total OS]]-Tabla1[[#This Row],[valor total op]]</f>
        <v>-5000</v>
      </c>
    </row>
    <row r="70" spans="1:23" x14ac:dyDescent="0.3">
      <c r="A70">
        <v>6618</v>
      </c>
      <c r="B70">
        <v>16</v>
      </c>
      <c r="C70" t="s">
        <v>475</v>
      </c>
      <c r="D70" t="s">
        <v>476</v>
      </c>
      <c r="E70" t="s">
        <v>278</v>
      </c>
      <c r="F70" t="s">
        <v>422</v>
      </c>
      <c r="G70" s="2">
        <v>46079</v>
      </c>
      <c r="H70">
        <v>80759251</v>
      </c>
      <c r="I70" t="s">
        <v>477</v>
      </c>
      <c r="J70" t="s">
        <v>424</v>
      </c>
      <c r="K70" t="s">
        <v>60</v>
      </c>
      <c r="L70">
        <v>10</v>
      </c>
      <c r="M70">
        <v>10</v>
      </c>
      <c r="N70" t="s">
        <v>478</v>
      </c>
      <c r="O70" t="s">
        <v>27</v>
      </c>
      <c r="P70" t="s">
        <v>40</v>
      </c>
      <c r="Q70" s="4">
        <v>152690</v>
      </c>
      <c r="R70" s="4">
        <v>7000</v>
      </c>
      <c r="S70" s="4">
        <v>6500</v>
      </c>
      <c r="T70" s="4">
        <f>Tabla1[[#This Row],[OS-Valor Unitario]]-Tabla1[[#This Row],[costo_antes_iva]]</f>
        <v>-500</v>
      </c>
      <c r="U70" s="4">
        <f>Tabla1[[#This Row],[OS-Valor Unitario]]*Tabla1[[#This Row],[OS-Cantidad]]</f>
        <v>65000</v>
      </c>
      <c r="V70" s="4">
        <f>Tabla1[[#This Row],[costo_antes_iva]]*Tabla1[[#This Row],[OS-Cantidad]]</f>
        <v>70000</v>
      </c>
      <c r="W70" s="4">
        <f>Tabla1[[#This Row],[Valor total OS]]-Tabla1[[#This Row],[valor total op]]</f>
        <v>-5000</v>
      </c>
    </row>
    <row r="71" spans="1:23" x14ac:dyDescent="0.3">
      <c r="A71">
        <v>6616</v>
      </c>
      <c r="B71">
        <v>1</v>
      </c>
      <c r="C71" t="s">
        <v>479</v>
      </c>
      <c r="D71" t="s">
        <v>480</v>
      </c>
      <c r="E71" t="s">
        <v>79</v>
      </c>
      <c r="F71" t="s">
        <v>481</v>
      </c>
      <c r="G71" s="2">
        <v>46079</v>
      </c>
      <c r="H71">
        <v>80743972</v>
      </c>
      <c r="I71" t="s">
        <v>482</v>
      </c>
      <c r="J71" t="s">
        <v>483</v>
      </c>
      <c r="K71" t="s">
        <v>25</v>
      </c>
      <c r="L71">
        <v>700</v>
      </c>
      <c r="M71">
        <v>700</v>
      </c>
      <c r="N71" t="s">
        <v>484</v>
      </c>
      <c r="O71" t="s">
        <v>485</v>
      </c>
      <c r="P71" t="s">
        <v>85</v>
      </c>
      <c r="Q71" s="4">
        <v>39127200</v>
      </c>
      <c r="R71" s="4">
        <v>1700</v>
      </c>
      <c r="S71" s="4">
        <v>1400</v>
      </c>
      <c r="T71" s="4">
        <f>Tabla1[[#This Row],[OS-Valor Unitario]]-Tabla1[[#This Row],[costo_antes_iva]]</f>
        <v>-300</v>
      </c>
      <c r="U71" s="4">
        <f>Tabla1[[#This Row],[OS-Valor Unitario]]*Tabla1[[#This Row],[OS-Cantidad]]</f>
        <v>980000</v>
      </c>
      <c r="V71" s="4">
        <f>Tabla1[[#This Row],[costo_antes_iva]]*Tabla1[[#This Row],[OS-Cantidad]]</f>
        <v>1190000</v>
      </c>
      <c r="W71" s="4">
        <f>Tabla1[[#This Row],[Valor total OS]]-Tabla1[[#This Row],[valor total op]]</f>
        <v>-210000</v>
      </c>
    </row>
    <row r="72" spans="1:23" x14ac:dyDescent="0.3">
      <c r="A72">
        <v>6616</v>
      </c>
      <c r="B72">
        <v>1</v>
      </c>
      <c r="C72" t="s">
        <v>479</v>
      </c>
      <c r="D72" t="s">
        <v>480</v>
      </c>
      <c r="E72" t="s">
        <v>79</v>
      </c>
      <c r="F72" t="s">
        <v>481</v>
      </c>
      <c r="G72" s="2">
        <v>46079</v>
      </c>
      <c r="H72">
        <v>80743972</v>
      </c>
      <c r="I72" t="s">
        <v>482</v>
      </c>
      <c r="J72" t="s">
        <v>483</v>
      </c>
      <c r="K72" t="s">
        <v>60</v>
      </c>
      <c r="L72">
        <v>700</v>
      </c>
      <c r="M72">
        <v>702</v>
      </c>
      <c r="N72" t="s">
        <v>486</v>
      </c>
      <c r="O72" t="s">
        <v>485</v>
      </c>
      <c r="P72" t="s">
        <v>85</v>
      </c>
      <c r="Q72" s="4">
        <v>39127200</v>
      </c>
      <c r="R72" s="4">
        <v>13500</v>
      </c>
      <c r="S72" s="4">
        <v>13500</v>
      </c>
      <c r="T72" s="4">
        <f>Tabla1[[#This Row],[OS-Valor Unitario]]-Tabla1[[#This Row],[costo_antes_iva]]</f>
        <v>0</v>
      </c>
      <c r="U72" s="4">
        <f>Tabla1[[#This Row],[OS-Valor Unitario]]*Tabla1[[#This Row],[OS-Cantidad]]</f>
        <v>9477000</v>
      </c>
      <c r="V72" s="4">
        <f>Tabla1[[#This Row],[costo_antes_iva]]*Tabla1[[#This Row],[OS-Cantidad]]</f>
        <v>9477000</v>
      </c>
      <c r="W72" s="4">
        <f>Tabla1[[#This Row],[Valor total OS]]-Tabla1[[#This Row],[valor total op]]</f>
        <v>0</v>
      </c>
    </row>
    <row r="73" spans="1:23" x14ac:dyDescent="0.3">
      <c r="A73">
        <v>6616</v>
      </c>
      <c r="B73">
        <v>2</v>
      </c>
      <c r="C73" t="s">
        <v>487</v>
      </c>
      <c r="D73" t="s">
        <v>488</v>
      </c>
      <c r="E73" t="s">
        <v>149</v>
      </c>
      <c r="F73" t="s">
        <v>481</v>
      </c>
      <c r="G73" s="2">
        <v>46079</v>
      </c>
      <c r="H73">
        <v>80743979</v>
      </c>
      <c r="I73" t="s">
        <v>489</v>
      </c>
      <c r="J73" t="s">
        <v>483</v>
      </c>
      <c r="K73" t="s">
        <v>60</v>
      </c>
      <c r="L73">
        <v>300</v>
      </c>
      <c r="M73">
        <v>300</v>
      </c>
      <c r="N73" t="s">
        <v>490</v>
      </c>
      <c r="O73" t="s">
        <v>485</v>
      </c>
      <c r="P73" t="s">
        <v>72</v>
      </c>
      <c r="Q73" s="4">
        <v>14230200</v>
      </c>
      <c r="R73" s="4">
        <v>12000</v>
      </c>
      <c r="S73" s="4">
        <v>10000</v>
      </c>
      <c r="T73" s="4">
        <f>Tabla1[[#This Row],[OS-Valor Unitario]]-Tabla1[[#This Row],[costo_antes_iva]]</f>
        <v>-2000</v>
      </c>
      <c r="U73" s="4">
        <f>Tabla1[[#This Row],[OS-Valor Unitario]]*Tabla1[[#This Row],[OS-Cantidad]]</f>
        <v>3000000</v>
      </c>
      <c r="V73" s="4">
        <f>Tabla1[[#This Row],[costo_antes_iva]]*Tabla1[[#This Row],[OS-Cantidad]]</f>
        <v>3600000</v>
      </c>
      <c r="W73" s="4">
        <f>Tabla1[[#This Row],[Valor total OS]]-Tabla1[[#This Row],[valor total op]]</f>
        <v>-600000</v>
      </c>
    </row>
    <row r="74" spans="1:23" x14ac:dyDescent="0.3">
      <c r="A74">
        <v>6616</v>
      </c>
      <c r="B74">
        <v>3</v>
      </c>
      <c r="C74" t="s">
        <v>491</v>
      </c>
      <c r="D74" t="s">
        <v>492</v>
      </c>
      <c r="E74" t="s">
        <v>493</v>
      </c>
      <c r="F74" t="s">
        <v>481</v>
      </c>
      <c r="G74" s="2">
        <v>46079</v>
      </c>
      <c r="H74">
        <v>80743985</v>
      </c>
      <c r="I74" t="s">
        <v>494</v>
      </c>
      <c r="J74" t="s">
        <v>483</v>
      </c>
      <c r="K74" t="s">
        <v>25</v>
      </c>
      <c r="L74">
        <v>300</v>
      </c>
      <c r="M74">
        <v>300</v>
      </c>
      <c r="N74" t="s">
        <v>495</v>
      </c>
      <c r="O74" t="s">
        <v>485</v>
      </c>
      <c r="P74" t="s">
        <v>127</v>
      </c>
      <c r="Q74" s="4">
        <v>15003000</v>
      </c>
      <c r="R74" s="4">
        <v>1700</v>
      </c>
      <c r="S74" s="4">
        <v>1400</v>
      </c>
      <c r="T74" s="4">
        <f>Tabla1[[#This Row],[OS-Valor Unitario]]-Tabla1[[#This Row],[costo_antes_iva]]</f>
        <v>-300</v>
      </c>
      <c r="U74" s="4">
        <f>Tabla1[[#This Row],[OS-Valor Unitario]]*Tabla1[[#This Row],[OS-Cantidad]]</f>
        <v>420000</v>
      </c>
      <c r="V74" s="4">
        <f>Tabla1[[#This Row],[costo_antes_iva]]*Tabla1[[#This Row],[OS-Cantidad]]</f>
        <v>510000</v>
      </c>
      <c r="W74" s="4">
        <f>Tabla1[[#This Row],[Valor total OS]]-Tabla1[[#This Row],[valor total op]]</f>
        <v>-90000</v>
      </c>
    </row>
    <row r="75" spans="1:23" x14ac:dyDescent="0.3">
      <c r="A75">
        <v>6616</v>
      </c>
      <c r="B75">
        <v>3</v>
      </c>
      <c r="C75" t="s">
        <v>491</v>
      </c>
      <c r="D75" t="s">
        <v>492</v>
      </c>
      <c r="E75" t="s">
        <v>493</v>
      </c>
      <c r="F75" t="s">
        <v>481</v>
      </c>
      <c r="G75" s="2">
        <v>46079</v>
      </c>
      <c r="H75">
        <v>80743985</v>
      </c>
      <c r="I75" t="s">
        <v>494</v>
      </c>
      <c r="J75" t="s">
        <v>483</v>
      </c>
      <c r="K75" t="s">
        <v>60</v>
      </c>
      <c r="L75">
        <v>300</v>
      </c>
      <c r="M75">
        <v>300</v>
      </c>
      <c r="N75" t="s">
        <v>496</v>
      </c>
      <c r="O75" t="s">
        <v>485</v>
      </c>
      <c r="P75" t="s">
        <v>127</v>
      </c>
      <c r="Q75" s="4">
        <v>15003000</v>
      </c>
      <c r="R75" s="4">
        <v>12500</v>
      </c>
      <c r="S75" s="4">
        <v>12500</v>
      </c>
      <c r="T75" s="4">
        <f>Tabla1[[#This Row],[OS-Valor Unitario]]-Tabla1[[#This Row],[costo_antes_iva]]</f>
        <v>0</v>
      </c>
      <c r="U75" s="4">
        <f>Tabla1[[#This Row],[OS-Valor Unitario]]*Tabla1[[#This Row],[OS-Cantidad]]</f>
        <v>3750000</v>
      </c>
      <c r="V75" s="4">
        <f>Tabla1[[#This Row],[costo_antes_iva]]*Tabla1[[#This Row],[OS-Cantidad]]</f>
        <v>3750000</v>
      </c>
      <c r="W75" s="4">
        <f>Tabla1[[#This Row],[Valor total OS]]-Tabla1[[#This Row],[valor total op]]</f>
        <v>0</v>
      </c>
    </row>
    <row r="76" spans="1:23" x14ac:dyDescent="0.3">
      <c r="A76">
        <v>6616</v>
      </c>
      <c r="B76">
        <v>4</v>
      </c>
      <c r="C76" t="s">
        <v>497</v>
      </c>
      <c r="D76" t="s">
        <v>498</v>
      </c>
      <c r="E76" t="s">
        <v>499</v>
      </c>
      <c r="F76" t="s">
        <v>481</v>
      </c>
      <c r="G76" s="2">
        <v>46079</v>
      </c>
      <c r="H76">
        <v>80743991</v>
      </c>
      <c r="I76" t="s">
        <v>500</v>
      </c>
      <c r="J76" t="s">
        <v>483</v>
      </c>
      <c r="K76" t="s">
        <v>60</v>
      </c>
      <c r="L76">
        <v>700</v>
      </c>
      <c r="M76">
        <v>700</v>
      </c>
      <c r="N76" t="s">
        <v>501</v>
      </c>
      <c r="O76" t="s">
        <v>485</v>
      </c>
      <c r="P76" t="s">
        <v>72</v>
      </c>
      <c r="Q76" s="4">
        <v>32137700</v>
      </c>
      <c r="R76" s="4">
        <v>12000</v>
      </c>
      <c r="S76" s="4">
        <v>12000</v>
      </c>
      <c r="T76" s="4">
        <f>Tabla1[[#This Row],[OS-Valor Unitario]]-Tabla1[[#This Row],[costo_antes_iva]]</f>
        <v>0</v>
      </c>
      <c r="U76" s="4">
        <f>Tabla1[[#This Row],[OS-Valor Unitario]]*Tabla1[[#This Row],[OS-Cantidad]]</f>
        <v>8400000</v>
      </c>
      <c r="V76" s="4">
        <f>Tabla1[[#This Row],[costo_antes_iva]]*Tabla1[[#This Row],[OS-Cantidad]]</f>
        <v>8400000</v>
      </c>
      <c r="W76" s="4">
        <f>Tabla1[[#This Row],[Valor total OS]]-Tabla1[[#This Row],[valor total op]]</f>
        <v>0</v>
      </c>
    </row>
    <row r="77" spans="1:23" x14ac:dyDescent="0.3">
      <c r="A77">
        <v>6698</v>
      </c>
      <c r="B77">
        <v>1</v>
      </c>
      <c r="C77" t="s">
        <v>19</v>
      </c>
      <c r="D77" t="s">
        <v>20</v>
      </c>
      <c r="E77" t="s">
        <v>21</v>
      </c>
      <c r="F77" t="s">
        <v>22</v>
      </c>
      <c r="G77" s="2">
        <v>46078</v>
      </c>
      <c r="H77">
        <v>80671827</v>
      </c>
      <c r="I77" t="s">
        <v>23</v>
      </c>
      <c r="J77" t="s">
        <v>24</v>
      </c>
      <c r="K77" t="s">
        <v>25</v>
      </c>
      <c r="L77">
        <v>19</v>
      </c>
      <c r="M77">
        <v>19</v>
      </c>
      <c r="N77" t="s">
        <v>26</v>
      </c>
      <c r="O77" t="s">
        <v>27</v>
      </c>
      <c r="P77" t="s">
        <v>28</v>
      </c>
      <c r="Q77" s="4">
        <v>491606</v>
      </c>
      <c r="R77" s="4">
        <v>1200</v>
      </c>
      <c r="S77" s="4">
        <v>1200</v>
      </c>
      <c r="T77" s="4">
        <f>Tabla1[[#This Row],[OS-Valor Unitario]]-Tabla1[[#This Row],[costo_antes_iva]]</f>
        <v>0</v>
      </c>
      <c r="U77" s="4">
        <f>Tabla1[[#This Row],[OS-Valor Unitario]]*Tabla1[[#This Row],[OS-Cantidad]]</f>
        <v>22800</v>
      </c>
      <c r="V77" s="4">
        <f>Tabla1[[#This Row],[costo_antes_iva]]*Tabla1[[#This Row],[OS-Cantidad]]</f>
        <v>22800</v>
      </c>
      <c r="W77" s="4">
        <f>Tabla1[[#This Row],[Valor total OS]]-Tabla1[[#This Row],[valor total op]]</f>
        <v>0</v>
      </c>
    </row>
    <row r="78" spans="1:23" x14ac:dyDescent="0.3">
      <c r="A78">
        <v>6698</v>
      </c>
      <c r="B78">
        <v>2</v>
      </c>
      <c r="C78" t="s">
        <v>29</v>
      </c>
      <c r="D78" t="s">
        <v>30</v>
      </c>
      <c r="E78" t="s">
        <v>21</v>
      </c>
      <c r="F78" t="s">
        <v>22</v>
      </c>
      <c r="G78" s="2">
        <v>46078</v>
      </c>
      <c r="H78">
        <v>80671876</v>
      </c>
      <c r="I78" t="s">
        <v>23</v>
      </c>
      <c r="J78" t="s">
        <v>24</v>
      </c>
      <c r="K78" t="s">
        <v>25</v>
      </c>
      <c r="L78">
        <v>5</v>
      </c>
      <c r="M78">
        <v>5</v>
      </c>
      <c r="N78" t="s">
        <v>31</v>
      </c>
      <c r="O78" t="s">
        <v>27</v>
      </c>
      <c r="P78" t="s">
        <v>28</v>
      </c>
      <c r="Q78" s="4">
        <v>127765</v>
      </c>
      <c r="R78" s="4">
        <v>1200</v>
      </c>
      <c r="S78" s="4">
        <v>1200</v>
      </c>
      <c r="T78" s="4">
        <f>Tabla1[[#This Row],[OS-Valor Unitario]]-Tabla1[[#This Row],[costo_antes_iva]]</f>
        <v>0</v>
      </c>
      <c r="U78" s="4">
        <f>Tabla1[[#This Row],[OS-Valor Unitario]]*Tabla1[[#This Row],[OS-Cantidad]]</f>
        <v>6000</v>
      </c>
      <c r="V78" s="4">
        <f>Tabla1[[#This Row],[costo_antes_iva]]*Tabla1[[#This Row],[OS-Cantidad]]</f>
        <v>6000</v>
      </c>
      <c r="W78" s="4">
        <f>Tabla1[[#This Row],[Valor total OS]]-Tabla1[[#This Row],[valor total op]]</f>
        <v>0</v>
      </c>
    </row>
    <row r="79" spans="1:23" x14ac:dyDescent="0.3">
      <c r="A79">
        <v>6620</v>
      </c>
      <c r="B79">
        <v>33</v>
      </c>
      <c r="C79" t="s">
        <v>389</v>
      </c>
      <c r="D79" t="s">
        <v>390</v>
      </c>
      <c r="E79" t="s">
        <v>288</v>
      </c>
      <c r="F79" t="s">
        <v>115</v>
      </c>
      <c r="G79" s="2">
        <v>46078</v>
      </c>
      <c r="H79">
        <v>80652885</v>
      </c>
      <c r="I79" t="s">
        <v>391</v>
      </c>
      <c r="J79" t="s">
        <v>269</v>
      </c>
      <c r="K79" t="s">
        <v>25</v>
      </c>
      <c r="L79">
        <v>60</v>
      </c>
      <c r="M79">
        <v>60</v>
      </c>
      <c r="N79" t="s">
        <v>392</v>
      </c>
      <c r="O79" t="s">
        <v>27</v>
      </c>
      <c r="P79" t="s">
        <v>177</v>
      </c>
      <c r="Q79" s="4">
        <v>5059560</v>
      </c>
      <c r="R79" s="4">
        <v>10200</v>
      </c>
      <c r="S79" s="4">
        <v>27700</v>
      </c>
      <c r="T79" s="4">
        <f>Tabla1[[#This Row],[OS-Valor Unitario]]-Tabla1[[#This Row],[costo_antes_iva]]</f>
        <v>17500</v>
      </c>
      <c r="U79" s="4">
        <f>Tabla1[[#This Row],[OS-Valor Unitario]]*Tabla1[[#This Row],[OS-Cantidad]]</f>
        <v>1662000</v>
      </c>
      <c r="V79" s="4">
        <f>Tabla1[[#This Row],[costo_antes_iva]]*Tabla1[[#This Row],[OS-Cantidad]]</f>
        <v>612000</v>
      </c>
      <c r="W79" s="4">
        <f>Tabla1[[#This Row],[Valor total OS]]-Tabla1[[#This Row],[valor total op]]</f>
        <v>1050000</v>
      </c>
    </row>
    <row r="80" spans="1:23" x14ac:dyDescent="0.3">
      <c r="A80">
        <v>6620</v>
      </c>
      <c r="B80">
        <v>33</v>
      </c>
      <c r="C80" t="s">
        <v>389</v>
      </c>
      <c r="D80" t="s">
        <v>390</v>
      </c>
      <c r="E80" t="s">
        <v>288</v>
      </c>
      <c r="F80" t="s">
        <v>115</v>
      </c>
      <c r="G80" s="2">
        <v>46078</v>
      </c>
      <c r="H80">
        <v>80652885</v>
      </c>
      <c r="I80" t="s">
        <v>391</v>
      </c>
      <c r="J80" t="s">
        <v>269</v>
      </c>
      <c r="K80" t="s">
        <v>60</v>
      </c>
      <c r="L80">
        <v>60</v>
      </c>
      <c r="M80">
        <v>60</v>
      </c>
      <c r="N80" t="s">
        <v>393</v>
      </c>
      <c r="O80" t="s">
        <v>27</v>
      </c>
      <c r="P80" t="s">
        <v>177</v>
      </c>
      <c r="Q80" s="4">
        <v>5059560</v>
      </c>
      <c r="R80" s="4">
        <v>23000</v>
      </c>
      <c r="S80" s="4">
        <v>21000</v>
      </c>
      <c r="T80" s="4">
        <f>Tabla1[[#This Row],[OS-Valor Unitario]]-Tabla1[[#This Row],[costo_antes_iva]]</f>
        <v>-2000</v>
      </c>
      <c r="U80" s="4">
        <f>Tabla1[[#This Row],[OS-Valor Unitario]]*Tabla1[[#This Row],[OS-Cantidad]]</f>
        <v>1260000</v>
      </c>
      <c r="V80" s="4">
        <f>Tabla1[[#This Row],[costo_antes_iva]]*Tabla1[[#This Row],[OS-Cantidad]]</f>
        <v>1380000</v>
      </c>
      <c r="W80" s="4">
        <f>Tabla1[[#This Row],[Valor total OS]]-Tabla1[[#This Row],[valor total op]]</f>
        <v>-120000</v>
      </c>
    </row>
    <row r="81" spans="1:23" x14ac:dyDescent="0.3">
      <c r="A81">
        <v>6620</v>
      </c>
      <c r="B81">
        <v>34</v>
      </c>
      <c r="C81" t="s">
        <v>394</v>
      </c>
      <c r="D81" t="s">
        <v>395</v>
      </c>
      <c r="E81" t="s">
        <v>396</v>
      </c>
      <c r="F81" t="s">
        <v>115</v>
      </c>
      <c r="G81" s="2">
        <v>46078</v>
      </c>
      <c r="H81">
        <v>80658942</v>
      </c>
      <c r="I81" t="s">
        <v>397</v>
      </c>
      <c r="J81" t="s">
        <v>269</v>
      </c>
      <c r="K81" t="s">
        <v>60</v>
      </c>
      <c r="L81">
        <v>21</v>
      </c>
      <c r="M81">
        <v>22</v>
      </c>
      <c r="N81" t="s">
        <v>398</v>
      </c>
      <c r="O81" t="s">
        <v>27</v>
      </c>
      <c r="P81" t="s">
        <v>72</v>
      </c>
      <c r="Q81" s="4">
        <v>918036</v>
      </c>
      <c r="R81" s="4">
        <v>13000</v>
      </c>
      <c r="S81" s="4">
        <v>12000</v>
      </c>
      <c r="T81" s="4">
        <f>Tabla1[[#This Row],[OS-Valor Unitario]]-Tabla1[[#This Row],[costo_antes_iva]]</f>
        <v>-1000</v>
      </c>
      <c r="U81" s="4">
        <f>Tabla1[[#This Row],[OS-Valor Unitario]]*Tabla1[[#This Row],[OS-Cantidad]]</f>
        <v>264000</v>
      </c>
      <c r="V81" s="4">
        <f>Tabla1[[#This Row],[costo_antes_iva]]*Tabla1[[#This Row],[OS-Cantidad]]</f>
        <v>286000</v>
      </c>
      <c r="W81" s="4">
        <f>Tabla1[[#This Row],[Valor total OS]]-Tabla1[[#This Row],[valor total op]]</f>
        <v>-22000</v>
      </c>
    </row>
    <row r="82" spans="1:23" x14ac:dyDescent="0.3">
      <c r="A82">
        <v>6620</v>
      </c>
      <c r="B82">
        <v>35</v>
      </c>
      <c r="C82" t="s">
        <v>399</v>
      </c>
      <c r="D82" t="s">
        <v>400</v>
      </c>
      <c r="E82" t="s">
        <v>300</v>
      </c>
      <c r="F82" t="s">
        <v>115</v>
      </c>
      <c r="G82" s="2">
        <v>46078</v>
      </c>
      <c r="H82">
        <v>80659457</v>
      </c>
      <c r="I82" t="s">
        <v>401</v>
      </c>
      <c r="J82" t="s">
        <v>269</v>
      </c>
      <c r="K82" t="s">
        <v>60</v>
      </c>
      <c r="L82">
        <v>19</v>
      </c>
      <c r="M82">
        <v>19</v>
      </c>
      <c r="N82" t="s">
        <v>402</v>
      </c>
      <c r="O82" t="s">
        <v>27</v>
      </c>
      <c r="P82" t="s">
        <v>72</v>
      </c>
      <c r="Q82" s="4">
        <v>700758</v>
      </c>
      <c r="R82" s="4">
        <v>14500</v>
      </c>
      <c r="S82" s="4">
        <v>12000</v>
      </c>
      <c r="T82" s="4">
        <f>Tabla1[[#This Row],[OS-Valor Unitario]]-Tabla1[[#This Row],[costo_antes_iva]]</f>
        <v>-2500</v>
      </c>
      <c r="U82" s="4">
        <f>Tabla1[[#This Row],[OS-Valor Unitario]]*Tabla1[[#This Row],[OS-Cantidad]]</f>
        <v>228000</v>
      </c>
      <c r="V82" s="4">
        <f>Tabla1[[#This Row],[costo_antes_iva]]*Tabla1[[#This Row],[OS-Cantidad]]</f>
        <v>275500</v>
      </c>
      <c r="W82" s="4">
        <f>Tabla1[[#This Row],[Valor total OS]]-Tabla1[[#This Row],[valor total op]]</f>
        <v>-47500</v>
      </c>
    </row>
    <row r="83" spans="1:23" x14ac:dyDescent="0.3">
      <c r="A83">
        <v>6620</v>
      </c>
      <c r="B83">
        <v>36</v>
      </c>
      <c r="C83" t="s">
        <v>403</v>
      </c>
      <c r="D83" t="s">
        <v>404</v>
      </c>
      <c r="E83" t="s">
        <v>396</v>
      </c>
      <c r="F83" t="s">
        <v>115</v>
      </c>
      <c r="G83" s="2">
        <v>46078</v>
      </c>
      <c r="H83">
        <v>80660187</v>
      </c>
      <c r="I83" t="s">
        <v>405</v>
      </c>
      <c r="J83" t="s">
        <v>269</v>
      </c>
      <c r="K83" t="s">
        <v>60</v>
      </c>
      <c r="L83">
        <v>9</v>
      </c>
      <c r="M83">
        <v>9</v>
      </c>
      <c r="N83" t="s">
        <v>406</v>
      </c>
      <c r="O83" t="s">
        <v>27</v>
      </c>
      <c r="P83" t="s">
        <v>72</v>
      </c>
      <c r="Q83" s="4">
        <v>381609</v>
      </c>
      <c r="R83" s="4">
        <v>13000</v>
      </c>
      <c r="S83" s="4">
        <v>12000</v>
      </c>
      <c r="T83" s="4">
        <f>Tabla1[[#This Row],[OS-Valor Unitario]]-Tabla1[[#This Row],[costo_antes_iva]]</f>
        <v>-1000</v>
      </c>
      <c r="U83" s="4">
        <f>Tabla1[[#This Row],[OS-Valor Unitario]]*Tabla1[[#This Row],[OS-Cantidad]]</f>
        <v>108000</v>
      </c>
      <c r="V83" s="4">
        <f>Tabla1[[#This Row],[costo_antes_iva]]*Tabla1[[#This Row],[OS-Cantidad]]</f>
        <v>117000</v>
      </c>
      <c r="W83" s="4">
        <f>Tabla1[[#This Row],[Valor total OS]]-Tabla1[[#This Row],[valor total op]]</f>
        <v>-9000</v>
      </c>
    </row>
    <row r="84" spans="1:23" x14ac:dyDescent="0.3">
      <c r="A84">
        <v>6620</v>
      </c>
      <c r="B84">
        <v>37</v>
      </c>
      <c r="C84" t="s">
        <v>407</v>
      </c>
      <c r="D84" t="s">
        <v>408</v>
      </c>
      <c r="E84" t="s">
        <v>409</v>
      </c>
      <c r="F84" t="s">
        <v>115</v>
      </c>
      <c r="G84" s="2">
        <v>46078</v>
      </c>
      <c r="H84">
        <v>80660462</v>
      </c>
      <c r="I84" t="s">
        <v>410</v>
      </c>
      <c r="J84" t="s">
        <v>269</v>
      </c>
      <c r="K84" t="s">
        <v>60</v>
      </c>
      <c r="L84">
        <v>64</v>
      </c>
      <c r="M84">
        <v>66</v>
      </c>
      <c r="N84" t="s">
        <v>411</v>
      </c>
      <c r="O84" t="s">
        <v>27</v>
      </c>
      <c r="P84" t="s">
        <v>72</v>
      </c>
      <c r="Q84" s="4">
        <v>2480704</v>
      </c>
      <c r="R84" s="4">
        <v>13500</v>
      </c>
      <c r="S84" s="4">
        <v>15000</v>
      </c>
      <c r="T84" s="4">
        <f>Tabla1[[#This Row],[OS-Valor Unitario]]-Tabla1[[#This Row],[costo_antes_iva]]</f>
        <v>1500</v>
      </c>
      <c r="U84" s="4">
        <f>Tabla1[[#This Row],[OS-Valor Unitario]]*Tabla1[[#This Row],[OS-Cantidad]]</f>
        <v>990000</v>
      </c>
      <c r="V84" s="4">
        <f>Tabla1[[#This Row],[costo_antes_iva]]*Tabla1[[#This Row],[OS-Cantidad]]</f>
        <v>891000</v>
      </c>
      <c r="W84" s="4">
        <f>Tabla1[[#This Row],[Valor total OS]]-Tabla1[[#This Row],[valor total op]]</f>
        <v>99000</v>
      </c>
    </row>
    <row r="85" spans="1:23" x14ac:dyDescent="0.3">
      <c r="A85">
        <v>6620</v>
      </c>
      <c r="B85">
        <v>38</v>
      </c>
      <c r="C85" t="s">
        <v>412</v>
      </c>
      <c r="D85" t="s">
        <v>413</v>
      </c>
      <c r="E85" t="s">
        <v>300</v>
      </c>
      <c r="F85" t="s">
        <v>115</v>
      </c>
      <c r="G85" s="2">
        <v>46078</v>
      </c>
      <c r="H85">
        <v>80661115</v>
      </c>
      <c r="I85" t="s">
        <v>414</v>
      </c>
      <c r="J85" t="s">
        <v>269</v>
      </c>
      <c r="K85" t="s">
        <v>60</v>
      </c>
      <c r="L85">
        <v>128</v>
      </c>
      <c r="M85">
        <v>130</v>
      </c>
      <c r="N85" t="s">
        <v>415</v>
      </c>
      <c r="O85" t="s">
        <v>27</v>
      </c>
      <c r="P85" t="s">
        <v>72</v>
      </c>
      <c r="Q85" s="4">
        <v>4720896</v>
      </c>
      <c r="R85" s="4">
        <v>14500</v>
      </c>
      <c r="S85" s="4">
        <v>14000</v>
      </c>
      <c r="T85" s="4">
        <f>Tabla1[[#This Row],[OS-Valor Unitario]]-Tabla1[[#This Row],[costo_antes_iva]]</f>
        <v>-500</v>
      </c>
      <c r="U85" s="4">
        <f>Tabla1[[#This Row],[OS-Valor Unitario]]*Tabla1[[#This Row],[OS-Cantidad]]</f>
        <v>1820000</v>
      </c>
      <c r="V85" s="4">
        <f>Tabla1[[#This Row],[costo_antes_iva]]*Tabla1[[#This Row],[OS-Cantidad]]</f>
        <v>1885000</v>
      </c>
      <c r="W85" s="4">
        <f>Tabla1[[#This Row],[Valor total OS]]-Tabla1[[#This Row],[valor total op]]</f>
        <v>-65000</v>
      </c>
    </row>
    <row r="86" spans="1:23" x14ac:dyDescent="0.3">
      <c r="A86">
        <v>6620</v>
      </c>
      <c r="B86">
        <v>39</v>
      </c>
      <c r="C86" t="s">
        <v>416</v>
      </c>
      <c r="D86" t="s">
        <v>417</v>
      </c>
      <c r="E86" t="s">
        <v>79</v>
      </c>
      <c r="F86" t="s">
        <v>115</v>
      </c>
      <c r="G86" s="2">
        <v>46078</v>
      </c>
      <c r="H86">
        <v>80661513</v>
      </c>
      <c r="I86" t="s">
        <v>418</v>
      </c>
      <c r="J86" t="s">
        <v>269</v>
      </c>
      <c r="K86" t="s">
        <v>60</v>
      </c>
      <c r="L86">
        <v>2</v>
      </c>
      <c r="M86">
        <v>2</v>
      </c>
      <c r="N86" t="s">
        <v>419</v>
      </c>
      <c r="O86" t="s">
        <v>27</v>
      </c>
      <c r="P86" t="s">
        <v>85</v>
      </c>
      <c r="Q86" s="4">
        <v>79282</v>
      </c>
      <c r="R86" s="4">
        <v>13500</v>
      </c>
      <c r="S86" s="4">
        <v>13000</v>
      </c>
      <c r="T86" s="4">
        <f>Tabla1[[#This Row],[OS-Valor Unitario]]-Tabla1[[#This Row],[costo_antes_iva]]</f>
        <v>-500</v>
      </c>
      <c r="U86" s="4">
        <f>Tabla1[[#This Row],[OS-Valor Unitario]]*Tabla1[[#This Row],[OS-Cantidad]]</f>
        <v>26000</v>
      </c>
      <c r="V86" s="4">
        <f>Tabla1[[#This Row],[costo_antes_iva]]*Tabla1[[#This Row],[OS-Cantidad]]</f>
        <v>27000</v>
      </c>
      <c r="W86" s="4">
        <f>Tabla1[[#This Row],[Valor total OS]]-Tabla1[[#This Row],[valor total op]]</f>
        <v>-1000</v>
      </c>
    </row>
    <row r="87" spans="1:23" x14ac:dyDescent="0.3">
      <c r="A87">
        <v>6612</v>
      </c>
      <c r="B87">
        <v>1</v>
      </c>
      <c r="C87" t="s">
        <v>502</v>
      </c>
      <c r="D87" t="s">
        <v>503</v>
      </c>
      <c r="E87" t="s">
        <v>504</v>
      </c>
      <c r="F87" t="s">
        <v>97</v>
      </c>
      <c r="G87" s="2">
        <v>46078</v>
      </c>
      <c r="H87">
        <v>80671217</v>
      </c>
      <c r="I87" t="s">
        <v>505</v>
      </c>
      <c r="J87" t="s">
        <v>506</v>
      </c>
      <c r="K87" t="s">
        <v>60</v>
      </c>
      <c r="L87">
        <v>427</v>
      </c>
      <c r="M87">
        <v>427</v>
      </c>
      <c r="N87" t="s">
        <v>507</v>
      </c>
      <c r="O87" t="s">
        <v>27</v>
      </c>
      <c r="P87" t="s">
        <v>504</v>
      </c>
      <c r="Q87" s="4">
        <v>3502681</v>
      </c>
      <c r="R87" s="4">
        <v>3000</v>
      </c>
      <c r="S87" s="4">
        <v>2900</v>
      </c>
      <c r="T87" s="4">
        <f>Tabla1[[#This Row],[OS-Valor Unitario]]-Tabla1[[#This Row],[costo_antes_iva]]</f>
        <v>-100</v>
      </c>
      <c r="U87" s="4">
        <f>Tabla1[[#This Row],[OS-Valor Unitario]]*Tabla1[[#This Row],[OS-Cantidad]]</f>
        <v>1238300</v>
      </c>
      <c r="V87" s="4">
        <f>Tabla1[[#This Row],[costo_antes_iva]]*Tabla1[[#This Row],[OS-Cantidad]]</f>
        <v>1281000</v>
      </c>
      <c r="W87" s="4">
        <f>Tabla1[[#This Row],[Valor total OS]]-Tabla1[[#This Row],[valor total op]]</f>
        <v>-42700</v>
      </c>
    </row>
    <row r="88" spans="1:23" x14ac:dyDescent="0.3">
      <c r="A88">
        <v>6612</v>
      </c>
      <c r="B88">
        <v>2</v>
      </c>
      <c r="C88" t="s">
        <v>508</v>
      </c>
      <c r="D88" t="s">
        <v>509</v>
      </c>
      <c r="E88" t="s">
        <v>504</v>
      </c>
      <c r="F88" t="s">
        <v>97</v>
      </c>
      <c r="G88" s="2">
        <v>46078</v>
      </c>
      <c r="H88">
        <v>80671223</v>
      </c>
      <c r="I88" t="s">
        <v>510</v>
      </c>
      <c r="J88" t="s">
        <v>506</v>
      </c>
      <c r="K88" t="s">
        <v>60</v>
      </c>
      <c r="L88">
        <v>104</v>
      </c>
      <c r="M88">
        <v>104</v>
      </c>
      <c r="N88" t="s">
        <v>511</v>
      </c>
      <c r="O88" t="s">
        <v>27</v>
      </c>
      <c r="P88" t="s">
        <v>504</v>
      </c>
      <c r="Q88" s="4">
        <v>853112</v>
      </c>
      <c r="R88" s="4">
        <v>3000</v>
      </c>
      <c r="S88" s="4">
        <v>2900</v>
      </c>
      <c r="T88" s="4">
        <f>Tabla1[[#This Row],[OS-Valor Unitario]]-Tabla1[[#This Row],[costo_antes_iva]]</f>
        <v>-100</v>
      </c>
      <c r="U88" s="4">
        <f>Tabla1[[#This Row],[OS-Valor Unitario]]*Tabla1[[#This Row],[OS-Cantidad]]</f>
        <v>301600</v>
      </c>
      <c r="V88" s="4">
        <f>Tabla1[[#This Row],[costo_antes_iva]]*Tabla1[[#This Row],[OS-Cantidad]]</f>
        <v>312000</v>
      </c>
      <c r="W88" s="4">
        <f>Tabla1[[#This Row],[Valor total OS]]-Tabla1[[#This Row],[valor total op]]</f>
        <v>-10400</v>
      </c>
    </row>
    <row r="89" spans="1:23" x14ac:dyDescent="0.3">
      <c r="A89">
        <v>6612</v>
      </c>
      <c r="B89">
        <v>3</v>
      </c>
      <c r="C89" t="s">
        <v>512</v>
      </c>
      <c r="D89" t="s">
        <v>513</v>
      </c>
      <c r="E89" t="s">
        <v>504</v>
      </c>
      <c r="F89" t="s">
        <v>97</v>
      </c>
      <c r="G89" s="2">
        <v>46078</v>
      </c>
      <c r="H89">
        <v>80671346</v>
      </c>
      <c r="I89" t="s">
        <v>510</v>
      </c>
      <c r="J89" t="s">
        <v>506</v>
      </c>
      <c r="K89" t="s">
        <v>60</v>
      </c>
      <c r="L89">
        <v>176</v>
      </c>
      <c r="M89">
        <v>112</v>
      </c>
      <c r="N89" t="s">
        <v>514</v>
      </c>
      <c r="O89" t="s">
        <v>27</v>
      </c>
      <c r="P89" t="s">
        <v>504</v>
      </c>
      <c r="Q89" s="4">
        <v>1443728</v>
      </c>
      <c r="R89" s="4">
        <v>3000</v>
      </c>
      <c r="S89" s="4">
        <v>2900</v>
      </c>
      <c r="T89" s="4">
        <f>Tabla1[[#This Row],[OS-Valor Unitario]]-Tabla1[[#This Row],[costo_antes_iva]]</f>
        <v>-100</v>
      </c>
      <c r="U89" s="4">
        <f>Tabla1[[#This Row],[OS-Valor Unitario]]*Tabla1[[#This Row],[OS-Cantidad]]</f>
        <v>324800</v>
      </c>
      <c r="V89" s="4">
        <f>Tabla1[[#This Row],[costo_antes_iva]]*Tabla1[[#This Row],[OS-Cantidad]]</f>
        <v>336000</v>
      </c>
      <c r="W89" s="4">
        <f>Tabla1[[#This Row],[Valor total OS]]-Tabla1[[#This Row],[valor total op]]</f>
        <v>-11200</v>
      </c>
    </row>
    <row r="90" spans="1:23" x14ac:dyDescent="0.3">
      <c r="A90">
        <v>6620</v>
      </c>
      <c r="B90">
        <v>2</v>
      </c>
      <c r="C90" t="s">
        <v>266</v>
      </c>
      <c r="D90" t="s">
        <v>267</v>
      </c>
      <c r="E90" t="s">
        <v>79</v>
      </c>
      <c r="F90" t="s">
        <v>115</v>
      </c>
      <c r="G90" s="2">
        <v>46077</v>
      </c>
      <c r="H90">
        <v>80607952</v>
      </c>
      <c r="I90" t="s">
        <v>268</v>
      </c>
      <c r="J90" t="s">
        <v>269</v>
      </c>
      <c r="K90" t="s">
        <v>25</v>
      </c>
      <c r="L90">
        <v>34</v>
      </c>
      <c r="M90">
        <v>34</v>
      </c>
      <c r="N90" t="s">
        <v>270</v>
      </c>
      <c r="O90" t="s">
        <v>27</v>
      </c>
      <c r="P90" t="s">
        <v>85</v>
      </c>
      <c r="Q90" s="4">
        <v>1863982</v>
      </c>
      <c r="R90" s="4">
        <v>3700</v>
      </c>
      <c r="S90" s="4">
        <v>1200</v>
      </c>
      <c r="T90" s="4">
        <f>Tabla1[[#This Row],[OS-Valor Unitario]]-Tabla1[[#This Row],[costo_antes_iva]]</f>
        <v>-2500</v>
      </c>
      <c r="U90" s="4">
        <f>Tabla1[[#This Row],[OS-Valor Unitario]]*Tabla1[[#This Row],[OS-Cantidad]]</f>
        <v>40800</v>
      </c>
      <c r="V90" s="4">
        <f>Tabla1[[#This Row],[costo_antes_iva]]*Tabla1[[#This Row],[OS-Cantidad]]</f>
        <v>125800</v>
      </c>
      <c r="W90" s="4">
        <f>Tabla1[[#This Row],[Valor total OS]]-Tabla1[[#This Row],[valor total op]]</f>
        <v>-85000</v>
      </c>
    </row>
    <row r="91" spans="1:23" x14ac:dyDescent="0.3">
      <c r="A91">
        <v>6620</v>
      </c>
      <c r="B91">
        <v>2</v>
      </c>
      <c r="C91" t="s">
        <v>266</v>
      </c>
      <c r="D91" t="s">
        <v>267</v>
      </c>
      <c r="E91" t="s">
        <v>79</v>
      </c>
      <c r="F91" t="s">
        <v>115</v>
      </c>
      <c r="G91" s="2">
        <v>46077</v>
      </c>
      <c r="H91">
        <v>80607952</v>
      </c>
      <c r="I91" t="s">
        <v>268</v>
      </c>
      <c r="J91" t="s">
        <v>269</v>
      </c>
      <c r="K91" t="s">
        <v>60</v>
      </c>
      <c r="L91">
        <v>34</v>
      </c>
      <c r="M91">
        <v>34</v>
      </c>
      <c r="N91" t="s">
        <v>271</v>
      </c>
      <c r="O91" t="s">
        <v>27</v>
      </c>
      <c r="P91" t="s">
        <v>85</v>
      </c>
      <c r="Q91" s="4">
        <v>1863982</v>
      </c>
      <c r="R91" s="4">
        <v>13500</v>
      </c>
      <c r="S91" s="4">
        <v>17000</v>
      </c>
      <c r="T91" s="4">
        <f>Tabla1[[#This Row],[OS-Valor Unitario]]-Tabla1[[#This Row],[costo_antes_iva]]</f>
        <v>3500</v>
      </c>
      <c r="U91" s="4">
        <f>Tabla1[[#This Row],[OS-Valor Unitario]]*Tabla1[[#This Row],[OS-Cantidad]]</f>
        <v>578000</v>
      </c>
      <c r="V91" s="4">
        <f>Tabla1[[#This Row],[costo_antes_iva]]*Tabla1[[#This Row],[OS-Cantidad]]</f>
        <v>459000</v>
      </c>
      <c r="W91" s="4">
        <f>Tabla1[[#This Row],[Valor total OS]]-Tabla1[[#This Row],[valor total op]]</f>
        <v>119000</v>
      </c>
    </row>
    <row r="92" spans="1:23" x14ac:dyDescent="0.3">
      <c r="A92">
        <v>6620</v>
      </c>
      <c r="B92">
        <v>3</v>
      </c>
      <c r="C92" t="s">
        <v>272</v>
      </c>
      <c r="D92" t="s">
        <v>273</v>
      </c>
      <c r="E92" t="s">
        <v>79</v>
      </c>
      <c r="F92" t="s">
        <v>115</v>
      </c>
      <c r="G92" s="2">
        <v>46077</v>
      </c>
      <c r="H92">
        <v>80610024</v>
      </c>
      <c r="I92" t="s">
        <v>274</v>
      </c>
      <c r="J92" t="s">
        <v>269</v>
      </c>
      <c r="K92" t="s">
        <v>60</v>
      </c>
      <c r="L92">
        <v>58</v>
      </c>
      <c r="M92">
        <v>116</v>
      </c>
      <c r="N92" t="s">
        <v>275</v>
      </c>
      <c r="O92" t="s">
        <v>27</v>
      </c>
      <c r="P92" t="s">
        <v>85</v>
      </c>
      <c r="Q92" s="4">
        <v>2049952</v>
      </c>
      <c r="R92" s="4">
        <v>13500</v>
      </c>
      <c r="S92" s="4">
        <v>9100</v>
      </c>
      <c r="T92" s="4">
        <f>Tabla1[[#This Row],[OS-Valor Unitario]]-Tabla1[[#This Row],[costo_antes_iva]]</f>
        <v>-4400</v>
      </c>
      <c r="U92" s="4">
        <f>Tabla1[[#This Row],[OS-Valor Unitario]]*Tabla1[[#This Row],[OS-Cantidad]]</f>
        <v>1055600</v>
      </c>
      <c r="V92" s="4">
        <f>Tabla1[[#This Row],[costo_antes_iva]]*Tabla1[[#This Row],[OS-Cantidad]]</f>
        <v>1566000</v>
      </c>
      <c r="W92" s="4">
        <f>Tabla1[[#This Row],[Valor total OS]]-Tabla1[[#This Row],[valor total op]]</f>
        <v>-510400</v>
      </c>
    </row>
    <row r="93" spans="1:23" x14ac:dyDescent="0.3">
      <c r="A93">
        <v>6620</v>
      </c>
      <c r="B93">
        <v>4</v>
      </c>
      <c r="C93" t="s">
        <v>276</v>
      </c>
      <c r="D93" t="s">
        <v>277</v>
      </c>
      <c r="E93" t="s">
        <v>278</v>
      </c>
      <c r="F93" t="s">
        <v>115</v>
      </c>
      <c r="G93" s="2">
        <v>46077</v>
      </c>
      <c r="H93">
        <v>80607997</v>
      </c>
      <c r="I93" t="s">
        <v>279</v>
      </c>
      <c r="J93" t="s">
        <v>269</v>
      </c>
      <c r="K93" t="s">
        <v>60</v>
      </c>
      <c r="L93">
        <v>206</v>
      </c>
      <c r="M93">
        <v>206</v>
      </c>
      <c r="N93" t="s">
        <v>280</v>
      </c>
      <c r="O93" t="s">
        <v>27</v>
      </c>
      <c r="P93" t="s">
        <v>40</v>
      </c>
      <c r="Q93" s="4">
        <v>2986588</v>
      </c>
      <c r="R93" s="4">
        <v>7000</v>
      </c>
      <c r="S93" s="4">
        <v>6800</v>
      </c>
      <c r="T93" s="4">
        <f>Tabla1[[#This Row],[OS-Valor Unitario]]-Tabla1[[#This Row],[costo_antes_iva]]</f>
        <v>-200</v>
      </c>
      <c r="U93" s="4">
        <f>Tabla1[[#This Row],[OS-Valor Unitario]]*Tabla1[[#This Row],[OS-Cantidad]]</f>
        <v>1400800</v>
      </c>
      <c r="V93" s="4">
        <f>Tabla1[[#This Row],[costo_antes_iva]]*Tabla1[[#This Row],[OS-Cantidad]]</f>
        <v>1442000</v>
      </c>
      <c r="W93" s="4">
        <f>Tabla1[[#This Row],[Valor total OS]]-Tabla1[[#This Row],[valor total op]]</f>
        <v>-41200</v>
      </c>
    </row>
    <row r="94" spans="1:23" x14ac:dyDescent="0.3">
      <c r="A94">
        <v>6620</v>
      </c>
      <c r="B94">
        <v>4</v>
      </c>
      <c r="C94" t="s">
        <v>276</v>
      </c>
      <c r="D94" t="s">
        <v>277</v>
      </c>
      <c r="E94" t="s">
        <v>278</v>
      </c>
      <c r="F94" t="s">
        <v>115</v>
      </c>
      <c r="G94" s="2">
        <v>46077</v>
      </c>
      <c r="H94">
        <v>80607997</v>
      </c>
      <c r="I94" t="s">
        <v>279</v>
      </c>
      <c r="J94" t="s">
        <v>269</v>
      </c>
      <c r="K94" t="s">
        <v>25</v>
      </c>
      <c r="L94">
        <v>206</v>
      </c>
      <c r="M94">
        <v>206</v>
      </c>
      <c r="N94" t="s">
        <v>281</v>
      </c>
      <c r="O94" t="s">
        <v>27</v>
      </c>
      <c r="P94" t="s">
        <v>40</v>
      </c>
      <c r="Q94" s="4">
        <v>2986588</v>
      </c>
      <c r="R94" s="4">
        <v>1900</v>
      </c>
      <c r="S94" s="4">
        <v>2000</v>
      </c>
      <c r="T94" s="4">
        <f>Tabla1[[#This Row],[OS-Valor Unitario]]-Tabla1[[#This Row],[costo_antes_iva]]</f>
        <v>100</v>
      </c>
      <c r="U94" s="4">
        <f>Tabla1[[#This Row],[OS-Valor Unitario]]*Tabla1[[#This Row],[OS-Cantidad]]</f>
        <v>412000</v>
      </c>
      <c r="V94" s="4">
        <f>Tabla1[[#This Row],[costo_antes_iva]]*Tabla1[[#This Row],[OS-Cantidad]]</f>
        <v>391400</v>
      </c>
      <c r="W94" s="4">
        <f>Tabla1[[#This Row],[Valor total OS]]-Tabla1[[#This Row],[valor total op]]</f>
        <v>20600</v>
      </c>
    </row>
    <row r="95" spans="1:23" x14ac:dyDescent="0.3">
      <c r="A95">
        <v>6620</v>
      </c>
      <c r="B95">
        <v>5</v>
      </c>
      <c r="C95" t="s">
        <v>282</v>
      </c>
      <c r="D95" t="s">
        <v>283</v>
      </c>
      <c r="E95" t="s">
        <v>278</v>
      </c>
      <c r="F95" t="s">
        <v>115</v>
      </c>
      <c r="G95" s="2">
        <v>46077</v>
      </c>
      <c r="H95">
        <v>80608035</v>
      </c>
      <c r="I95" t="s">
        <v>284</v>
      </c>
      <c r="J95" t="s">
        <v>269</v>
      </c>
      <c r="K95" t="s">
        <v>60</v>
      </c>
      <c r="L95">
        <v>36</v>
      </c>
      <c r="M95">
        <v>36</v>
      </c>
      <c r="N95" t="s">
        <v>285</v>
      </c>
      <c r="O95" t="s">
        <v>27</v>
      </c>
      <c r="P95" t="s">
        <v>40</v>
      </c>
      <c r="Q95" s="4">
        <v>428724</v>
      </c>
      <c r="R95" s="4">
        <v>7000</v>
      </c>
      <c r="S95" s="4">
        <v>6800</v>
      </c>
      <c r="T95" s="4">
        <f>Tabla1[[#This Row],[OS-Valor Unitario]]-Tabla1[[#This Row],[costo_antes_iva]]</f>
        <v>-200</v>
      </c>
      <c r="U95" s="4">
        <f>Tabla1[[#This Row],[OS-Valor Unitario]]*Tabla1[[#This Row],[OS-Cantidad]]</f>
        <v>244800</v>
      </c>
      <c r="V95" s="4">
        <f>Tabla1[[#This Row],[costo_antes_iva]]*Tabla1[[#This Row],[OS-Cantidad]]</f>
        <v>252000</v>
      </c>
      <c r="W95" s="4">
        <f>Tabla1[[#This Row],[Valor total OS]]-Tabla1[[#This Row],[valor total op]]</f>
        <v>-7200</v>
      </c>
    </row>
    <row r="96" spans="1:23" x14ac:dyDescent="0.3">
      <c r="A96">
        <v>6620</v>
      </c>
      <c r="B96">
        <v>6</v>
      </c>
      <c r="C96" t="s">
        <v>286</v>
      </c>
      <c r="D96" t="s">
        <v>287</v>
      </c>
      <c r="E96" t="s">
        <v>288</v>
      </c>
      <c r="F96" t="s">
        <v>115</v>
      </c>
      <c r="G96" s="2">
        <v>46077</v>
      </c>
      <c r="H96">
        <v>80608039</v>
      </c>
      <c r="I96" t="s">
        <v>289</v>
      </c>
      <c r="J96" t="s">
        <v>269</v>
      </c>
      <c r="K96" t="s">
        <v>60</v>
      </c>
      <c r="L96">
        <v>7</v>
      </c>
      <c r="M96">
        <v>7</v>
      </c>
      <c r="N96" t="s">
        <v>290</v>
      </c>
      <c r="O96" t="s">
        <v>27</v>
      </c>
      <c r="P96" t="s">
        <v>177</v>
      </c>
      <c r="Q96" s="4">
        <v>546833</v>
      </c>
      <c r="R96" s="4">
        <v>22000</v>
      </c>
      <c r="S96" s="4">
        <v>21000</v>
      </c>
      <c r="T96" s="4">
        <f>Tabla1[[#This Row],[OS-Valor Unitario]]-Tabla1[[#This Row],[costo_antes_iva]]</f>
        <v>-1000</v>
      </c>
      <c r="U96" s="4">
        <f>Tabla1[[#This Row],[OS-Valor Unitario]]*Tabla1[[#This Row],[OS-Cantidad]]</f>
        <v>147000</v>
      </c>
      <c r="V96" s="4">
        <f>Tabla1[[#This Row],[costo_antes_iva]]*Tabla1[[#This Row],[OS-Cantidad]]</f>
        <v>154000</v>
      </c>
      <c r="W96" s="4">
        <f>Tabla1[[#This Row],[Valor total OS]]-Tabla1[[#This Row],[valor total op]]</f>
        <v>-7000</v>
      </c>
    </row>
    <row r="97" spans="1:23" x14ac:dyDescent="0.3">
      <c r="A97">
        <v>6620</v>
      </c>
      <c r="B97">
        <v>6</v>
      </c>
      <c r="C97" t="s">
        <v>286</v>
      </c>
      <c r="D97" t="s">
        <v>287</v>
      </c>
      <c r="E97" t="s">
        <v>288</v>
      </c>
      <c r="F97" t="s">
        <v>115</v>
      </c>
      <c r="G97" s="2">
        <v>46077</v>
      </c>
      <c r="H97">
        <v>80608039</v>
      </c>
      <c r="I97" t="s">
        <v>289</v>
      </c>
      <c r="J97" t="s">
        <v>269</v>
      </c>
      <c r="K97" t="s">
        <v>25</v>
      </c>
      <c r="L97">
        <v>7</v>
      </c>
      <c r="M97">
        <v>7</v>
      </c>
      <c r="N97" t="s">
        <v>291</v>
      </c>
      <c r="O97" t="s">
        <v>27</v>
      </c>
      <c r="P97" t="s">
        <v>177</v>
      </c>
      <c r="Q97" s="4">
        <v>546833</v>
      </c>
      <c r="R97" s="4">
        <v>6700</v>
      </c>
      <c r="S97" s="4">
        <v>31300</v>
      </c>
      <c r="T97" s="4">
        <f>Tabla1[[#This Row],[OS-Valor Unitario]]-Tabla1[[#This Row],[costo_antes_iva]]</f>
        <v>24600</v>
      </c>
      <c r="U97" s="4">
        <f>Tabla1[[#This Row],[OS-Valor Unitario]]*Tabla1[[#This Row],[OS-Cantidad]]</f>
        <v>219100</v>
      </c>
      <c r="V97" s="4">
        <f>Tabla1[[#This Row],[costo_antes_iva]]*Tabla1[[#This Row],[OS-Cantidad]]</f>
        <v>46900</v>
      </c>
      <c r="W97" s="4">
        <f>Tabla1[[#This Row],[Valor total OS]]-Tabla1[[#This Row],[valor total op]]</f>
        <v>172200</v>
      </c>
    </row>
    <row r="98" spans="1:23" x14ac:dyDescent="0.3">
      <c r="A98">
        <v>6620</v>
      </c>
      <c r="B98">
        <v>9</v>
      </c>
      <c r="C98" t="s">
        <v>292</v>
      </c>
      <c r="D98" t="s">
        <v>293</v>
      </c>
      <c r="E98" t="s">
        <v>294</v>
      </c>
      <c r="F98" t="s">
        <v>115</v>
      </c>
      <c r="G98" s="2">
        <v>46077</v>
      </c>
      <c r="H98">
        <v>80608068</v>
      </c>
      <c r="I98" t="s">
        <v>295</v>
      </c>
      <c r="J98" t="s">
        <v>269</v>
      </c>
      <c r="K98" t="s">
        <v>60</v>
      </c>
      <c r="L98">
        <v>35</v>
      </c>
      <c r="M98">
        <v>35</v>
      </c>
      <c r="N98" t="s">
        <v>296</v>
      </c>
      <c r="O98" t="s">
        <v>27</v>
      </c>
      <c r="P98" t="s">
        <v>212</v>
      </c>
      <c r="Q98" s="4">
        <v>6347215</v>
      </c>
      <c r="R98" s="4">
        <v>105000</v>
      </c>
      <c r="S98" s="4">
        <v>95300</v>
      </c>
      <c r="T98" s="4">
        <f>Tabla1[[#This Row],[OS-Valor Unitario]]-Tabla1[[#This Row],[costo_antes_iva]]</f>
        <v>-9700</v>
      </c>
      <c r="U98" s="4">
        <f>Tabla1[[#This Row],[OS-Valor Unitario]]*Tabla1[[#This Row],[OS-Cantidad]]</f>
        <v>3335500</v>
      </c>
      <c r="V98" s="4">
        <f>Tabla1[[#This Row],[costo_antes_iva]]*Tabla1[[#This Row],[OS-Cantidad]]</f>
        <v>3675000</v>
      </c>
      <c r="W98" s="4">
        <f>Tabla1[[#This Row],[Valor total OS]]-Tabla1[[#This Row],[valor total op]]</f>
        <v>-339500</v>
      </c>
    </row>
    <row r="99" spans="1:23" x14ac:dyDescent="0.3">
      <c r="A99">
        <v>6620</v>
      </c>
      <c r="B99">
        <v>9</v>
      </c>
      <c r="C99" t="s">
        <v>292</v>
      </c>
      <c r="D99" t="s">
        <v>293</v>
      </c>
      <c r="E99" t="s">
        <v>294</v>
      </c>
      <c r="F99" t="s">
        <v>115</v>
      </c>
      <c r="G99" s="2">
        <v>46077</v>
      </c>
      <c r="H99">
        <v>80608068</v>
      </c>
      <c r="I99" t="s">
        <v>295</v>
      </c>
      <c r="J99" t="s">
        <v>269</v>
      </c>
      <c r="K99" t="s">
        <v>25</v>
      </c>
      <c r="L99">
        <v>35</v>
      </c>
      <c r="M99">
        <v>35</v>
      </c>
      <c r="N99" t="s">
        <v>297</v>
      </c>
      <c r="O99" t="s">
        <v>27</v>
      </c>
      <c r="P99" t="s">
        <v>212</v>
      </c>
      <c r="Q99" s="4">
        <v>6347215</v>
      </c>
      <c r="R99" s="4">
        <v>1800</v>
      </c>
      <c r="S99" s="4">
        <v>1200</v>
      </c>
      <c r="T99" s="4">
        <f>Tabla1[[#This Row],[OS-Valor Unitario]]-Tabla1[[#This Row],[costo_antes_iva]]</f>
        <v>-600</v>
      </c>
      <c r="U99" s="4">
        <f>Tabla1[[#This Row],[OS-Valor Unitario]]*Tabla1[[#This Row],[OS-Cantidad]]</f>
        <v>42000</v>
      </c>
      <c r="V99" s="4">
        <f>Tabla1[[#This Row],[costo_antes_iva]]*Tabla1[[#This Row],[OS-Cantidad]]</f>
        <v>63000</v>
      </c>
      <c r="W99" s="4">
        <f>Tabla1[[#This Row],[Valor total OS]]-Tabla1[[#This Row],[valor total op]]</f>
        <v>-21000</v>
      </c>
    </row>
    <row r="100" spans="1:23" x14ac:dyDescent="0.3">
      <c r="A100">
        <v>6620</v>
      </c>
      <c r="B100">
        <v>10</v>
      </c>
      <c r="C100" t="s">
        <v>298</v>
      </c>
      <c r="D100" t="s">
        <v>299</v>
      </c>
      <c r="E100" t="s">
        <v>300</v>
      </c>
      <c r="F100" t="s">
        <v>115</v>
      </c>
      <c r="G100" s="2">
        <v>46077</v>
      </c>
      <c r="H100">
        <v>80608074</v>
      </c>
      <c r="I100" t="s">
        <v>301</v>
      </c>
      <c r="J100" t="s">
        <v>269</v>
      </c>
      <c r="K100" t="s">
        <v>60</v>
      </c>
      <c r="L100">
        <v>35</v>
      </c>
      <c r="M100">
        <v>35</v>
      </c>
      <c r="N100" t="s">
        <v>302</v>
      </c>
      <c r="O100" t="s">
        <v>27</v>
      </c>
      <c r="P100" t="s">
        <v>72</v>
      </c>
      <c r="Q100" s="4">
        <v>2391585</v>
      </c>
      <c r="R100" s="4">
        <v>22000</v>
      </c>
      <c r="S100" s="4">
        <v>29500</v>
      </c>
      <c r="T100" s="4">
        <f>Tabla1[[#This Row],[OS-Valor Unitario]]-Tabla1[[#This Row],[costo_antes_iva]]</f>
        <v>7500</v>
      </c>
      <c r="U100" s="4">
        <f>Tabla1[[#This Row],[OS-Valor Unitario]]*Tabla1[[#This Row],[OS-Cantidad]]</f>
        <v>1032500</v>
      </c>
      <c r="V100" s="4">
        <f>Tabla1[[#This Row],[costo_antes_iva]]*Tabla1[[#This Row],[OS-Cantidad]]</f>
        <v>770000</v>
      </c>
      <c r="W100" s="4">
        <f>Tabla1[[#This Row],[Valor total OS]]-Tabla1[[#This Row],[valor total op]]</f>
        <v>262500</v>
      </c>
    </row>
    <row r="101" spans="1:23" x14ac:dyDescent="0.3">
      <c r="A101">
        <v>6620</v>
      </c>
      <c r="B101">
        <v>12</v>
      </c>
      <c r="C101" t="s">
        <v>303</v>
      </c>
      <c r="D101" t="s">
        <v>304</v>
      </c>
      <c r="E101" t="s">
        <v>79</v>
      </c>
      <c r="F101" t="s">
        <v>115</v>
      </c>
      <c r="G101" s="2">
        <v>46077</v>
      </c>
      <c r="H101">
        <v>80608462</v>
      </c>
      <c r="I101" t="s">
        <v>305</v>
      </c>
      <c r="J101" t="s">
        <v>269</v>
      </c>
      <c r="K101" t="s">
        <v>60</v>
      </c>
      <c r="L101">
        <v>31</v>
      </c>
      <c r="M101">
        <v>31</v>
      </c>
      <c r="N101" t="s">
        <v>306</v>
      </c>
      <c r="O101" t="s">
        <v>27</v>
      </c>
      <c r="P101" t="s">
        <v>85</v>
      </c>
      <c r="Q101" s="4">
        <v>1154936</v>
      </c>
      <c r="R101" s="4">
        <v>13500</v>
      </c>
      <c r="S101" s="4">
        <v>15000</v>
      </c>
      <c r="T101" s="4">
        <f>Tabla1[[#This Row],[OS-Valor Unitario]]-Tabla1[[#This Row],[costo_antes_iva]]</f>
        <v>1500</v>
      </c>
      <c r="U101" s="4">
        <f>Tabla1[[#This Row],[OS-Valor Unitario]]*Tabla1[[#This Row],[OS-Cantidad]]</f>
        <v>465000</v>
      </c>
      <c r="V101" s="4">
        <f>Tabla1[[#This Row],[costo_antes_iva]]*Tabla1[[#This Row],[OS-Cantidad]]</f>
        <v>418500</v>
      </c>
      <c r="W101" s="4">
        <f>Tabla1[[#This Row],[Valor total OS]]-Tabla1[[#This Row],[valor total op]]</f>
        <v>46500</v>
      </c>
    </row>
    <row r="102" spans="1:23" x14ac:dyDescent="0.3">
      <c r="A102">
        <v>6620</v>
      </c>
      <c r="B102">
        <v>13</v>
      </c>
      <c r="C102" t="s">
        <v>307</v>
      </c>
      <c r="D102" t="s">
        <v>308</v>
      </c>
      <c r="E102" t="s">
        <v>79</v>
      </c>
      <c r="F102" t="s">
        <v>115</v>
      </c>
      <c r="G102" s="2">
        <v>46077</v>
      </c>
      <c r="H102">
        <v>80608595</v>
      </c>
      <c r="I102" t="s">
        <v>309</v>
      </c>
      <c r="J102" t="s">
        <v>269</v>
      </c>
      <c r="K102" t="s">
        <v>60</v>
      </c>
      <c r="L102">
        <v>133</v>
      </c>
      <c r="M102">
        <v>147</v>
      </c>
      <c r="N102" t="s">
        <v>310</v>
      </c>
      <c r="O102" t="s">
        <v>27</v>
      </c>
      <c r="P102" t="s">
        <v>85</v>
      </c>
      <c r="Q102" s="4">
        <v>4955048</v>
      </c>
      <c r="R102" s="4">
        <v>13500</v>
      </c>
      <c r="S102" s="4">
        <v>15000</v>
      </c>
      <c r="T102" s="4">
        <f>Tabla1[[#This Row],[OS-Valor Unitario]]-Tabla1[[#This Row],[costo_antes_iva]]</f>
        <v>1500</v>
      </c>
      <c r="U102" s="4">
        <f>Tabla1[[#This Row],[OS-Valor Unitario]]*Tabla1[[#This Row],[OS-Cantidad]]</f>
        <v>2205000</v>
      </c>
      <c r="V102" s="4">
        <f>Tabla1[[#This Row],[costo_antes_iva]]*Tabla1[[#This Row],[OS-Cantidad]]</f>
        <v>1984500</v>
      </c>
      <c r="W102" s="4">
        <f>Tabla1[[#This Row],[Valor total OS]]-Tabla1[[#This Row],[valor total op]]</f>
        <v>220500</v>
      </c>
    </row>
    <row r="103" spans="1:23" x14ac:dyDescent="0.3">
      <c r="A103">
        <v>6620</v>
      </c>
      <c r="B103">
        <v>14</v>
      </c>
      <c r="C103" t="s">
        <v>311</v>
      </c>
      <c r="D103" t="s">
        <v>312</v>
      </c>
      <c r="E103" t="s">
        <v>79</v>
      </c>
      <c r="F103" t="s">
        <v>115</v>
      </c>
      <c r="G103" s="2">
        <v>46077</v>
      </c>
      <c r="H103">
        <v>80608605</v>
      </c>
      <c r="I103" t="s">
        <v>313</v>
      </c>
      <c r="J103" t="s">
        <v>269</v>
      </c>
      <c r="K103" t="s">
        <v>25</v>
      </c>
      <c r="L103">
        <v>6</v>
      </c>
      <c r="M103">
        <v>6</v>
      </c>
      <c r="N103" t="s">
        <v>314</v>
      </c>
      <c r="O103" t="s">
        <v>27</v>
      </c>
      <c r="P103" t="s">
        <v>85</v>
      </c>
      <c r="Q103" s="4">
        <v>255420</v>
      </c>
      <c r="R103" s="4">
        <v>3900</v>
      </c>
      <c r="S103" s="4">
        <v>1200</v>
      </c>
      <c r="T103" s="4">
        <f>Tabla1[[#This Row],[OS-Valor Unitario]]-Tabla1[[#This Row],[costo_antes_iva]]</f>
        <v>-2700</v>
      </c>
      <c r="U103" s="4">
        <f>Tabla1[[#This Row],[OS-Valor Unitario]]*Tabla1[[#This Row],[OS-Cantidad]]</f>
        <v>7200</v>
      </c>
      <c r="V103" s="4">
        <f>Tabla1[[#This Row],[costo_antes_iva]]*Tabla1[[#This Row],[OS-Cantidad]]</f>
        <v>23400</v>
      </c>
      <c r="W103" s="4">
        <f>Tabla1[[#This Row],[Valor total OS]]-Tabla1[[#This Row],[valor total op]]</f>
        <v>-16200</v>
      </c>
    </row>
    <row r="104" spans="1:23" x14ac:dyDescent="0.3">
      <c r="A104">
        <v>6620</v>
      </c>
      <c r="B104">
        <v>14</v>
      </c>
      <c r="C104" t="s">
        <v>311</v>
      </c>
      <c r="D104" t="s">
        <v>312</v>
      </c>
      <c r="E104" t="s">
        <v>79</v>
      </c>
      <c r="F104" t="s">
        <v>115</v>
      </c>
      <c r="G104" s="2">
        <v>46077</v>
      </c>
      <c r="H104">
        <v>80608605</v>
      </c>
      <c r="I104" t="s">
        <v>313</v>
      </c>
      <c r="J104" t="s">
        <v>269</v>
      </c>
      <c r="K104" t="s">
        <v>60</v>
      </c>
      <c r="L104">
        <v>6</v>
      </c>
      <c r="M104">
        <v>6</v>
      </c>
      <c r="N104" t="s">
        <v>315</v>
      </c>
      <c r="O104" t="s">
        <v>27</v>
      </c>
      <c r="P104" t="s">
        <v>85</v>
      </c>
      <c r="Q104" s="4">
        <v>255420</v>
      </c>
      <c r="R104" s="4">
        <v>13500</v>
      </c>
      <c r="S104" s="4">
        <v>14000</v>
      </c>
      <c r="T104" s="4">
        <f>Tabla1[[#This Row],[OS-Valor Unitario]]-Tabla1[[#This Row],[costo_antes_iva]]</f>
        <v>500</v>
      </c>
      <c r="U104" s="4">
        <f>Tabla1[[#This Row],[OS-Valor Unitario]]*Tabla1[[#This Row],[OS-Cantidad]]</f>
        <v>84000</v>
      </c>
      <c r="V104" s="4">
        <f>Tabla1[[#This Row],[costo_antes_iva]]*Tabla1[[#This Row],[OS-Cantidad]]</f>
        <v>81000</v>
      </c>
      <c r="W104" s="4">
        <f>Tabla1[[#This Row],[Valor total OS]]-Tabla1[[#This Row],[valor total op]]</f>
        <v>3000</v>
      </c>
    </row>
    <row r="105" spans="1:23" x14ac:dyDescent="0.3">
      <c r="A105">
        <v>6620</v>
      </c>
      <c r="B105">
        <v>15</v>
      </c>
      <c r="C105" t="s">
        <v>316</v>
      </c>
      <c r="D105" t="s">
        <v>317</v>
      </c>
      <c r="E105" t="s">
        <v>79</v>
      </c>
      <c r="F105" t="s">
        <v>115</v>
      </c>
      <c r="G105" s="2">
        <v>46077</v>
      </c>
      <c r="H105">
        <v>80608671</v>
      </c>
      <c r="I105" t="s">
        <v>318</v>
      </c>
      <c r="J105" t="s">
        <v>269</v>
      </c>
      <c r="K105" t="s">
        <v>25</v>
      </c>
      <c r="L105">
        <v>39</v>
      </c>
      <c r="M105">
        <v>39</v>
      </c>
      <c r="N105" t="s">
        <v>319</v>
      </c>
      <c r="O105" t="s">
        <v>27</v>
      </c>
      <c r="P105" t="s">
        <v>85</v>
      </c>
      <c r="Q105" s="4">
        <v>1660230</v>
      </c>
      <c r="R105" s="4">
        <v>3900</v>
      </c>
      <c r="S105" s="4">
        <v>1200</v>
      </c>
      <c r="T105" s="4">
        <f>Tabla1[[#This Row],[OS-Valor Unitario]]-Tabla1[[#This Row],[costo_antes_iva]]</f>
        <v>-2700</v>
      </c>
      <c r="U105" s="4">
        <f>Tabla1[[#This Row],[OS-Valor Unitario]]*Tabla1[[#This Row],[OS-Cantidad]]</f>
        <v>46800</v>
      </c>
      <c r="V105" s="4">
        <f>Tabla1[[#This Row],[costo_antes_iva]]*Tabla1[[#This Row],[OS-Cantidad]]</f>
        <v>152100</v>
      </c>
      <c r="W105" s="4">
        <f>Tabla1[[#This Row],[Valor total OS]]-Tabla1[[#This Row],[valor total op]]</f>
        <v>-105300</v>
      </c>
    </row>
    <row r="106" spans="1:23" x14ac:dyDescent="0.3">
      <c r="A106">
        <v>6620</v>
      </c>
      <c r="B106">
        <v>15</v>
      </c>
      <c r="C106" t="s">
        <v>316</v>
      </c>
      <c r="D106" t="s">
        <v>317</v>
      </c>
      <c r="E106" t="s">
        <v>79</v>
      </c>
      <c r="F106" t="s">
        <v>115</v>
      </c>
      <c r="G106" s="2">
        <v>46077</v>
      </c>
      <c r="H106">
        <v>80608671</v>
      </c>
      <c r="I106" t="s">
        <v>318</v>
      </c>
      <c r="J106" t="s">
        <v>269</v>
      </c>
      <c r="K106" t="s">
        <v>60</v>
      </c>
      <c r="L106">
        <v>39</v>
      </c>
      <c r="M106">
        <v>39</v>
      </c>
      <c r="N106" t="s">
        <v>320</v>
      </c>
      <c r="O106" t="s">
        <v>27</v>
      </c>
      <c r="P106" t="s">
        <v>85</v>
      </c>
      <c r="Q106" s="4">
        <v>1660230</v>
      </c>
      <c r="R106" s="4">
        <v>13500</v>
      </c>
      <c r="S106" s="4">
        <v>17000</v>
      </c>
      <c r="T106" s="4">
        <f>Tabla1[[#This Row],[OS-Valor Unitario]]-Tabla1[[#This Row],[costo_antes_iva]]</f>
        <v>3500</v>
      </c>
      <c r="U106" s="4">
        <f>Tabla1[[#This Row],[OS-Valor Unitario]]*Tabla1[[#This Row],[OS-Cantidad]]</f>
        <v>663000</v>
      </c>
      <c r="V106" s="4">
        <f>Tabla1[[#This Row],[costo_antes_iva]]*Tabla1[[#This Row],[OS-Cantidad]]</f>
        <v>526500</v>
      </c>
      <c r="W106" s="4">
        <f>Tabla1[[#This Row],[Valor total OS]]-Tabla1[[#This Row],[valor total op]]</f>
        <v>136500</v>
      </c>
    </row>
    <row r="107" spans="1:23" x14ac:dyDescent="0.3">
      <c r="A107">
        <v>6620</v>
      </c>
      <c r="B107">
        <v>16</v>
      </c>
      <c r="C107" t="s">
        <v>321</v>
      </c>
      <c r="D107" t="s">
        <v>322</v>
      </c>
      <c r="E107" t="s">
        <v>79</v>
      </c>
      <c r="F107" t="s">
        <v>115</v>
      </c>
      <c r="G107" s="2">
        <v>46077</v>
      </c>
      <c r="H107">
        <v>80609092</v>
      </c>
      <c r="I107" t="s">
        <v>323</v>
      </c>
      <c r="J107" t="s">
        <v>269</v>
      </c>
      <c r="K107" t="s">
        <v>25</v>
      </c>
      <c r="L107">
        <v>2</v>
      </c>
      <c r="M107">
        <v>2</v>
      </c>
      <c r="N107" t="s">
        <v>324</v>
      </c>
      <c r="O107" t="s">
        <v>27</v>
      </c>
      <c r="P107" t="s">
        <v>85</v>
      </c>
      <c r="Q107" s="4">
        <v>94256</v>
      </c>
      <c r="R107" s="4">
        <v>2000</v>
      </c>
      <c r="S107" s="4">
        <v>1200</v>
      </c>
      <c r="T107" s="4">
        <f>Tabla1[[#This Row],[OS-Valor Unitario]]-Tabla1[[#This Row],[costo_antes_iva]]</f>
        <v>-800</v>
      </c>
      <c r="U107" s="4">
        <f>Tabla1[[#This Row],[OS-Valor Unitario]]*Tabla1[[#This Row],[OS-Cantidad]]</f>
        <v>2400</v>
      </c>
      <c r="V107" s="4">
        <f>Tabla1[[#This Row],[costo_antes_iva]]*Tabla1[[#This Row],[OS-Cantidad]]</f>
        <v>4000</v>
      </c>
      <c r="W107" s="4">
        <f>Tabla1[[#This Row],[Valor total OS]]-Tabla1[[#This Row],[valor total op]]</f>
        <v>-1600</v>
      </c>
    </row>
    <row r="108" spans="1:23" x14ac:dyDescent="0.3">
      <c r="A108">
        <v>6620</v>
      </c>
      <c r="B108">
        <v>16</v>
      </c>
      <c r="C108" t="s">
        <v>321</v>
      </c>
      <c r="D108" t="s">
        <v>322</v>
      </c>
      <c r="E108" t="s">
        <v>79</v>
      </c>
      <c r="F108" t="s">
        <v>115</v>
      </c>
      <c r="G108" s="2">
        <v>46077</v>
      </c>
      <c r="H108">
        <v>80609092</v>
      </c>
      <c r="I108" t="s">
        <v>323</v>
      </c>
      <c r="J108" t="s">
        <v>269</v>
      </c>
      <c r="K108" t="s">
        <v>60</v>
      </c>
      <c r="L108">
        <v>2</v>
      </c>
      <c r="M108">
        <v>2</v>
      </c>
      <c r="N108" t="s">
        <v>325</v>
      </c>
      <c r="O108" t="s">
        <v>27</v>
      </c>
      <c r="P108" t="s">
        <v>85</v>
      </c>
      <c r="Q108" s="4">
        <v>94256</v>
      </c>
      <c r="R108" s="4">
        <v>13500</v>
      </c>
      <c r="S108" s="4">
        <v>14000</v>
      </c>
      <c r="T108" s="4">
        <f>Tabla1[[#This Row],[OS-Valor Unitario]]-Tabla1[[#This Row],[costo_antes_iva]]</f>
        <v>500</v>
      </c>
      <c r="U108" s="4">
        <f>Tabla1[[#This Row],[OS-Valor Unitario]]*Tabla1[[#This Row],[OS-Cantidad]]</f>
        <v>28000</v>
      </c>
      <c r="V108" s="4">
        <f>Tabla1[[#This Row],[costo_antes_iva]]*Tabla1[[#This Row],[OS-Cantidad]]</f>
        <v>27000</v>
      </c>
      <c r="W108" s="4">
        <f>Tabla1[[#This Row],[Valor total OS]]-Tabla1[[#This Row],[valor total op]]</f>
        <v>1000</v>
      </c>
    </row>
    <row r="109" spans="1:23" x14ac:dyDescent="0.3">
      <c r="A109">
        <v>6620</v>
      </c>
      <c r="B109">
        <v>17</v>
      </c>
      <c r="C109" t="s">
        <v>326</v>
      </c>
      <c r="D109" t="s">
        <v>327</v>
      </c>
      <c r="E109" t="s">
        <v>79</v>
      </c>
      <c r="F109" t="s">
        <v>115</v>
      </c>
      <c r="G109" s="2">
        <v>46077</v>
      </c>
      <c r="H109">
        <v>80609575</v>
      </c>
      <c r="I109" t="s">
        <v>328</v>
      </c>
      <c r="J109" t="s">
        <v>269</v>
      </c>
      <c r="K109" t="s">
        <v>25</v>
      </c>
      <c r="L109">
        <v>9</v>
      </c>
      <c r="M109">
        <v>9</v>
      </c>
      <c r="N109" t="s">
        <v>329</v>
      </c>
      <c r="O109" t="s">
        <v>27</v>
      </c>
      <c r="P109" t="s">
        <v>85</v>
      </c>
      <c r="Q109" s="4">
        <v>431451</v>
      </c>
      <c r="R109" s="4">
        <v>2000</v>
      </c>
      <c r="S109" s="4">
        <v>1200</v>
      </c>
      <c r="T109" s="4">
        <f>Tabla1[[#This Row],[OS-Valor Unitario]]-Tabla1[[#This Row],[costo_antes_iva]]</f>
        <v>-800</v>
      </c>
      <c r="U109" s="4">
        <f>Tabla1[[#This Row],[OS-Valor Unitario]]*Tabla1[[#This Row],[OS-Cantidad]]</f>
        <v>10800</v>
      </c>
      <c r="V109" s="4">
        <f>Tabla1[[#This Row],[costo_antes_iva]]*Tabla1[[#This Row],[OS-Cantidad]]</f>
        <v>18000</v>
      </c>
      <c r="W109" s="4">
        <f>Tabla1[[#This Row],[Valor total OS]]-Tabla1[[#This Row],[valor total op]]</f>
        <v>-7200</v>
      </c>
    </row>
    <row r="110" spans="1:23" x14ac:dyDescent="0.3">
      <c r="A110">
        <v>6620</v>
      </c>
      <c r="B110">
        <v>17</v>
      </c>
      <c r="C110" t="s">
        <v>326</v>
      </c>
      <c r="D110" t="s">
        <v>327</v>
      </c>
      <c r="E110" t="s">
        <v>79</v>
      </c>
      <c r="F110" t="s">
        <v>115</v>
      </c>
      <c r="G110" s="2">
        <v>46077</v>
      </c>
      <c r="H110">
        <v>80609575</v>
      </c>
      <c r="I110" t="s">
        <v>328</v>
      </c>
      <c r="J110" t="s">
        <v>269</v>
      </c>
      <c r="K110" t="s">
        <v>60</v>
      </c>
      <c r="L110">
        <v>9</v>
      </c>
      <c r="M110">
        <v>9</v>
      </c>
      <c r="N110" t="s">
        <v>330</v>
      </c>
      <c r="O110" t="s">
        <v>27</v>
      </c>
      <c r="P110" t="s">
        <v>85</v>
      </c>
      <c r="Q110" s="4">
        <v>431451</v>
      </c>
      <c r="R110" s="4">
        <v>13500</v>
      </c>
      <c r="S110" s="4">
        <v>17000</v>
      </c>
      <c r="T110" s="4">
        <f>Tabla1[[#This Row],[OS-Valor Unitario]]-Tabla1[[#This Row],[costo_antes_iva]]</f>
        <v>3500</v>
      </c>
      <c r="U110" s="4">
        <f>Tabla1[[#This Row],[OS-Valor Unitario]]*Tabla1[[#This Row],[OS-Cantidad]]</f>
        <v>153000</v>
      </c>
      <c r="V110" s="4">
        <f>Tabla1[[#This Row],[costo_antes_iva]]*Tabla1[[#This Row],[OS-Cantidad]]</f>
        <v>121500</v>
      </c>
      <c r="W110" s="4">
        <f>Tabla1[[#This Row],[Valor total OS]]-Tabla1[[#This Row],[valor total op]]</f>
        <v>31500</v>
      </c>
    </row>
    <row r="111" spans="1:23" x14ac:dyDescent="0.3">
      <c r="A111">
        <v>6620</v>
      </c>
      <c r="B111">
        <v>18</v>
      </c>
      <c r="C111" t="s">
        <v>331</v>
      </c>
      <c r="D111" t="s">
        <v>332</v>
      </c>
      <c r="E111" t="s">
        <v>79</v>
      </c>
      <c r="F111" t="s">
        <v>115</v>
      </c>
      <c r="G111" s="2">
        <v>46077</v>
      </c>
      <c r="H111">
        <v>80609698</v>
      </c>
      <c r="I111" t="s">
        <v>333</v>
      </c>
      <c r="J111" t="s">
        <v>269</v>
      </c>
      <c r="K111" t="s">
        <v>25</v>
      </c>
      <c r="L111">
        <v>7</v>
      </c>
      <c r="M111">
        <v>7</v>
      </c>
      <c r="N111" t="s">
        <v>334</v>
      </c>
      <c r="O111" t="s">
        <v>27</v>
      </c>
      <c r="P111" t="s">
        <v>85</v>
      </c>
      <c r="Q111" s="4">
        <v>355831</v>
      </c>
      <c r="R111" s="4">
        <v>15000</v>
      </c>
      <c r="S111" s="4">
        <v>12400</v>
      </c>
      <c r="T111" s="4">
        <f>Tabla1[[#This Row],[OS-Valor Unitario]]-Tabla1[[#This Row],[costo_antes_iva]]</f>
        <v>-2600</v>
      </c>
      <c r="U111" s="4">
        <f>Tabla1[[#This Row],[OS-Valor Unitario]]*Tabla1[[#This Row],[OS-Cantidad]]</f>
        <v>86800</v>
      </c>
      <c r="V111" s="4">
        <f>Tabla1[[#This Row],[costo_antes_iva]]*Tabla1[[#This Row],[OS-Cantidad]]</f>
        <v>105000</v>
      </c>
      <c r="W111" s="4">
        <f>Tabla1[[#This Row],[Valor total OS]]-Tabla1[[#This Row],[valor total op]]</f>
        <v>-18200</v>
      </c>
    </row>
    <row r="112" spans="1:23" x14ac:dyDescent="0.3">
      <c r="A112">
        <v>6620</v>
      </c>
      <c r="B112">
        <v>18</v>
      </c>
      <c r="C112" t="s">
        <v>331</v>
      </c>
      <c r="D112" t="s">
        <v>332</v>
      </c>
      <c r="E112" t="s">
        <v>79</v>
      </c>
      <c r="F112" t="s">
        <v>115</v>
      </c>
      <c r="G112" s="2">
        <v>46077</v>
      </c>
      <c r="H112">
        <v>80609698</v>
      </c>
      <c r="I112" t="s">
        <v>333</v>
      </c>
      <c r="J112" t="s">
        <v>269</v>
      </c>
      <c r="K112" t="s">
        <v>60</v>
      </c>
      <c r="L112">
        <v>7</v>
      </c>
      <c r="M112">
        <v>7</v>
      </c>
      <c r="N112" t="s">
        <v>335</v>
      </c>
      <c r="O112" t="s">
        <v>27</v>
      </c>
      <c r="P112" t="s">
        <v>85</v>
      </c>
      <c r="Q112" s="4">
        <v>355831</v>
      </c>
      <c r="R112" s="4">
        <v>13500</v>
      </c>
      <c r="S112" s="4">
        <v>14000</v>
      </c>
      <c r="T112" s="4">
        <f>Tabla1[[#This Row],[OS-Valor Unitario]]-Tabla1[[#This Row],[costo_antes_iva]]</f>
        <v>500</v>
      </c>
      <c r="U112" s="4">
        <f>Tabla1[[#This Row],[OS-Valor Unitario]]*Tabla1[[#This Row],[OS-Cantidad]]</f>
        <v>98000</v>
      </c>
      <c r="V112" s="4">
        <f>Tabla1[[#This Row],[costo_antes_iva]]*Tabla1[[#This Row],[OS-Cantidad]]</f>
        <v>94500</v>
      </c>
      <c r="W112" s="4">
        <f>Tabla1[[#This Row],[Valor total OS]]-Tabla1[[#This Row],[valor total op]]</f>
        <v>3500</v>
      </c>
    </row>
    <row r="113" spans="1:23" x14ac:dyDescent="0.3">
      <c r="A113">
        <v>6620</v>
      </c>
      <c r="B113">
        <v>19</v>
      </c>
      <c r="C113" t="s">
        <v>336</v>
      </c>
      <c r="D113" t="s">
        <v>337</v>
      </c>
      <c r="E113" t="s">
        <v>79</v>
      </c>
      <c r="F113" t="s">
        <v>115</v>
      </c>
      <c r="G113" s="2">
        <v>46077</v>
      </c>
      <c r="H113">
        <v>80611506</v>
      </c>
      <c r="I113" t="s">
        <v>274</v>
      </c>
      <c r="J113" t="s">
        <v>269</v>
      </c>
      <c r="K113" t="s">
        <v>25</v>
      </c>
      <c r="L113">
        <v>20</v>
      </c>
      <c r="M113">
        <v>40</v>
      </c>
      <c r="N113" t="s">
        <v>338</v>
      </c>
      <c r="O113" t="s">
        <v>27</v>
      </c>
      <c r="P113" t="s">
        <v>85</v>
      </c>
      <c r="Q113" s="4">
        <v>1016720</v>
      </c>
      <c r="R113" s="4">
        <v>15000</v>
      </c>
      <c r="S113" s="4">
        <v>6200</v>
      </c>
      <c r="T113" s="4">
        <f>Tabla1[[#This Row],[OS-Valor Unitario]]-Tabla1[[#This Row],[costo_antes_iva]]</f>
        <v>-8800</v>
      </c>
      <c r="U113" s="4">
        <f>Tabla1[[#This Row],[OS-Valor Unitario]]*Tabla1[[#This Row],[OS-Cantidad]]</f>
        <v>248000</v>
      </c>
      <c r="V113" s="4">
        <f>Tabla1[[#This Row],[costo_antes_iva]]*Tabla1[[#This Row],[OS-Cantidad]]</f>
        <v>600000</v>
      </c>
      <c r="W113" s="4">
        <f>Tabla1[[#This Row],[Valor total OS]]-Tabla1[[#This Row],[valor total op]]</f>
        <v>-352000</v>
      </c>
    </row>
    <row r="114" spans="1:23" x14ac:dyDescent="0.3">
      <c r="A114">
        <v>6620</v>
      </c>
      <c r="B114">
        <v>19</v>
      </c>
      <c r="C114" t="s">
        <v>336</v>
      </c>
      <c r="D114" t="s">
        <v>337</v>
      </c>
      <c r="E114" t="s">
        <v>79</v>
      </c>
      <c r="F114" t="s">
        <v>115</v>
      </c>
      <c r="G114" s="2">
        <v>46077</v>
      </c>
      <c r="H114">
        <v>80611506</v>
      </c>
      <c r="I114" t="s">
        <v>274</v>
      </c>
      <c r="J114" t="s">
        <v>269</v>
      </c>
      <c r="K114" t="s">
        <v>60</v>
      </c>
      <c r="L114">
        <v>20</v>
      </c>
      <c r="M114">
        <v>20</v>
      </c>
      <c r="N114" t="s">
        <v>339</v>
      </c>
      <c r="O114" t="s">
        <v>27</v>
      </c>
      <c r="P114" t="s">
        <v>85</v>
      </c>
      <c r="Q114" s="4">
        <v>1016720</v>
      </c>
      <c r="R114" s="4">
        <v>13500</v>
      </c>
      <c r="S114" s="4">
        <v>14000</v>
      </c>
      <c r="T114" s="4">
        <f>Tabla1[[#This Row],[OS-Valor Unitario]]-Tabla1[[#This Row],[costo_antes_iva]]</f>
        <v>500</v>
      </c>
      <c r="U114" s="4">
        <f>Tabla1[[#This Row],[OS-Valor Unitario]]*Tabla1[[#This Row],[OS-Cantidad]]</f>
        <v>280000</v>
      </c>
      <c r="V114" s="4">
        <f>Tabla1[[#This Row],[costo_antes_iva]]*Tabla1[[#This Row],[OS-Cantidad]]</f>
        <v>270000</v>
      </c>
      <c r="W114" s="4">
        <f>Tabla1[[#This Row],[Valor total OS]]-Tabla1[[#This Row],[valor total op]]</f>
        <v>10000</v>
      </c>
    </row>
    <row r="115" spans="1:23" x14ac:dyDescent="0.3">
      <c r="A115">
        <v>6620</v>
      </c>
      <c r="B115">
        <v>20</v>
      </c>
      <c r="C115" t="s">
        <v>340</v>
      </c>
      <c r="D115" t="s">
        <v>341</v>
      </c>
      <c r="E115" t="s">
        <v>79</v>
      </c>
      <c r="F115" t="s">
        <v>115</v>
      </c>
      <c r="G115" s="2">
        <v>46077</v>
      </c>
      <c r="H115">
        <v>80611640</v>
      </c>
      <c r="I115" t="s">
        <v>342</v>
      </c>
      <c r="J115" t="s">
        <v>269</v>
      </c>
      <c r="K115" t="s">
        <v>25</v>
      </c>
      <c r="L115">
        <v>149</v>
      </c>
      <c r="M115">
        <v>298</v>
      </c>
      <c r="N115" t="s">
        <v>343</v>
      </c>
      <c r="O115" t="s">
        <v>27</v>
      </c>
      <c r="P115" t="s">
        <v>85</v>
      </c>
      <c r="Q115" s="4">
        <v>7574564</v>
      </c>
      <c r="R115" s="4">
        <v>15000</v>
      </c>
      <c r="S115" s="4">
        <v>6200</v>
      </c>
      <c r="T115" s="4">
        <f>Tabla1[[#This Row],[OS-Valor Unitario]]-Tabla1[[#This Row],[costo_antes_iva]]</f>
        <v>-8800</v>
      </c>
      <c r="U115" s="4">
        <f>Tabla1[[#This Row],[OS-Valor Unitario]]*Tabla1[[#This Row],[OS-Cantidad]]</f>
        <v>1847600</v>
      </c>
      <c r="V115" s="4">
        <f>Tabla1[[#This Row],[costo_antes_iva]]*Tabla1[[#This Row],[OS-Cantidad]]</f>
        <v>4470000</v>
      </c>
      <c r="W115" s="4">
        <f>Tabla1[[#This Row],[Valor total OS]]-Tabla1[[#This Row],[valor total op]]</f>
        <v>-2622400</v>
      </c>
    </row>
    <row r="116" spans="1:23" x14ac:dyDescent="0.3">
      <c r="A116">
        <v>6620</v>
      </c>
      <c r="B116">
        <v>20</v>
      </c>
      <c r="C116" t="s">
        <v>340</v>
      </c>
      <c r="D116" t="s">
        <v>341</v>
      </c>
      <c r="E116" t="s">
        <v>79</v>
      </c>
      <c r="F116" t="s">
        <v>115</v>
      </c>
      <c r="G116" s="2">
        <v>46077</v>
      </c>
      <c r="H116">
        <v>80611640</v>
      </c>
      <c r="I116" t="s">
        <v>342</v>
      </c>
      <c r="J116" t="s">
        <v>269</v>
      </c>
      <c r="K116" t="s">
        <v>60</v>
      </c>
      <c r="L116">
        <v>149</v>
      </c>
      <c r="M116">
        <v>149</v>
      </c>
      <c r="N116" t="s">
        <v>344</v>
      </c>
      <c r="O116" t="s">
        <v>27</v>
      </c>
      <c r="P116" t="s">
        <v>85</v>
      </c>
      <c r="Q116" s="4">
        <v>7574564</v>
      </c>
      <c r="R116" s="4">
        <v>13500</v>
      </c>
      <c r="S116" s="4">
        <v>14000</v>
      </c>
      <c r="T116" s="4">
        <f>Tabla1[[#This Row],[OS-Valor Unitario]]-Tabla1[[#This Row],[costo_antes_iva]]</f>
        <v>500</v>
      </c>
      <c r="U116" s="4">
        <f>Tabla1[[#This Row],[OS-Valor Unitario]]*Tabla1[[#This Row],[OS-Cantidad]]</f>
        <v>2086000</v>
      </c>
      <c r="V116" s="4">
        <f>Tabla1[[#This Row],[costo_antes_iva]]*Tabla1[[#This Row],[OS-Cantidad]]</f>
        <v>2011500</v>
      </c>
      <c r="W116" s="4">
        <f>Tabla1[[#This Row],[Valor total OS]]-Tabla1[[#This Row],[valor total op]]</f>
        <v>74500</v>
      </c>
    </row>
    <row r="117" spans="1:23" x14ac:dyDescent="0.3">
      <c r="A117">
        <v>6620</v>
      </c>
      <c r="B117">
        <v>21</v>
      </c>
      <c r="C117" t="s">
        <v>345</v>
      </c>
      <c r="D117" t="s">
        <v>346</v>
      </c>
      <c r="E117" t="s">
        <v>96</v>
      </c>
      <c r="F117" t="s">
        <v>115</v>
      </c>
      <c r="G117" s="2">
        <v>46077</v>
      </c>
      <c r="H117">
        <v>80611668</v>
      </c>
      <c r="I117" t="s">
        <v>347</v>
      </c>
      <c r="J117" t="s">
        <v>269</v>
      </c>
      <c r="K117" t="s">
        <v>60</v>
      </c>
      <c r="L117">
        <v>12</v>
      </c>
      <c r="M117">
        <v>12</v>
      </c>
      <c r="N117" t="s">
        <v>348</v>
      </c>
      <c r="O117" t="s">
        <v>27</v>
      </c>
      <c r="P117" t="s">
        <v>28</v>
      </c>
      <c r="Q117" s="4">
        <v>332232</v>
      </c>
      <c r="R117" s="4">
        <v>5000</v>
      </c>
      <c r="S117" s="4">
        <v>5500</v>
      </c>
      <c r="T117" s="4">
        <f>Tabla1[[#This Row],[OS-Valor Unitario]]-Tabla1[[#This Row],[costo_antes_iva]]</f>
        <v>500</v>
      </c>
      <c r="U117" s="4">
        <f>Tabla1[[#This Row],[OS-Valor Unitario]]*Tabla1[[#This Row],[OS-Cantidad]]</f>
        <v>66000</v>
      </c>
      <c r="V117" s="4">
        <f>Tabla1[[#This Row],[costo_antes_iva]]*Tabla1[[#This Row],[OS-Cantidad]]</f>
        <v>60000</v>
      </c>
      <c r="W117" s="4">
        <f>Tabla1[[#This Row],[Valor total OS]]-Tabla1[[#This Row],[valor total op]]</f>
        <v>6000</v>
      </c>
    </row>
    <row r="118" spans="1:23" x14ac:dyDescent="0.3">
      <c r="A118">
        <v>6620</v>
      </c>
      <c r="B118">
        <v>21</v>
      </c>
      <c r="C118" t="s">
        <v>345</v>
      </c>
      <c r="D118" t="s">
        <v>346</v>
      </c>
      <c r="E118" t="s">
        <v>96</v>
      </c>
      <c r="F118" t="s">
        <v>115</v>
      </c>
      <c r="G118" s="2">
        <v>46077</v>
      </c>
      <c r="H118">
        <v>80611668</v>
      </c>
      <c r="I118" t="s">
        <v>347</v>
      </c>
      <c r="J118" t="s">
        <v>269</v>
      </c>
      <c r="K118" t="s">
        <v>25</v>
      </c>
      <c r="L118">
        <v>12</v>
      </c>
      <c r="M118">
        <v>12</v>
      </c>
      <c r="N118" t="s">
        <v>349</v>
      </c>
      <c r="O118" t="s">
        <v>27</v>
      </c>
      <c r="P118" t="s">
        <v>28</v>
      </c>
      <c r="Q118" s="4">
        <v>332232</v>
      </c>
      <c r="R118" s="4">
        <v>1700</v>
      </c>
      <c r="S118" s="4">
        <v>1200</v>
      </c>
      <c r="T118" s="4">
        <f>Tabla1[[#This Row],[OS-Valor Unitario]]-Tabla1[[#This Row],[costo_antes_iva]]</f>
        <v>-500</v>
      </c>
      <c r="U118" s="4">
        <f>Tabla1[[#This Row],[OS-Valor Unitario]]*Tabla1[[#This Row],[OS-Cantidad]]</f>
        <v>14400</v>
      </c>
      <c r="V118" s="4">
        <f>Tabla1[[#This Row],[costo_antes_iva]]*Tabla1[[#This Row],[OS-Cantidad]]</f>
        <v>20400</v>
      </c>
      <c r="W118" s="4">
        <f>Tabla1[[#This Row],[Valor total OS]]-Tabla1[[#This Row],[valor total op]]</f>
        <v>-6000</v>
      </c>
    </row>
    <row r="119" spans="1:23" x14ac:dyDescent="0.3">
      <c r="A119">
        <v>6620</v>
      </c>
      <c r="B119">
        <v>22</v>
      </c>
      <c r="C119" t="s">
        <v>350</v>
      </c>
      <c r="D119" t="s">
        <v>351</v>
      </c>
      <c r="E119" t="s">
        <v>96</v>
      </c>
      <c r="F119" t="s">
        <v>115</v>
      </c>
      <c r="G119" s="2">
        <v>46077</v>
      </c>
      <c r="H119">
        <v>80611779</v>
      </c>
      <c r="I119" t="s">
        <v>352</v>
      </c>
      <c r="J119" t="s">
        <v>269</v>
      </c>
      <c r="K119" t="s">
        <v>60</v>
      </c>
      <c r="L119">
        <v>5</v>
      </c>
      <c r="M119">
        <v>5</v>
      </c>
      <c r="N119" t="s">
        <v>353</v>
      </c>
      <c r="O119" t="s">
        <v>27</v>
      </c>
      <c r="P119" t="s">
        <v>28</v>
      </c>
      <c r="Q119" s="4">
        <v>138430</v>
      </c>
      <c r="R119" s="4">
        <v>5000</v>
      </c>
      <c r="S119" s="4">
        <v>5500</v>
      </c>
      <c r="T119" s="4">
        <f>Tabla1[[#This Row],[OS-Valor Unitario]]-Tabla1[[#This Row],[costo_antes_iva]]</f>
        <v>500</v>
      </c>
      <c r="U119" s="4">
        <f>Tabla1[[#This Row],[OS-Valor Unitario]]*Tabla1[[#This Row],[OS-Cantidad]]</f>
        <v>27500</v>
      </c>
      <c r="V119" s="4">
        <f>Tabla1[[#This Row],[costo_antes_iva]]*Tabla1[[#This Row],[OS-Cantidad]]</f>
        <v>25000</v>
      </c>
      <c r="W119" s="4">
        <f>Tabla1[[#This Row],[Valor total OS]]-Tabla1[[#This Row],[valor total op]]</f>
        <v>2500</v>
      </c>
    </row>
    <row r="120" spans="1:23" x14ac:dyDescent="0.3">
      <c r="A120">
        <v>6620</v>
      </c>
      <c r="B120">
        <v>22</v>
      </c>
      <c r="C120" t="s">
        <v>350</v>
      </c>
      <c r="D120" t="s">
        <v>351</v>
      </c>
      <c r="E120" t="s">
        <v>96</v>
      </c>
      <c r="F120" t="s">
        <v>115</v>
      </c>
      <c r="G120" s="2">
        <v>46077</v>
      </c>
      <c r="H120">
        <v>80611779</v>
      </c>
      <c r="I120" t="s">
        <v>352</v>
      </c>
      <c r="J120" t="s">
        <v>269</v>
      </c>
      <c r="K120" t="s">
        <v>25</v>
      </c>
      <c r="L120">
        <v>5</v>
      </c>
      <c r="M120">
        <v>5</v>
      </c>
      <c r="N120" t="s">
        <v>354</v>
      </c>
      <c r="O120" t="s">
        <v>27</v>
      </c>
      <c r="P120" t="s">
        <v>28</v>
      </c>
      <c r="Q120" s="4">
        <v>138430</v>
      </c>
      <c r="R120" s="4">
        <v>1700</v>
      </c>
      <c r="S120" s="4">
        <v>1200</v>
      </c>
      <c r="T120" s="4">
        <f>Tabla1[[#This Row],[OS-Valor Unitario]]-Tabla1[[#This Row],[costo_antes_iva]]</f>
        <v>-500</v>
      </c>
      <c r="U120" s="4">
        <f>Tabla1[[#This Row],[OS-Valor Unitario]]*Tabla1[[#This Row],[OS-Cantidad]]</f>
        <v>6000</v>
      </c>
      <c r="V120" s="4">
        <f>Tabla1[[#This Row],[costo_antes_iva]]*Tabla1[[#This Row],[OS-Cantidad]]</f>
        <v>8500</v>
      </c>
      <c r="W120" s="4">
        <f>Tabla1[[#This Row],[Valor total OS]]-Tabla1[[#This Row],[valor total op]]</f>
        <v>-2500</v>
      </c>
    </row>
    <row r="121" spans="1:23" x14ac:dyDescent="0.3">
      <c r="A121">
        <v>6620</v>
      </c>
      <c r="B121">
        <v>23</v>
      </c>
      <c r="C121" t="s">
        <v>355</v>
      </c>
      <c r="D121" t="s">
        <v>356</v>
      </c>
      <c r="E121" t="s">
        <v>357</v>
      </c>
      <c r="F121" t="s">
        <v>115</v>
      </c>
      <c r="G121" s="2">
        <v>46077</v>
      </c>
      <c r="H121">
        <v>80613237</v>
      </c>
      <c r="I121" t="s">
        <v>358</v>
      </c>
      <c r="J121" t="s">
        <v>269</v>
      </c>
      <c r="K121" t="s">
        <v>60</v>
      </c>
      <c r="L121">
        <v>50</v>
      </c>
      <c r="M121">
        <v>50</v>
      </c>
      <c r="N121" t="s">
        <v>359</v>
      </c>
      <c r="O121" t="s">
        <v>27</v>
      </c>
      <c r="P121" t="s">
        <v>253</v>
      </c>
      <c r="Q121" s="4">
        <v>2254000</v>
      </c>
      <c r="R121" s="4">
        <v>13000</v>
      </c>
      <c r="S121" s="4">
        <v>8000</v>
      </c>
      <c r="T121" s="4">
        <f>Tabla1[[#This Row],[OS-Valor Unitario]]-Tabla1[[#This Row],[costo_antes_iva]]</f>
        <v>-5000</v>
      </c>
      <c r="U121" s="4">
        <f>Tabla1[[#This Row],[OS-Valor Unitario]]*Tabla1[[#This Row],[OS-Cantidad]]</f>
        <v>400000</v>
      </c>
      <c r="V121" s="4">
        <f>Tabla1[[#This Row],[costo_antes_iva]]*Tabla1[[#This Row],[OS-Cantidad]]</f>
        <v>650000</v>
      </c>
      <c r="W121" s="4">
        <f>Tabla1[[#This Row],[Valor total OS]]-Tabla1[[#This Row],[valor total op]]</f>
        <v>-250000</v>
      </c>
    </row>
    <row r="122" spans="1:23" x14ac:dyDescent="0.3">
      <c r="A122">
        <v>6620</v>
      </c>
      <c r="B122">
        <v>23</v>
      </c>
      <c r="C122" t="s">
        <v>355</v>
      </c>
      <c r="D122" t="s">
        <v>356</v>
      </c>
      <c r="E122" t="s">
        <v>357</v>
      </c>
      <c r="F122" t="s">
        <v>115</v>
      </c>
      <c r="G122" s="2">
        <v>46077</v>
      </c>
      <c r="H122">
        <v>80613237</v>
      </c>
      <c r="I122" t="s">
        <v>358</v>
      </c>
      <c r="J122" t="s">
        <v>269</v>
      </c>
      <c r="K122" t="s">
        <v>25</v>
      </c>
      <c r="L122">
        <v>50</v>
      </c>
      <c r="M122">
        <v>50</v>
      </c>
      <c r="N122" t="s">
        <v>360</v>
      </c>
      <c r="O122" t="s">
        <v>27</v>
      </c>
      <c r="P122" t="s">
        <v>253</v>
      </c>
      <c r="Q122" s="4">
        <v>2254000</v>
      </c>
      <c r="R122" s="4">
        <v>1700</v>
      </c>
      <c r="S122" s="4">
        <v>3000</v>
      </c>
      <c r="T122" s="4">
        <f>Tabla1[[#This Row],[OS-Valor Unitario]]-Tabla1[[#This Row],[costo_antes_iva]]</f>
        <v>1300</v>
      </c>
      <c r="U122" s="4">
        <f>Tabla1[[#This Row],[OS-Valor Unitario]]*Tabla1[[#This Row],[OS-Cantidad]]</f>
        <v>150000</v>
      </c>
      <c r="V122" s="4">
        <f>Tabla1[[#This Row],[costo_antes_iva]]*Tabla1[[#This Row],[OS-Cantidad]]</f>
        <v>85000</v>
      </c>
      <c r="W122" s="4">
        <f>Tabla1[[#This Row],[Valor total OS]]-Tabla1[[#This Row],[valor total op]]</f>
        <v>65000</v>
      </c>
    </row>
    <row r="123" spans="1:23" x14ac:dyDescent="0.3">
      <c r="A123">
        <v>6620</v>
      </c>
      <c r="B123">
        <v>24</v>
      </c>
      <c r="C123" t="s">
        <v>361</v>
      </c>
      <c r="D123" t="s">
        <v>362</v>
      </c>
      <c r="E123" t="s">
        <v>166</v>
      </c>
      <c r="F123" t="s">
        <v>115</v>
      </c>
      <c r="G123" s="2">
        <v>46077</v>
      </c>
      <c r="H123">
        <v>80613452</v>
      </c>
      <c r="I123" t="s">
        <v>363</v>
      </c>
      <c r="J123" t="s">
        <v>269</v>
      </c>
      <c r="K123" t="s">
        <v>60</v>
      </c>
      <c r="L123">
        <v>2</v>
      </c>
      <c r="M123">
        <v>2</v>
      </c>
      <c r="N123" t="s">
        <v>364</v>
      </c>
      <c r="O123" t="s">
        <v>27</v>
      </c>
      <c r="P123" t="s">
        <v>169</v>
      </c>
      <c r="Q123" s="4">
        <v>113000</v>
      </c>
      <c r="R123" s="4">
        <v>15000</v>
      </c>
      <c r="S123" s="4">
        <v>13500</v>
      </c>
      <c r="T123" s="4">
        <f>Tabla1[[#This Row],[OS-Valor Unitario]]-Tabla1[[#This Row],[costo_antes_iva]]</f>
        <v>-1500</v>
      </c>
      <c r="U123" s="4">
        <f>Tabla1[[#This Row],[OS-Valor Unitario]]*Tabla1[[#This Row],[OS-Cantidad]]</f>
        <v>27000</v>
      </c>
      <c r="V123" s="4">
        <f>Tabla1[[#This Row],[costo_antes_iva]]*Tabla1[[#This Row],[OS-Cantidad]]</f>
        <v>30000</v>
      </c>
      <c r="W123" s="4">
        <f>Tabla1[[#This Row],[Valor total OS]]-Tabla1[[#This Row],[valor total op]]</f>
        <v>-3000</v>
      </c>
    </row>
    <row r="124" spans="1:23" x14ac:dyDescent="0.3">
      <c r="A124">
        <v>6620</v>
      </c>
      <c r="B124">
        <v>24</v>
      </c>
      <c r="C124" t="s">
        <v>361</v>
      </c>
      <c r="D124" t="s">
        <v>362</v>
      </c>
      <c r="E124" t="s">
        <v>166</v>
      </c>
      <c r="F124" t="s">
        <v>115</v>
      </c>
      <c r="G124" s="2">
        <v>46077</v>
      </c>
      <c r="H124">
        <v>80613452</v>
      </c>
      <c r="I124" t="s">
        <v>363</v>
      </c>
      <c r="J124" t="s">
        <v>269</v>
      </c>
      <c r="K124" t="s">
        <v>25</v>
      </c>
      <c r="L124">
        <v>2</v>
      </c>
      <c r="M124">
        <v>2</v>
      </c>
      <c r="N124" t="s">
        <v>365</v>
      </c>
      <c r="O124" t="s">
        <v>27</v>
      </c>
      <c r="P124" t="s">
        <v>169</v>
      </c>
      <c r="Q124" s="4">
        <v>113000</v>
      </c>
      <c r="R124" s="4">
        <v>1700</v>
      </c>
      <c r="S124" s="4">
        <v>1200</v>
      </c>
      <c r="T124" s="4">
        <f>Tabla1[[#This Row],[OS-Valor Unitario]]-Tabla1[[#This Row],[costo_antes_iva]]</f>
        <v>-500</v>
      </c>
      <c r="U124" s="4">
        <f>Tabla1[[#This Row],[OS-Valor Unitario]]*Tabla1[[#This Row],[OS-Cantidad]]</f>
        <v>2400</v>
      </c>
      <c r="V124" s="4">
        <f>Tabla1[[#This Row],[costo_antes_iva]]*Tabla1[[#This Row],[OS-Cantidad]]</f>
        <v>3400</v>
      </c>
      <c r="W124" s="4">
        <f>Tabla1[[#This Row],[Valor total OS]]-Tabla1[[#This Row],[valor total op]]</f>
        <v>-1000</v>
      </c>
    </row>
    <row r="125" spans="1:23" x14ac:dyDescent="0.3">
      <c r="A125">
        <v>6620</v>
      </c>
      <c r="B125">
        <v>25</v>
      </c>
      <c r="C125" t="s">
        <v>366</v>
      </c>
      <c r="D125" t="s">
        <v>367</v>
      </c>
      <c r="E125" t="s">
        <v>166</v>
      </c>
      <c r="F125" t="s">
        <v>115</v>
      </c>
      <c r="G125" s="2">
        <v>46077</v>
      </c>
      <c r="H125">
        <v>80613739</v>
      </c>
      <c r="I125" t="s">
        <v>368</v>
      </c>
      <c r="J125" t="s">
        <v>269</v>
      </c>
      <c r="K125" t="s">
        <v>60</v>
      </c>
      <c r="L125">
        <v>17</v>
      </c>
      <c r="M125">
        <v>17</v>
      </c>
      <c r="N125" t="s">
        <v>369</v>
      </c>
      <c r="O125" t="s">
        <v>27</v>
      </c>
      <c r="P125" t="s">
        <v>169</v>
      </c>
      <c r="Q125" s="4">
        <v>960500</v>
      </c>
      <c r="R125" s="4">
        <v>15000</v>
      </c>
      <c r="S125" s="4">
        <v>13500</v>
      </c>
      <c r="T125" s="4">
        <f>Tabla1[[#This Row],[OS-Valor Unitario]]-Tabla1[[#This Row],[costo_antes_iva]]</f>
        <v>-1500</v>
      </c>
      <c r="U125" s="4">
        <f>Tabla1[[#This Row],[OS-Valor Unitario]]*Tabla1[[#This Row],[OS-Cantidad]]</f>
        <v>229500</v>
      </c>
      <c r="V125" s="4">
        <f>Tabla1[[#This Row],[costo_antes_iva]]*Tabla1[[#This Row],[OS-Cantidad]]</f>
        <v>255000</v>
      </c>
      <c r="W125" s="4">
        <f>Tabla1[[#This Row],[Valor total OS]]-Tabla1[[#This Row],[valor total op]]</f>
        <v>-25500</v>
      </c>
    </row>
    <row r="126" spans="1:23" x14ac:dyDescent="0.3">
      <c r="A126">
        <v>6620</v>
      </c>
      <c r="B126">
        <v>26</v>
      </c>
      <c r="C126" t="s">
        <v>370</v>
      </c>
      <c r="D126" t="s">
        <v>371</v>
      </c>
      <c r="E126" t="s">
        <v>166</v>
      </c>
      <c r="F126" t="s">
        <v>115</v>
      </c>
      <c r="G126" s="2">
        <v>46077</v>
      </c>
      <c r="H126">
        <v>80613760</v>
      </c>
      <c r="I126" t="s">
        <v>372</v>
      </c>
      <c r="J126" t="s">
        <v>269</v>
      </c>
      <c r="K126" t="s">
        <v>60</v>
      </c>
      <c r="L126">
        <v>78</v>
      </c>
      <c r="M126">
        <v>78</v>
      </c>
      <c r="N126" t="s">
        <v>373</v>
      </c>
      <c r="O126" t="s">
        <v>27</v>
      </c>
      <c r="P126" t="s">
        <v>169</v>
      </c>
      <c r="Q126" s="4">
        <v>4407000</v>
      </c>
      <c r="R126" s="4">
        <v>15000</v>
      </c>
      <c r="S126" s="4">
        <v>13500</v>
      </c>
      <c r="T126" s="4">
        <f>Tabla1[[#This Row],[OS-Valor Unitario]]-Tabla1[[#This Row],[costo_antes_iva]]</f>
        <v>-1500</v>
      </c>
      <c r="U126" s="4">
        <f>Tabla1[[#This Row],[OS-Valor Unitario]]*Tabla1[[#This Row],[OS-Cantidad]]</f>
        <v>1053000</v>
      </c>
      <c r="V126" s="4">
        <f>Tabla1[[#This Row],[costo_antes_iva]]*Tabla1[[#This Row],[OS-Cantidad]]</f>
        <v>1170000</v>
      </c>
      <c r="W126" s="4">
        <f>Tabla1[[#This Row],[Valor total OS]]-Tabla1[[#This Row],[valor total op]]</f>
        <v>-117000</v>
      </c>
    </row>
    <row r="127" spans="1:23" x14ac:dyDescent="0.3">
      <c r="A127">
        <v>6620</v>
      </c>
      <c r="B127">
        <v>27</v>
      </c>
      <c r="C127" t="s">
        <v>374</v>
      </c>
      <c r="D127" t="s">
        <v>375</v>
      </c>
      <c r="E127" t="s">
        <v>166</v>
      </c>
      <c r="F127" t="s">
        <v>115</v>
      </c>
      <c r="G127" s="2">
        <v>46077</v>
      </c>
      <c r="H127">
        <v>80613818</v>
      </c>
      <c r="I127" t="s">
        <v>376</v>
      </c>
      <c r="J127" t="s">
        <v>269</v>
      </c>
      <c r="K127" t="s">
        <v>60</v>
      </c>
      <c r="L127">
        <v>8</v>
      </c>
      <c r="M127">
        <v>8</v>
      </c>
      <c r="N127" t="s">
        <v>377</v>
      </c>
      <c r="O127" t="s">
        <v>27</v>
      </c>
      <c r="P127" t="s">
        <v>169</v>
      </c>
      <c r="Q127" s="4">
        <v>452000</v>
      </c>
      <c r="R127" s="4">
        <v>15000</v>
      </c>
      <c r="S127" s="4">
        <v>13500</v>
      </c>
      <c r="T127" s="4">
        <f>Tabla1[[#This Row],[OS-Valor Unitario]]-Tabla1[[#This Row],[costo_antes_iva]]</f>
        <v>-1500</v>
      </c>
      <c r="U127" s="4">
        <f>Tabla1[[#This Row],[OS-Valor Unitario]]*Tabla1[[#This Row],[OS-Cantidad]]</f>
        <v>108000</v>
      </c>
      <c r="V127" s="4">
        <f>Tabla1[[#This Row],[costo_antes_iva]]*Tabla1[[#This Row],[OS-Cantidad]]</f>
        <v>120000</v>
      </c>
      <c r="W127" s="4">
        <f>Tabla1[[#This Row],[Valor total OS]]-Tabla1[[#This Row],[valor total op]]</f>
        <v>-12000</v>
      </c>
    </row>
    <row r="128" spans="1:23" x14ac:dyDescent="0.3">
      <c r="A128">
        <v>6620</v>
      </c>
      <c r="B128">
        <v>27</v>
      </c>
      <c r="C128" t="s">
        <v>374</v>
      </c>
      <c r="D128" t="s">
        <v>375</v>
      </c>
      <c r="E128" t="s">
        <v>166</v>
      </c>
      <c r="F128" t="s">
        <v>115</v>
      </c>
      <c r="G128" s="2">
        <v>46077</v>
      </c>
      <c r="H128">
        <v>80613818</v>
      </c>
      <c r="I128" t="s">
        <v>376</v>
      </c>
      <c r="J128" t="s">
        <v>269</v>
      </c>
      <c r="K128" t="s">
        <v>25</v>
      </c>
      <c r="L128">
        <v>8</v>
      </c>
      <c r="M128">
        <v>8</v>
      </c>
      <c r="N128" t="s">
        <v>378</v>
      </c>
      <c r="O128" t="s">
        <v>27</v>
      </c>
      <c r="P128" t="s">
        <v>169</v>
      </c>
      <c r="Q128" s="4">
        <v>452000</v>
      </c>
      <c r="R128" s="4">
        <v>1700</v>
      </c>
      <c r="S128" s="4">
        <v>1200</v>
      </c>
      <c r="T128" s="4">
        <f>Tabla1[[#This Row],[OS-Valor Unitario]]-Tabla1[[#This Row],[costo_antes_iva]]</f>
        <v>-500</v>
      </c>
      <c r="U128" s="4">
        <f>Tabla1[[#This Row],[OS-Valor Unitario]]*Tabla1[[#This Row],[OS-Cantidad]]</f>
        <v>9600</v>
      </c>
      <c r="V128" s="4">
        <f>Tabla1[[#This Row],[costo_antes_iva]]*Tabla1[[#This Row],[OS-Cantidad]]</f>
        <v>13600</v>
      </c>
      <c r="W128" s="4">
        <f>Tabla1[[#This Row],[Valor total OS]]-Tabla1[[#This Row],[valor total op]]</f>
        <v>-4000</v>
      </c>
    </row>
    <row r="129" spans="1:23" x14ac:dyDescent="0.3">
      <c r="A129">
        <v>6620</v>
      </c>
      <c r="B129">
        <v>28</v>
      </c>
      <c r="C129" t="s">
        <v>379</v>
      </c>
      <c r="D129" t="s">
        <v>380</v>
      </c>
      <c r="E129" t="s">
        <v>166</v>
      </c>
      <c r="F129" t="s">
        <v>115</v>
      </c>
      <c r="G129" s="2">
        <v>46077</v>
      </c>
      <c r="H129">
        <v>80614472</v>
      </c>
      <c r="I129" t="s">
        <v>381</v>
      </c>
      <c r="J129" t="s">
        <v>269</v>
      </c>
      <c r="K129" t="s">
        <v>60</v>
      </c>
      <c r="L129">
        <v>244</v>
      </c>
      <c r="M129">
        <v>244</v>
      </c>
      <c r="N129" t="s">
        <v>382</v>
      </c>
      <c r="O129" t="s">
        <v>27</v>
      </c>
      <c r="P129" t="s">
        <v>169</v>
      </c>
      <c r="Q129" s="4">
        <v>18519356</v>
      </c>
      <c r="R129" s="4">
        <v>18000</v>
      </c>
      <c r="S129" s="4">
        <v>17000</v>
      </c>
      <c r="T129" s="4">
        <f>Tabla1[[#This Row],[OS-Valor Unitario]]-Tabla1[[#This Row],[costo_antes_iva]]</f>
        <v>-1000</v>
      </c>
      <c r="U129" s="4">
        <f>Tabla1[[#This Row],[OS-Valor Unitario]]*Tabla1[[#This Row],[OS-Cantidad]]</f>
        <v>4148000</v>
      </c>
      <c r="V129" s="4">
        <f>Tabla1[[#This Row],[costo_antes_iva]]*Tabla1[[#This Row],[OS-Cantidad]]</f>
        <v>4392000</v>
      </c>
      <c r="W129" s="4">
        <f>Tabla1[[#This Row],[Valor total OS]]-Tabla1[[#This Row],[valor total op]]</f>
        <v>-244000</v>
      </c>
    </row>
    <row r="130" spans="1:23" x14ac:dyDescent="0.3">
      <c r="A130">
        <v>6620</v>
      </c>
      <c r="B130">
        <v>28</v>
      </c>
      <c r="C130" t="s">
        <v>379</v>
      </c>
      <c r="D130" t="s">
        <v>380</v>
      </c>
      <c r="E130" t="s">
        <v>166</v>
      </c>
      <c r="F130" t="s">
        <v>115</v>
      </c>
      <c r="G130" s="2">
        <v>46077</v>
      </c>
      <c r="H130">
        <v>80614472</v>
      </c>
      <c r="I130" t="s">
        <v>381</v>
      </c>
      <c r="J130" t="s">
        <v>269</v>
      </c>
      <c r="K130" t="s">
        <v>25</v>
      </c>
      <c r="L130">
        <v>244</v>
      </c>
      <c r="M130">
        <v>245</v>
      </c>
      <c r="N130" t="s">
        <v>383</v>
      </c>
      <c r="O130" t="s">
        <v>27</v>
      </c>
      <c r="P130" t="s">
        <v>169</v>
      </c>
      <c r="Q130" s="4">
        <v>18519356</v>
      </c>
      <c r="R130" s="4">
        <v>15000</v>
      </c>
      <c r="S130" s="4">
        <v>12400</v>
      </c>
      <c r="T130" s="4">
        <f>Tabla1[[#This Row],[OS-Valor Unitario]]-Tabla1[[#This Row],[costo_antes_iva]]</f>
        <v>-2600</v>
      </c>
      <c r="U130" s="4">
        <f>Tabla1[[#This Row],[OS-Valor Unitario]]*Tabla1[[#This Row],[OS-Cantidad]]</f>
        <v>3038000</v>
      </c>
      <c r="V130" s="4">
        <f>Tabla1[[#This Row],[costo_antes_iva]]*Tabla1[[#This Row],[OS-Cantidad]]</f>
        <v>3675000</v>
      </c>
      <c r="W130" s="4">
        <f>Tabla1[[#This Row],[Valor total OS]]-Tabla1[[#This Row],[valor total op]]</f>
        <v>-637000</v>
      </c>
    </row>
    <row r="131" spans="1:23" x14ac:dyDescent="0.3">
      <c r="A131">
        <v>6620</v>
      </c>
      <c r="B131">
        <v>29</v>
      </c>
      <c r="C131" t="s">
        <v>384</v>
      </c>
      <c r="D131" t="s">
        <v>385</v>
      </c>
      <c r="E131" t="s">
        <v>166</v>
      </c>
      <c r="F131" t="s">
        <v>115</v>
      </c>
      <c r="G131" s="2">
        <v>46077</v>
      </c>
      <c r="H131">
        <v>80614315</v>
      </c>
      <c r="I131" t="s">
        <v>386</v>
      </c>
      <c r="J131" t="s">
        <v>269</v>
      </c>
      <c r="K131" t="s">
        <v>60</v>
      </c>
      <c r="L131">
        <v>9</v>
      </c>
      <c r="M131">
        <v>9</v>
      </c>
      <c r="N131" t="s">
        <v>387</v>
      </c>
      <c r="O131" t="s">
        <v>27</v>
      </c>
      <c r="P131" t="s">
        <v>169</v>
      </c>
      <c r="Q131" s="4">
        <v>683091</v>
      </c>
      <c r="R131" s="4">
        <v>18000</v>
      </c>
      <c r="S131" s="4">
        <v>20000</v>
      </c>
      <c r="T131" s="4">
        <f>Tabla1[[#This Row],[OS-Valor Unitario]]-Tabla1[[#This Row],[costo_antes_iva]]</f>
        <v>2000</v>
      </c>
      <c r="U131" s="4">
        <f>Tabla1[[#This Row],[OS-Valor Unitario]]*Tabla1[[#This Row],[OS-Cantidad]]</f>
        <v>180000</v>
      </c>
      <c r="V131" s="4">
        <f>Tabla1[[#This Row],[costo_antes_iva]]*Tabla1[[#This Row],[OS-Cantidad]]</f>
        <v>162000</v>
      </c>
      <c r="W131" s="4">
        <f>Tabla1[[#This Row],[Valor total OS]]-Tabla1[[#This Row],[valor total op]]</f>
        <v>18000</v>
      </c>
    </row>
    <row r="132" spans="1:23" x14ac:dyDescent="0.3">
      <c r="A132">
        <v>6620</v>
      </c>
      <c r="B132">
        <v>29</v>
      </c>
      <c r="C132" t="s">
        <v>384</v>
      </c>
      <c r="D132" t="s">
        <v>385</v>
      </c>
      <c r="E132" t="s">
        <v>166</v>
      </c>
      <c r="F132" t="s">
        <v>115</v>
      </c>
      <c r="G132" s="2">
        <v>46077</v>
      </c>
      <c r="H132">
        <v>80614315</v>
      </c>
      <c r="I132" t="s">
        <v>386</v>
      </c>
      <c r="J132" t="s">
        <v>269</v>
      </c>
      <c r="K132" t="s">
        <v>25</v>
      </c>
      <c r="L132">
        <v>9</v>
      </c>
      <c r="M132">
        <v>9</v>
      </c>
      <c r="N132" t="s">
        <v>388</v>
      </c>
      <c r="O132" t="s">
        <v>27</v>
      </c>
      <c r="P132" t="s">
        <v>169</v>
      </c>
      <c r="Q132" s="4">
        <v>683091</v>
      </c>
      <c r="R132" s="4">
        <v>15000</v>
      </c>
      <c r="S132" s="4">
        <v>28300</v>
      </c>
      <c r="T132" s="4">
        <f>Tabla1[[#This Row],[OS-Valor Unitario]]-Tabla1[[#This Row],[costo_antes_iva]]</f>
        <v>13300</v>
      </c>
      <c r="U132" s="4">
        <f>Tabla1[[#This Row],[OS-Valor Unitario]]*Tabla1[[#This Row],[OS-Cantidad]]</f>
        <v>254700</v>
      </c>
      <c r="V132" s="4">
        <f>Tabla1[[#This Row],[costo_antes_iva]]*Tabla1[[#This Row],[OS-Cantidad]]</f>
        <v>135000</v>
      </c>
      <c r="W132" s="4">
        <f>Tabla1[[#This Row],[Valor total OS]]-Tabla1[[#This Row],[valor total op]]</f>
        <v>119700</v>
      </c>
    </row>
    <row r="133" spans="1:23" x14ac:dyDescent="0.3">
      <c r="A133">
        <v>6611</v>
      </c>
      <c r="B133">
        <v>1</v>
      </c>
      <c r="C133" t="s">
        <v>515</v>
      </c>
      <c r="D133" t="s">
        <v>516</v>
      </c>
      <c r="E133" t="s">
        <v>96</v>
      </c>
      <c r="F133" t="s">
        <v>159</v>
      </c>
      <c r="G133" s="2">
        <v>46076</v>
      </c>
      <c r="H133">
        <v>80555323</v>
      </c>
      <c r="I133" t="s">
        <v>517</v>
      </c>
      <c r="J133" t="s">
        <v>518</v>
      </c>
      <c r="K133" t="s">
        <v>60</v>
      </c>
      <c r="L133">
        <v>104</v>
      </c>
      <c r="M133">
        <v>104</v>
      </c>
      <c r="N133" t="s">
        <v>519</v>
      </c>
      <c r="O133" t="s">
        <v>126</v>
      </c>
      <c r="P133" t="s">
        <v>28</v>
      </c>
      <c r="Q133" s="4">
        <v>3478592</v>
      </c>
      <c r="R133" s="4">
        <v>5000</v>
      </c>
      <c r="S133" s="4">
        <v>5500</v>
      </c>
      <c r="T133" s="4">
        <f>Tabla1[[#This Row],[OS-Valor Unitario]]-Tabla1[[#This Row],[costo_antes_iva]]</f>
        <v>500</v>
      </c>
      <c r="U133" s="4">
        <f>Tabla1[[#This Row],[OS-Valor Unitario]]*Tabla1[[#This Row],[OS-Cantidad]]</f>
        <v>572000</v>
      </c>
      <c r="V133" s="4">
        <f>Tabla1[[#This Row],[costo_antes_iva]]*Tabla1[[#This Row],[OS-Cantidad]]</f>
        <v>520000</v>
      </c>
      <c r="W133" s="4">
        <f>Tabla1[[#This Row],[Valor total OS]]-Tabla1[[#This Row],[valor total op]]</f>
        <v>52000</v>
      </c>
    </row>
    <row r="134" spans="1:23" x14ac:dyDescent="0.3">
      <c r="A134">
        <v>6611</v>
      </c>
      <c r="B134">
        <v>1</v>
      </c>
      <c r="C134" t="s">
        <v>515</v>
      </c>
      <c r="D134" t="s">
        <v>516</v>
      </c>
      <c r="E134" t="s">
        <v>96</v>
      </c>
      <c r="F134" t="s">
        <v>159</v>
      </c>
      <c r="G134" s="2">
        <v>46076</v>
      </c>
      <c r="H134">
        <v>80555323</v>
      </c>
      <c r="I134" t="s">
        <v>517</v>
      </c>
      <c r="J134" t="s">
        <v>518</v>
      </c>
      <c r="K134" t="s">
        <v>25</v>
      </c>
      <c r="L134">
        <v>104</v>
      </c>
      <c r="M134">
        <v>104</v>
      </c>
      <c r="N134" t="s">
        <v>520</v>
      </c>
      <c r="O134" t="s">
        <v>126</v>
      </c>
      <c r="P134" t="s">
        <v>28</v>
      </c>
      <c r="Q134" s="4">
        <v>3478592</v>
      </c>
      <c r="R134" s="4">
        <v>1200</v>
      </c>
      <c r="S134" s="4">
        <v>1400</v>
      </c>
      <c r="T134" s="4">
        <f>Tabla1[[#This Row],[OS-Valor Unitario]]-Tabla1[[#This Row],[costo_antes_iva]]</f>
        <v>200</v>
      </c>
      <c r="U134" s="4">
        <f>Tabla1[[#This Row],[OS-Valor Unitario]]*Tabla1[[#This Row],[OS-Cantidad]]</f>
        <v>145600</v>
      </c>
      <c r="V134" s="4">
        <f>Tabla1[[#This Row],[costo_antes_iva]]*Tabla1[[#This Row],[OS-Cantidad]]</f>
        <v>124800</v>
      </c>
      <c r="W134" s="4">
        <f>Tabla1[[#This Row],[Valor total OS]]-Tabla1[[#This Row],[valor total op]]</f>
        <v>20800</v>
      </c>
    </row>
    <row r="135" spans="1:23" x14ac:dyDescent="0.3">
      <c r="A135">
        <v>6611</v>
      </c>
      <c r="B135">
        <v>2</v>
      </c>
      <c r="C135" t="s">
        <v>521</v>
      </c>
      <c r="D135" t="s">
        <v>522</v>
      </c>
      <c r="E135" t="s">
        <v>523</v>
      </c>
      <c r="F135" t="s">
        <v>159</v>
      </c>
      <c r="G135" s="2">
        <v>46076</v>
      </c>
      <c r="H135">
        <v>80555465</v>
      </c>
      <c r="I135" t="s">
        <v>524</v>
      </c>
      <c r="J135" t="s">
        <v>518</v>
      </c>
      <c r="K135" t="s">
        <v>60</v>
      </c>
      <c r="L135">
        <v>130</v>
      </c>
      <c r="M135">
        <v>140</v>
      </c>
      <c r="N135" t="s">
        <v>525</v>
      </c>
      <c r="O135" t="s">
        <v>126</v>
      </c>
      <c r="P135" t="s">
        <v>177</v>
      </c>
      <c r="Q135" s="4">
        <v>4896580</v>
      </c>
      <c r="R135" s="4">
        <v>10000</v>
      </c>
      <c r="S135" s="4">
        <v>11000</v>
      </c>
      <c r="T135" s="4">
        <f>Tabla1[[#This Row],[OS-Valor Unitario]]-Tabla1[[#This Row],[costo_antes_iva]]</f>
        <v>1000</v>
      </c>
      <c r="U135" s="4">
        <f>Tabla1[[#This Row],[OS-Valor Unitario]]*Tabla1[[#This Row],[OS-Cantidad]]</f>
        <v>1540000</v>
      </c>
      <c r="V135" s="4">
        <f>Tabla1[[#This Row],[costo_antes_iva]]*Tabla1[[#This Row],[OS-Cantidad]]</f>
        <v>1400000</v>
      </c>
      <c r="W135" s="4">
        <f>Tabla1[[#This Row],[Valor total OS]]-Tabla1[[#This Row],[valor total op]]</f>
        <v>140000</v>
      </c>
    </row>
    <row r="136" spans="1:23" x14ac:dyDescent="0.3">
      <c r="A136">
        <v>6609</v>
      </c>
      <c r="B136">
        <v>1</v>
      </c>
      <c r="C136" t="s">
        <v>526</v>
      </c>
      <c r="D136" t="s">
        <v>527</v>
      </c>
      <c r="E136" t="s">
        <v>528</v>
      </c>
      <c r="F136" t="s">
        <v>35</v>
      </c>
      <c r="G136" s="2">
        <v>46076</v>
      </c>
      <c r="H136">
        <v>80544569</v>
      </c>
      <c r="I136" t="s">
        <v>529</v>
      </c>
      <c r="J136" t="s">
        <v>530</v>
      </c>
      <c r="K136" t="s">
        <v>60</v>
      </c>
      <c r="L136">
        <v>20</v>
      </c>
      <c r="M136">
        <v>20</v>
      </c>
      <c r="N136" t="s">
        <v>531</v>
      </c>
      <c r="O136" t="s">
        <v>39</v>
      </c>
      <c r="P136" t="s">
        <v>72</v>
      </c>
      <c r="Q136" s="4">
        <v>658800</v>
      </c>
      <c r="R136" s="4">
        <v>5500</v>
      </c>
      <c r="S136" s="4">
        <v>4500</v>
      </c>
      <c r="T136" s="4">
        <f>Tabla1[[#This Row],[OS-Valor Unitario]]-Tabla1[[#This Row],[costo_antes_iva]]</f>
        <v>-1000</v>
      </c>
      <c r="U136" s="4">
        <f>Tabla1[[#This Row],[OS-Valor Unitario]]*Tabla1[[#This Row],[OS-Cantidad]]</f>
        <v>90000</v>
      </c>
      <c r="V136" s="4">
        <f>Tabla1[[#This Row],[costo_antes_iva]]*Tabla1[[#This Row],[OS-Cantidad]]</f>
        <v>110000</v>
      </c>
      <c r="W136" s="4">
        <f>Tabla1[[#This Row],[Valor total OS]]-Tabla1[[#This Row],[valor total op]]</f>
        <v>-20000</v>
      </c>
    </row>
    <row r="137" spans="1:23" x14ac:dyDescent="0.3">
      <c r="A137">
        <v>6609</v>
      </c>
      <c r="B137">
        <v>2</v>
      </c>
      <c r="C137" t="s">
        <v>532</v>
      </c>
      <c r="D137" t="s">
        <v>533</v>
      </c>
      <c r="E137" t="s">
        <v>534</v>
      </c>
      <c r="F137" t="s">
        <v>35</v>
      </c>
      <c r="G137" s="2">
        <v>46076</v>
      </c>
      <c r="H137">
        <v>80544582</v>
      </c>
      <c r="I137" t="s">
        <v>535</v>
      </c>
      <c r="J137" t="s">
        <v>530</v>
      </c>
      <c r="K137" t="s">
        <v>60</v>
      </c>
      <c r="L137">
        <v>20</v>
      </c>
      <c r="M137">
        <v>20</v>
      </c>
      <c r="N137" t="s">
        <v>536</v>
      </c>
      <c r="O137" t="s">
        <v>39</v>
      </c>
      <c r="P137" t="s">
        <v>537</v>
      </c>
      <c r="Q137" s="4">
        <v>698700</v>
      </c>
      <c r="R137" s="4">
        <v>6500</v>
      </c>
      <c r="S137" s="4">
        <v>6000</v>
      </c>
      <c r="T137" s="4">
        <f>Tabla1[[#This Row],[OS-Valor Unitario]]-Tabla1[[#This Row],[costo_antes_iva]]</f>
        <v>-500</v>
      </c>
      <c r="U137" s="4">
        <f>Tabla1[[#This Row],[OS-Valor Unitario]]*Tabla1[[#This Row],[OS-Cantidad]]</f>
        <v>120000</v>
      </c>
      <c r="V137" s="4">
        <f>Tabla1[[#This Row],[costo_antes_iva]]*Tabla1[[#This Row],[OS-Cantidad]]</f>
        <v>130000</v>
      </c>
      <c r="W137" s="4">
        <f>Tabla1[[#This Row],[Valor total OS]]-Tabla1[[#This Row],[valor total op]]</f>
        <v>-10000</v>
      </c>
    </row>
    <row r="138" spans="1:23" x14ac:dyDescent="0.3">
      <c r="A138">
        <v>6609</v>
      </c>
      <c r="B138">
        <v>3</v>
      </c>
      <c r="C138" t="s">
        <v>538</v>
      </c>
      <c r="D138" t="s">
        <v>539</v>
      </c>
      <c r="E138" t="s">
        <v>278</v>
      </c>
      <c r="F138" t="s">
        <v>35</v>
      </c>
      <c r="G138" s="2">
        <v>46076</v>
      </c>
      <c r="H138">
        <v>80544593</v>
      </c>
      <c r="I138" t="s">
        <v>540</v>
      </c>
      <c r="J138" t="s">
        <v>530</v>
      </c>
      <c r="K138" t="s">
        <v>60</v>
      </c>
      <c r="L138">
        <v>12</v>
      </c>
      <c r="M138">
        <v>12</v>
      </c>
      <c r="N138" t="s">
        <v>541</v>
      </c>
      <c r="O138" t="s">
        <v>39</v>
      </c>
      <c r="P138" t="s">
        <v>40</v>
      </c>
      <c r="Q138" s="4">
        <v>152928</v>
      </c>
      <c r="R138" s="4">
        <v>6500</v>
      </c>
      <c r="S138" s="4">
        <v>6000</v>
      </c>
      <c r="T138" s="4">
        <f>Tabla1[[#This Row],[OS-Valor Unitario]]-Tabla1[[#This Row],[costo_antes_iva]]</f>
        <v>-500</v>
      </c>
      <c r="U138" s="4">
        <f>Tabla1[[#This Row],[OS-Valor Unitario]]*Tabla1[[#This Row],[OS-Cantidad]]</f>
        <v>72000</v>
      </c>
      <c r="V138" s="4">
        <f>Tabla1[[#This Row],[costo_antes_iva]]*Tabla1[[#This Row],[OS-Cantidad]]</f>
        <v>78000</v>
      </c>
      <c r="W138" s="4">
        <f>Tabla1[[#This Row],[Valor total OS]]-Tabla1[[#This Row],[valor total op]]</f>
        <v>-6000</v>
      </c>
    </row>
    <row r="139" spans="1:23" x14ac:dyDescent="0.3">
      <c r="A139">
        <v>6543</v>
      </c>
      <c r="B139">
        <v>1</v>
      </c>
      <c r="C139" t="s">
        <v>542</v>
      </c>
      <c r="D139" t="s">
        <v>543</v>
      </c>
      <c r="E139" t="s">
        <v>396</v>
      </c>
      <c r="F139" t="s">
        <v>544</v>
      </c>
      <c r="G139" s="2">
        <v>46052</v>
      </c>
      <c r="H139">
        <v>79260132</v>
      </c>
      <c r="I139" t="s">
        <v>545</v>
      </c>
      <c r="J139" t="s">
        <v>546</v>
      </c>
      <c r="K139" t="s">
        <v>60</v>
      </c>
      <c r="L139">
        <v>10</v>
      </c>
      <c r="M139">
        <v>10</v>
      </c>
      <c r="N139" t="s">
        <v>547</v>
      </c>
      <c r="O139" t="s">
        <v>84</v>
      </c>
      <c r="P139" t="s">
        <v>72</v>
      </c>
      <c r="Q139" s="4">
        <v>278660</v>
      </c>
      <c r="R139" s="4">
        <v>11000</v>
      </c>
      <c r="S139" s="4">
        <v>11000</v>
      </c>
      <c r="T139" s="4">
        <f>Tabla1[[#This Row],[OS-Valor Unitario]]-Tabla1[[#This Row],[costo_antes_iva]]</f>
        <v>0</v>
      </c>
      <c r="U139" s="4">
        <f>Tabla1[[#This Row],[OS-Valor Unitario]]*Tabla1[[#This Row],[OS-Cantidad]]</f>
        <v>110000</v>
      </c>
      <c r="V139" s="4">
        <f>Tabla1[[#This Row],[costo_antes_iva]]*Tabla1[[#This Row],[OS-Cantidad]]</f>
        <v>110000</v>
      </c>
      <c r="W139" s="4">
        <f>Tabla1[[#This Row],[Valor total OS]]-Tabla1[[#This Row],[valor total op]]</f>
        <v>0</v>
      </c>
    </row>
    <row r="140" spans="1:23" x14ac:dyDescent="0.3">
      <c r="A140">
        <v>6543</v>
      </c>
      <c r="B140">
        <v>2</v>
      </c>
      <c r="C140" t="s">
        <v>548</v>
      </c>
      <c r="D140" t="s">
        <v>549</v>
      </c>
      <c r="E140" t="s">
        <v>396</v>
      </c>
      <c r="F140" t="s">
        <v>544</v>
      </c>
      <c r="G140" s="2">
        <v>46052</v>
      </c>
      <c r="H140">
        <v>79260153</v>
      </c>
      <c r="I140" t="s">
        <v>550</v>
      </c>
      <c r="J140" t="s">
        <v>546</v>
      </c>
      <c r="K140" t="s">
        <v>60</v>
      </c>
      <c r="L140">
        <v>24</v>
      </c>
      <c r="M140">
        <v>24</v>
      </c>
      <c r="N140" t="s">
        <v>551</v>
      </c>
      <c r="O140" t="s">
        <v>84</v>
      </c>
      <c r="P140" t="s">
        <v>72</v>
      </c>
      <c r="Q140" s="4">
        <v>703968</v>
      </c>
      <c r="R140" s="4">
        <v>12000</v>
      </c>
      <c r="S140" s="4">
        <v>11000</v>
      </c>
      <c r="T140" s="4">
        <f>Tabla1[[#This Row],[OS-Valor Unitario]]-Tabla1[[#This Row],[costo_antes_iva]]</f>
        <v>-1000</v>
      </c>
      <c r="U140" s="4">
        <f>Tabla1[[#This Row],[OS-Valor Unitario]]*Tabla1[[#This Row],[OS-Cantidad]]</f>
        <v>264000</v>
      </c>
      <c r="V140" s="4">
        <f>Tabla1[[#This Row],[costo_antes_iva]]*Tabla1[[#This Row],[OS-Cantidad]]</f>
        <v>288000</v>
      </c>
      <c r="W140" s="4">
        <f>Tabla1[[#This Row],[Valor total OS]]-Tabla1[[#This Row],[valor total op]]</f>
        <v>-24000</v>
      </c>
    </row>
    <row r="141" spans="1:23" x14ac:dyDescent="0.3">
      <c r="A141">
        <v>6543</v>
      </c>
      <c r="B141">
        <v>3</v>
      </c>
      <c r="C141" t="s">
        <v>552</v>
      </c>
      <c r="D141" t="s">
        <v>553</v>
      </c>
      <c r="E141" t="s">
        <v>357</v>
      </c>
      <c r="F141" t="s">
        <v>544</v>
      </c>
      <c r="G141" s="2">
        <v>46052</v>
      </c>
      <c r="H141">
        <v>79260234</v>
      </c>
      <c r="I141" t="s">
        <v>554</v>
      </c>
      <c r="J141" t="s">
        <v>546</v>
      </c>
      <c r="K141" t="s">
        <v>60</v>
      </c>
      <c r="L141">
        <v>1650</v>
      </c>
      <c r="M141">
        <v>1663</v>
      </c>
      <c r="N141" t="s">
        <v>555</v>
      </c>
      <c r="O141" t="s">
        <v>84</v>
      </c>
      <c r="P141" t="s">
        <v>253</v>
      </c>
      <c r="Q141" s="4">
        <v>57495900</v>
      </c>
      <c r="R141" s="4">
        <v>11500</v>
      </c>
      <c r="S141" s="4">
        <v>10500</v>
      </c>
      <c r="T141" s="4">
        <f>Tabla1[[#This Row],[OS-Valor Unitario]]-Tabla1[[#This Row],[costo_antes_iva]]</f>
        <v>-1000</v>
      </c>
      <c r="U141" s="4">
        <f>Tabla1[[#This Row],[OS-Valor Unitario]]*Tabla1[[#This Row],[OS-Cantidad]]</f>
        <v>17461500</v>
      </c>
      <c r="V141" s="4">
        <f>Tabla1[[#This Row],[costo_antes_iva]]*Tabla1[[#This Row],[OS-Cantidad]]</f>
        <v>19124500</v>
      </c>
      <c r="W141" s="4">
        <f>Tabla1[[#This Row],[Valor total OS]]-Tabla1[[#This Row],[valor total op]]</f>
        <v>-1663000</v>
      </c>
    </row>
    <row r="142" spans="1:23" x14ac:dyDescent="0.3">
      <c r="A142">
        <v>6543</v>
      </c>
      <c r="B142">
        <v>3</v>
      </c>
      <c r="C142" t="s">
        <v>552</v>
      </c>
      <c r="D142" t="s">
        <v>553</v>
      </c>
      <c r="E142" t="s">
        <v>357</v>
      </c>
      <c r="F142" t="s">
        <v>544</v>
      </c>
      <c r="G142" s="2">
        <v>46052</v>
      </c>
      <c r="H142">
        <v>79260234</v>
      </c>
      <c r="I142" t="s">
        <v>554</v>
      </c>
      <c r="J142" t="s">
        <v>546</v>
      </c>
      <c r="K142" t="s">
        <v>170</v>
      </c>
      <c r="L142">
        <v>1650</v>
      </c>
      <c r="M142">
        <v>1663</v>
      </c>
      <c r="N142" t="s">
        <v>556</v>
      </c>
      <c r="O142" t="s">
        <v>84</v>
      </c>
      <c r="P142" t="s">
        <v>253</v>
      </c>
      <c r="Q142" s="4">
        <v>57495900</v>
      </c>
      <c r="R142" s="4">
        <v>3000</v>
      </c>
      <c r="S142" s="4">
        <v>2800</v>
      </c>
      <c r="T142" s="4">
        <f>Tabla1[[#This Row],[OS-Valor Unitario]]-Tabla1[[#This Row],[costo_antes_iva]]</f>
        <v>-200</v>
      </c>
      <c r="U142" s="4">
        <f>Tabla1[[#This Row],[OS-Valor Unitario]]*Tabla1[[#This Row],[OS-Cantidad]]</f>
        <v>4656400</v>
      </c>
      <c r="V142" s="4">
        <f>Tabla1[[#This Row],[costo_antes_iva]]*Tabla1[[#This Row],[OS-Cantidad]]</f>
        <v>4989000</v>
      </c>
      <c r="W142" s="4">
        <f>Tabla1[[#This Row],[Valor total OS]]-Tabla1[[#This Row],[valor total op]]</f>
        <v>-332600</v>
      </c>
    </row>
    <row r="143" spans="1:23" x14ac:dyDescent="0.3">
      <c r="A143">
        <v>6543</v>
      </c>
      <c r="B143">
        <v>4</v>
      </c>
      <c r="C143" t="s">
        <v>557</v>
      </c>
      <c r="D143" t="s">
        <v>558</v>
      </c>
      <c r="E143" t="s">
        <v>357</v>
      </c>
      <c r="F143" t="s">
        <v>544</v>
      </c>
      <c r="G143" s="2">
        <v>46052</v>
      </c>
      <c r="H143">
        <v>79260244</v>
      </c>
      <c r="I143" t="s">
        <v>559</v>
      </c>
      <c r="J143" t="s">
        <v>546</v>
      </c>
      <c r="K143" t="s">
        <v>60</v>
      </c>
      <c r="L143">
        <v>208</v>
      </c>
      <c r="M143">
        <v>208</v>
      </c>
      <c r="N143" t="s">
        <v>560</v>
      </c>
      <c r="O143" t="s">
        <v>84</v>
      </c>
      <c r="P143" t="s">
        <v>253</v>
      </c>
      <c r="Q143" s="4">
        <v>9478768</v>
      </c>
      <c r="R143" s="4">
        <v>11500</v>
      </c>
      <c r="S143" s="4">
        <v>10500</v>
      </c>
      <c r="T143" s="4">
        <f>Tabla1[[#This Row],[OS-Valor Unitario]]-Tabla1[[#This Row],[costo_antes_iva]]</f>
        <v>-1000</v>
      </c>
      <c r="U143" s="4">
        <f>Tabla1[[#This Row],[OS-Valor Unitario]]*Tabla1[[#This Row],[OS-Cantidad]]</f>
        <v>2184000</v>
      </c>
      <c r="V143" s="4">
        <f>Tabla1[[#This Row],[costo_antes_iva]]*Tabla1[[#This Row],[OS-Cantidad]]</f>
        <v>2392000</v>
      </c>
      <c r="W143" s="4">
        <f>Tabla1[[#This Row],[Valor total OS]]-Tabla1[[#This Row],[valor total op]]</f>
        <v>-208000</v>
      </c>
    </row>
    <row r="144" spans="1:23" x14ac:dyDescent="0.3">
      <c r="A144">
        <v>6543</v>
      </c>
      <c r="B144">
        <v>4</v>
      </c>
      <c r="C144" t="s">
        <v>557</v>
      </c>
      <c r="D144" t="s">
        <v>558</v>
      </c>
      <c r="E144" t="s">
        <v>357</v>
      </c>
      <c r="F144" t="s">
        <v>544</v>
      </c>
      <c r="G144" s="2">
        <v>46052</v>
      </c>
      <c r="H144">
        <v>79260244</v>
      </c>
      <c r="I144" t="s">
        <v>559</v>
      </c>
      <c r="J144" t="s">
        <v>546</v>
      </c>
      <c r="K144" t="s">
        <v>170</v>
      </c>
      <c r="L144">
        <v>208</v>
      </c>
      <c r="M144">
        <v>416</v>
      </c>
      <c r="N144" t="s">
        <v>561</v>
      </c>
      <c r="O144" t="s">
        <v>84</v>
      </c>
      <c r="P144" t="s">
        <v>253</v>
      </c>
      <c r="Q144" s="4">
        <v>9478768</v>
      </c>
      <c r="R144" s="4">
        <v>3000</v>
      </c>
      <c r="S144" s="4">
        <v>3500</v>
      </c>
      <c r="T144" s="4">
        <f>Tabla1[[#This Row],[OS-Valor Unitario]]-Tabla1[[#This Row],[costo_antes_iva]]</f>
        <v>500</v>
      </c>
      <c r="U144" s="4">
        <f>Tabla1[[#This Row],[OS-Valor Unitario]]*Tabla1[[#This Row],[OS-Cantidad]]</f>
        <v>1456000</v>
      </c>
      <c r="V144" s="4">
        <f>Tabla1[[#This Row],[costo_antes_iva]]*Tabla1[[#This Row],[OS-Cantidad]]</f>
        <v>1248000</v>
      </c>
      <c r="W144" s="4">
        <f>Tabla1[[#This Row],[Valor total OS]]-Tabla1[[#This Row],[valor total op]]</f>
        <v>208000</v>
      </c>
    </row>
    <row r="145" spans="1:23" x14ac:dyDescent="0.3">
      <c r="A145">
        <v>6543</v>
      </c>
      <c r="B145">
        <v>4</v>
      </c>
      <c r="C145" t="s">
        <v>557</v>
      </c>
      <c r="D145" t="s">
        <v>558</v>
      </c>
      <c r="E145" t="s">
        <v>357</v>
      </c>
      <c r="F145" t="s">
        <v>544</v>
      </c>
      <c r="G145" s="2">
        <v>46052</v>
      </c>
      <c r="H145">
        <v>79260244</v>
      </c>
      <c r="I145" t="s">
        <v>559</v>
      </c>
      <c r="J145" t="s">
        <v>546</v>
      </c>
      <c r="K145" t="s">
        <v>25</v>
      </c>
      <c r="L145">
        <v>208</v>
      </c>
      <c r="M145">
        <v>415</v>
      </c>
      <c r="N145" t="s">
        <v>562</v>
      </c>
      <c r="O145" t="s">
        <v>84</v>
      </c>
      <c r="P145" t="s">
        <v>253</v>
      </c>
      <c r="Q145" s="4">
        <v>9478768</v>
      </c>
      <c r="R145" s="4">
        <v>2300</v>
      </c>
      <c r="S145" s="4">
        <v>4000</v>
      </c>
      <c r="T145" s="4">
        <f>Tabla1[[#This Row],[OS-Valor Unitario]]-Tabla1[[#This Row],[costo_antes_iva]]</f>
        <v>1700</v>
      </c>
      <c r="U145" s="4">
        <f>Tabla1[[#This Row],[OS-Valor Unitario]]*Tabla1[[#This Row],[OS-Cantidad]]</f>
        <v>1660000</v>
      </c>
      <c r="V145" s="4">
        <f>Tabla1[[#This Row],[costo_antes_iva]]*Tabla1[[#This Row],[OS-Cantidad]]</f>
        <v>954500</v>
      </c>
      <c r="W145" s="4">
        <f>Tabla1[[#This Row],[Valor total OS]]-Tabla1[[#This Row],[valor total op]]</f>
        <v>705500</v>
      </c>
    </row>
    <row r="146" spans="1:23" x14ac:dyDescent="0.3">
      <c r="A146">
        <v>6543</v>
      </c>
      <c r="B146">
        <v>5</v>
      </c>
      <c r="C146" t="s">
        <v>563</v>
      </c>
      <c r="D146" t="s">
        <v>564</v>
      </c>
      <c r="E146" t="s">
        <v>357</v>
      </c>
      <c r="F146" t="s">
        <v>544</v>
      </c>
      <c r="G146" s="2">
        <v>46052</v>
      </c>
      <c r="H146">
        <v>79260326</v>
      </c>
      <c r="I146" t="s">
        <v>565</v>
      </c>
      <c r="J146" t="s">
        <v>546</v>
      </c>
      <c r="K146" t="s">
        <v>60</v>
      </c>
      <c r="L146">
        <v>330</v>
      </c>
      <c r="M146">
        <v>333</v>
      </c>
      <c r="N146" t="s">
        <v>566</v>
      </c>
      <c r="O146" t="s">
        <v>84</v>
      </c>
      <c r="P146" t="s">
        <v>253</v>
      </c>
      <c r="Q146" s="4">
        <v>15038430</v>
      </c>
      <c r="R146" s="4">
        <v>11500</v>
      </c>
      <c r="S146" s="4">
        <v>10500</v>
      </c>
      <c r="T146" s="4">
        <f>Tabla1[[#This Row],[OS-Valor Unitario]]-Tabla1[[#This Row],[costo_antes_iva]]</f>
        <v>-1000</v>
      </c>
      <c r="U146" s="4">
        <f>Tabla1[[#This Row],[OS-Valor Unitario]]*Tabla1[[#This Row],[OS-Cantidad]]</f>
        <v>3496500</v>
      </c>
      <c r="V146" s="4">
        <f>Tabla1[[#This Row],[costo_antes_iva]]*Tabla1[[#This Row],[OS-Cantidad]]</f>
        <v>3829500</v>
      </c>
      <c r="W146" s="4">
        <f>Tabla1[[#This Row],[Valor total OS]]-Tabla1[[#This Row],[valor total op]]</f>
        <v>-333000</v>
      </c>
    </row>
    <row r="147" spans="1:23" x14ac:dyDescent="0.3">
      <c r="A147">
        <v>6543</v>
      </c>
      <c r="B147">
        <v>5</v>
      </c>
      <c r="C147" t="s">
        <v>563</v>
      </c>
      <c r="D147" t="s">
        <v>564</v>
      </c>
      <c r="E147" t="s">
        <v>357</v>
      </c>
      <c r="F147" t="s">
        <v>544</v>
      </c>
      <c r="G147" s="2">
        <v>46052</v>
      </c>
      <c r="H147">
        <v>79260326</v>
      </c>
      <c r="I147" t="s">
        <v>565</v>
      </c>
      <c r="J147" t="s">
        <v>546</v>
      </c>
      <c r="K147" t="s">
        <v>170</v>
      </c>
      <c r="L147">
        <v>330</v>
      </c>
      <c r="M147">
        <v>663</v>
      </c>
      <c r="N147" t="s">
        <v>567</v>
      </c>
      <c r="O147" t="s">
        <v>84</v>
      </c>
      <c r="P147" t="s">
        <v>253</v>
      </c>
      <c r="Q147" s="4">
        <v>15038430</v>
      </c>
      <c r="R147" s="4">
        <v>3000</v>
      </c>
      <c r="S147" s="4">
        <v>3500</v>
      </c>
      <c r="T147" s="4">
        <f>Tabla1[[#This Row],[OS-Valor Unitario]]-Tabla1[[#This Row],[costo_antes_iva]]</f>
        <v>500</v>
      </c>
      <c r="U147" s="4">
        <f>Tabla1[[#This Row],[OS-Valor Unitario]]*Tabla1[[#This Row],[OS-Cantidad]]</f>
        <v>2320500</v>
      </c>
      <c r="V147" s="4">
        <f>Tabla1[[#This Row],[costo_antes_iva]]*Tabla1[[#This Row],[OS-Cantidad]]</f>
        <v>1989000</v>
      </c>
      <c r="W147" s="4">
        <f>Tabla1[[#This Row],[Valor total OS]]-Tabla1[[#This Row],[valor total op]]</f>
        <v>331500</v>
      </c>
    </row>
    <row r="148" spans="1:23" x14ac:dyDescent="0.3">
      <c r="A148">
        <v>6543</v>
      </c>
      <c r="B148">
        <v>5</v>
      </c>
      <c r="C148" t="s">
        <v>563</v>
      </c>
      <c r="D148" t="s">
        <v>564</v>
      </c>
      <c r="E148" t="s">
        <v>357</v>
      </c>
      <c r="F148" t="s">
        <v>544</v>
      </c>
      <c r="G148" s="2">
        <v>46052</v>
      </c>
      <c r="H148">
        <v>79260326</v>
      </c>
      <c r="I148" t="s">
        <v>565</v>
      </c>
      <c r="J148" t="s">
        <v>546</v>
      </c>
      <c r="K148" t="s">
        <v>25</v>
      </c>
      <c r="L148">
        <v>330</v>
      </c>
      <c r="M148">
        <v>663</v>
      </c>
      <c r="N148" t="s">
        <v>568</v>
      </c>
      <c r="O148" t="s">
        <v>84</v>
      </c>
      <c r="P148" t="s">
        <v>253</v>
      </c>
      <c r="Q148" s="4">
        <v>15038430</v>
      </c>
      <c r="R148" s="4">
        <v>2300</v>
      </c>
      <c r="S148" s="4">
        <v>4000</v>
      </c>
      <c r="T148" s="4">
        <f>Tabla1[[#This Row],[OS-Valor Unitario]]-Tabla1[[#This Row],[costo_antes_iva]]</f>
        <v>1700</v>
      </c>
      <c r="U148" s="4">
        <f>Tabla1[[#This Row],[OS-Valor Unitario]]*Tabla1[[#This Row],[OS-Cantidad]]</f>
        <v>2652000</v>
      </c>
      <c r="V148" s="4">
        <f>Tabla1[[#This Row],[costo_antes_iva]]*Tabla1[[#This Row],[OS-Cantidad]]</f>
        <v>1524900</v>
      </c>
      <c r="W148" s="4">
        <f>Tabla1[[#This Row],[Valor total OS]]-Tabla1[[#This Row],[valor total op]]</f>
        <v>1127100</v>
      </c>
    </row>
    <row r="149" spans="1:23" x14ac:dyDescent="0.3">
      <c r="A149">
        <v>6541</v>
      </c>
      <c r="B149">
        <v>1</v>
      </c>
      <c r="C149" t="s">
        <v>569</v>
      </c>
      <c r="D149" t="s">
        <v>570</v>
      </c>
      <c r="E149" t="s">
        <v>79</v>
      </c>
      <c r="F149" t="s">
        <v>571</v>
      </c>
      <c r="G149" s="2">
        <v>46051</v>
      </c>
      <c r="H149">
        <v>79222439</v>
      </c>
      <c r="I149" t="s">
        <v>572</v>
      </c>
      <c r="J149" t="s">
        <v>573</v>
      </c>
      <c r="K149" t="s">
        <v>25</v>
      </c>
      <c r="L149">
        <v>25</v>
      </c>
      <c r="M149">
        <v>25</v>
      </c>
      <c r="N149" t="s">
        <v>574</v>
      </c>
      <c r="O149" t="s">
        <v>84</v>
      </c>
      <c r="P149" t="s">
        <v>85</v>
      </c>
      <c r="Q149" s="4">
        <v>1056725</v>
      </c>
      <c r="R149" s="4">
        <v>3500</v>
      </c>
      <c r="S149" s="4">
        <v>6300</v>
      </c>
      <c r="T149" s="4">
        <f>Tabla1[[#This Row],[OS-Valor Unitario]]-Tabla1[[#This Row],[costo_antes_iva]]</f>
        <v>2800</v>
      </c>
      <c r="U149" s="4">
        <f>Tabla1[[#This Row],[OS-Valor Unitario]]*Tabla1[[#This Row],[OS-Cantidad]]</f>
        <v>157500</v>
      </c>
      <c r="V149" s="4">
        <f>Tabla1[[#This Row],[costo_antes_iva]]*Tabla1[[#This Row],[OS-Cantidad]]</f>
        <v>87500</v>
      </c>
      <c r="W149" s="4">
        <f>Tabla1[[#This Row],[Valor total OS]]-Tabla1[[#This Row],[valor total op]]</f>
        <v>70000</v>
      </c>
    </row>
    <row r="150" spans="1:23" x14ac:dyDescent="0.3">
      <c r="A150">
        <v>6541</v>
      </c>
      <c r="B150">
        <v>1</v>
      </c>
      <c r="C150" t="s">
        <v>569</v>
      </c>
      <c r="D150" t="s">
        <v>570</v>
      </c>
      <c r="E150" t="s">
        <v>79</v>
      </c>
      <c r="F150" t="s">
        <v>571</v>
      </c>
      <c r="G150" s="2">
        <v>46051</v>
      </c>
      <c r="H150">
        <v>79222439</v>
      </c>
      <c r="I150" t="s">
        <v>572</v>
      </c>
      <c r="J150" t="s">
        <v>573</v>
      </c>
      <c r="K150" t="s">
        <v>60</v>
      </c>
      <c r="L150">
        <v>25</v>
      </c>
      <c r="M150">
        <v>25</v>
      </c>
      <c r="N150" t="s">
        <v>575</v>
      </c>
      <c r="O150" t="s">
        <v>84</v>
      </c>
      <c r="P150" t="s">
        <v>85</v>
      </c>
      <c r="Q150" s="4">
        <v>1056725</v>
      </c>
      <c r="R150" s="4">
        <v>12000</v>
      </c>
      <c r="S150" s="4">
        <v>18000</v>
      </c>
      <c r="T150" s="4">
        <f>Tabla1[[#This Row],[OS-Valor Unitario]]-Tabla1[[#This Row],[costo_antes_iva]]</f>
        <v>6000</v>
      </c>
      <c r="U150" s="4">
        <f>Tabla1[[#This Row],[OS-Valor Unitario]]*Tabla1[[#This Row],[OS-Cantidad]]</f>
        <v>450000</v>
      </c>
      <c r="V150" s="4">
        <f>Tabla1[[#This Row],[costo_antes_iva]]*Tabla1[[#This Row],[OS-Cantidad]]</f>
        <v>300000</v>
      </c>
      <c r="W150" s="4">
        <f>Tabla1[[#This Row],[Valor total OS]]-Tabla1[[#This Row],[valor total op]]</f>
        <v>150000</v>
      </c>
    </row>
    <row r="151" spans="1:23" x14ac:dyDescent="0.3">
      <c r="A151">
        <v>6541</v>
      </c>
      <c r="B151">
        <v>1</v>
      </c>
      <c r="C151" t="s">
        <v>569</v>
      </c>
      <c r="D151" t="s">
        <v>570</v>
      </c>
      <c r="E151" t="s">
        <v>79</v>
      </c>
      <c r="F151" t="s">
        <v>571</v>
      </c>
      <c r="G151" s="2">
        <v>46051</v>
      </c>
      <c r="H151">
        <v>79222439</v>
      </c>
      <c r="I151" t="s">
        <v>572</v>
      </c>
      <c r="J151" t="s">
        <v>573</v>
      </c>
      <c r="K151" t="s">
        <v>25</v>
      </c>
      <c r="L151">
        <v>25</v>
      </c>
      <c r="M151">
        <v>25</v>
      </c>
      <c r="N151" t="s">
        <v>574</v>
      </c>
      <c r="O151" t="s">
        <v>84</v>
      </c>
      <c r="P151" t="s">
        <v>85</v>
      </c>
      <c r="Q151" s="4">
        <v>1056725</v>
      </c>
      <c r="R151" s="4">
        <v>2000</v>
      </c>
      <c r="S151" s="4">
        <v>6300</v>
      </c>
      <c r="T151" s="4">
        <f>Tabla1[[#This Row],[OS-Valor Unitario]]-Tabla1[[#This Row],[costo_antes_iva]]</f>
        <v>4300</v>
      </c>
      <c r="U151" s="4">
        <f>Tabla1[[#This Row],[OS-Valor Unitario]]*Tabla1[[#This Row],[OS-Cantidad]]</f>
        <v>157500</v>
      </c>
      <c r="V151" s="4">
        <f>Tabla1[[#This Row],[costo_antes_iva]]*Tabla1[[#This Row],[OS-Cantidad]]</f>
        <v>50000</v>
      </c>
      <c r="W151" s="4">
        <f>Tabla1[[#This Row],[Valor total OS]]-Tabla1[[#This Row],[valor total op]]</f>
        <v>107500</v>
      </c>
    </row>
    <row r="152" spans="1:23" x14ac:dyDescent="0.3">
      <c r="A152">
        <v>6540</v>
      </c>
      <c r="B152">
        <v>1</v>
      </c>
      <c r="C152" t="s">
        <v>576</v>
      </c>
      <c r="D152" t="s">
        <v>577</v>
      </c>
      <c r="E152" t="s">
        <v>578</v>
      </c>
      <c r="F152" t="s">
        <v>35</v>
      </c>
      <c r="G152" s="2">
        <v>46051</v>
      </c>
      <c r="H152">
        <v>79234455</v>
      </c>
      <c r="I152" t="s">
        <v>579</v>
      </c>
      <c r="J152" t="s">
        <v>580</v>
      </c>
      <c r="K152" t="s">
        <v>60</v>
      </c>
      <c r="L152">
        <v>8</v>
      </c>
      <c r="M152">
        <v>8</v>
      </c>
      <c r="N152" t="s">
        <v>581</v>
      </c>
      <c r="O152" t="s">
        <v>39</v>
      </c>
      <c r="P152" t="s">
        <v>28</v>
      </c>
      <c r="Q152" s="4">
        <v>293304</v>
      </c>
      <c r="R152" s="4">
        <v>4500</v>
      </c>
      <c r="S152" s="4">
        <v>5000</v>
      </c>
      <c r="T152" s="4">
        <f>Tabla1[[#This Row],[OS-Valor Unitario]]-Tabla1[[#This Row],[costo_antes_iva]]</f>
        <v>500</v>
      </c>
      <c r="U152" s="4">
        <f>Tabla1[[#This Row],[OS-Valor Unitario]]*Tabla1[[#This Row],[OS-Cantidad]]</f>
        <v>40000</v>
      </c>
      <c r="V152" s="4">
        <f>Tabla1[[#This Row],[costo_antes_iva]]*Tabla1[[#This Row],[OS-Cantidad]]</f>
        <v>36000</v>
      </c>
      <c r="W152" s="4">
        <f>Tabla1[[#This Row],[Valor total OS]]-Tabla1[[#This Row],[valor total op]]</f>
        <v>4000</v>
      </c>
    </row>
    <row r="153" spans="1:23" x14ac:dyDescent="0.3">
      <c r="A153">
        <v>6540</v>
      </c>
      <c r="B153">
        <v>1</v>
      </c>
      <c r="C153" t="s">
        <v>576</v>
      </c>
      <c r="D153" t="s">
        <v>577</v>
      </c>
      <c r="E153" t="s">
        <v>578</v>
      </c>
      <c r="F153" t="s">
        <v>35</v>
      </c>
      <c r="G153" s="2">
        <v>46051</v>
      </c>
      <c r="H153">
        <v>79234455</v>
      </c>
      <c r="I153" t="s">
        <v>579</v>
      </c>
      <c r="J153" t="s">
        <v>580</v>
      </c>
      <c r="K153" t="s">
        <v>25</v>
      </c>
      <c r="L153">
        <v>8</v>
      </c>
      <c r="M153">
        <v>8</v>
      </c>
      <c r="N153" t="s">
        <v>582</v>
      </c>
      <c r="O153" t="s">
        <v>39</v>
      </c>
      <c r="P153" t="s">
        <v>28</v>
      </c>
      <c r="Q153" s="4">
        <v>293304</v>
      </c>
      <c r="R153" s="4">
        <v>1500</v>
      </c>
      <c r="S153" s="4">
        <v>1500</v>
      </c>
      <c r="T153" s="4">
        <f>Tabla1[[#This Row],[OS-Valor Unitario]]-Tabla1[[#This Row],[costo_antes_iva]]</f>
        <v>0</v>
      </c>
      <c r="U153" s="4">
        <f>Tabla1[[#This Row],[OS-Valor Unitario]]*Tabla1[[#This Row],[OS-Cantidad]]</f>
        <v>12000</v>
      </c>
      <c r="V153" s="4">
        <f>Tabla1[[#This Row],[costo_antes_iva]]*Tabla1[[#This Row],[OS-Cantidad]]</f>
        <v>12000</v>
      </c>
      <c r="W153" s="4">
        <f>Tabla1[[#This Row],[Valor total OS]]-Tabla1[[#This Row],[valor total op]]</f>
        <v>0</v>
      </c>
    </row>
    <row r="154" spans="1:23" x14ac:dyDescent="0.3">
      <c r="A154">
        <v>6540</v>
      </c>
      <c r="B154">
        <v>2</v>
      </c>
      <c r="C154" t="s">
        <v>583</v>
      </c>
      <c r="D154" t="s">
        <v>584</v>
      </c>
      <c r="E154" t="s">
        <v>578</v>
      </c>
      <c r="F154" t="s">
        <v>35</v>
      </c>
      <c r="G154" s="2">
        <v>46051</v>
      </c>
      <c r="H154">
        <v>79234508</v>
      </c>
      <c r="I154" t="s">
        <v>585</v>
      </c>
      <c r="J154" t="s">
        <v>580</v>
      </c>
      <c r="K154" t="s">
        <v>60</v>
      </c>
      <c r="L154">
        <v>8</v>
      </c>
      <c r="M154">
        <v>8</v>
      </c>
      <c r="N154" t="s">
        <v>586</v>
      </c>
      <c r="O154" t="s">
        <v>39</v>
      </c>
      <c r="P154" t="s">
        <v>28</v>
      </c>
      <c r="Q154" s="4">
        <v>293304</v>
      </c>
      <c r="R154" s="4">
        <v>4500</v>
      </c>
      <c r="S154" s="4">
        <v>5000</v>
      </c>
      <c r="T154" s="4">
        <f>Tabla1[[#This Row],[OS-Valor Unitario]]-Tabla1[[#This Row],[costo_antes_iva]]</f>
        <v>500</v>
      </c>
      <c r="U154" s="4">
        <f>Tabla1[[#This Row],[OS-Valor Unitario]]*Tabla1[[#This Row],[OS-Cantidad]]</f>
        <v>40000</v>
      </c>
      <c r="V154" s="4">
        <f>Tabla1[[#This Row],[costo_antes_iva]]*Tabla1[[#This Row],[OS-Cantidad]]</f>
        <v>36000</v>
      </c>
      <c r="W154" s="4">
        <f>Tabla1[[#This Row],[Valor total OS]]-Tabla1[[#This Row],[valor total op]]</f>
        <v>4000</v>
      </c>
    </row>
    <row r="155" spans="1:23" x14ac:dyDescent="0.3">
      <c r="A155">
        <v>6540</v>
      </c>
      <c r="B155">
        <v>2</v>
      </c>
      <c r="C155" t="s">
        <v>583</v>
      </c>
      <c r="D155" t="s">
        <v>584</v>
      </c>
      <c r="E155" t="s">
        <v>578</v>
      </c>
      <c r="F155" t="s">
        <v>35</v>
      </c>
      <c r="G155" s="2">
        <v>46051</v>
      </c>
      <c r="H155">
        <v>79234508</v>
      </c>
      <c r="I155" t="s">
        <v>585</v>
      </c>
      <c r="J155" t="s">
        <v>580</v>
      </c>
      <c r="K155" t="s">
        <v>25</v>
      </c>
      <c r="L155">
        <v>8</v>
      </c>
      <c r="M155">
        <v>8</v>
      </c>
      <c r="N155" t="s">
        <v>587</v>
      </c>
      <c r="O155" t="s">
        <v>39</v>
      </c>
      <c r="P155" t="s">
        <v>28</v>
      </c>
      <c r="Q155" s="4">
        <v>293304</v>
      </c>
      <c r="R155" s="4">
        <v>1500</v>
      </c>
      <c r="S155" s="4">
        <v>1500</v>
      </c>
      <c r="T155" s="4">
        <f>Tabla1[[#This Row],[OS-Valor Unitario]]-Tabla1[[#This Row],[costo_antes_iva]]</f>
        <v>0</v>
      </c>
      <c r="U155" s="4">
        <f>Tabla1[[#This Row],[OS-Valor Unitario]]*Tabla1[[#This Row],[OS-Cantidad]]</f>
        <v>12000</v>
      </c>
      <c r="V155" s="4">
        <f>Tabla1[[#This Row],[costo_antes_iva]]*Tabla1[[#This Row],[OS-Cantidad]]</f>
        <v>12000</v>
      </c>
      <c r="W155" s="4">
        <f>Tabla1[[#This Row],[Valor total OS]]-Tabla1[[#This Row],[valor total op]]</f>
        <v>0</v>
      </c>
    </row>
    <row r="156" spans="1:23" x14ac:dyDescent="0.3">
      <c r="A156">
        <v>6540</v>
      </c>
      <c r="B156">
        <v>3</v>
      </c>
      <c r="C156" t="s">
        <v>588</v>
      </c>
      <c r="D156" t="s">
        <v>589</v>
      </c>
      <c r="E156" t="s">
        <v>578</v>
      </c>
      <c r="F156" t="s">
        <v>35</v>
      </c>
      <c r="G156" s="2">
        <v>46051</v>
      </c>
      <c r="H156">
        <v>79234568</v>
      </c>
      <c r="I156" t="s">
        <v>590</v>
      </c>
      <c r="J156" t="s">
        <v>580</v>
      </c>
      <c r="K156" t="s">
        <v>60</v>
      </c>
      <c r="L156">
        <v>8</v>
      </c>
      <c r="M156">
        <v>8</v>
      </c>
      <c r="N156" t="s">
        <v>591</v>
      </c>
      <c r="O156" t="s">
        <v>39</v>
      </c>
      <c r="P156" t="s">
        <v>28</v>
      </c>
      <c r="Q156" s="4">
        <v>293304</v>
      </c>
      <c r="R156" s="4">
        <v>4500</v>
      </c>
      <c r="S156" s="4">
        <v>5000</v>
      </c>
      <c r="T156" s="4">
        <f>Tabla1[[#This Row],[OS-Valor Unitario]]-Tabla1[[#This Row],[costo_antes_iva]]</f>
        <v>500</v>
      </c>
      <c r="U156" s="4">
        <f>Tabla1[[#This Row],[OS-Valor Unitario]]*Tabla1[[#This Row],[OS-Cantidad]]</f>
        <v>40000</v>
      </c>
      <c r="V156" s="4">
        <f>Tabla1[[#This Row],[costo_antes_iva]]*Tabla1[[#This Row],[OS-Cantidad]]</f>
        <v>36000</v>
      </c>
      <c r="W156" s="4">
        <f>Tabla1[[#This Row],[Valor total OS]]-Tabla1[[#This Row],[valor total op]]</f>
        <v>4000</v>
      </c>
    </row>
    <row r="157" spans="1:23" x14ac:dyDescent="0.3">
      <c r="A157">
        <v>6540</v>
      </c>
      <c r="B157">
        <v>3</v>
      </c>
      <c r="C157" t="s">
        <v>588</v>
      </c>
      <c r="D157" t="s">
        <v>589</v>
      </c>
      <c r="E157" t="s">
        <v>578</v>
      </c>
      <c r="F157" t="s">
        <v>35</v>
      </c>
      <c r="G157" s="2">
        <v>46051</v>
      </c>
      <c r="H157">
        <v>79234568</v>
      </c>
      <c r="I157" t="s">
        <v>590</v>
      </c>
      <c r="J157" t="s">
        <v>580</v>
      </c>
      <c r="K157" t="s">
        <v>25</v>
      </c>
      <c r="L157">
        <v>8</v>
      </c>
      <c r="M157">
        <v>8</v>
      </c>
      <c r="N157" t="s">
        <v>592</v>
      </c>
      <c r="O157" t="s">
        <v>39</v>
      </c>
      <c r="P157" t="s">
        <v>28</v>
      </c>
      <c r="Q157" s="4">
        <v>293304</v>
      </c>
      <c r="R157" s="4">
        <v>1500</v>
      </c>
      <c r="S157" s="4">
        <v>1500</v>
      </c>
      <c r="T157" s="4">
        <f>Tabla1[[#This Row],[OS-Valor Unitario]]-Tabla1[[#This Row],[costo_antes_iva]]</f>
        <v>0</v>
      </c>
      <c r="U157" s="4">
        <f>Tabla1[[#This Row],[OS-Valor Unitario]]*Tabla1[[#This Row],[OS-Cantidad]]</f>
        <v>12000</v>
      </c>
      <c r="V157" s="4">
        <f>Tabla1[[#This Row],[costo_antes_iva]]*Tabla1[[#This Row],[OS-Cantidad]]</f>
        <v>12000</v>
      </c>
      <c r="W157" s="4">
        <f>Tabla1[[#This Row],[Valor total OS]]-Tabla1[[#This Row],[valor total op]]</f>
        <v>0</v>
      </c>
    </row>
    <row r="158" spans="1:23" x14ac:dyDescent="0.3">
      <c r="A158">
        <v>6540</v>
      </c>
      <c r="B158">
        <v>4</v>
      </c>
      <c r="C158" t="s">
        <v>593</v>
      </c>
      <c r="D158" t="s">
        <v>594</v>
      </c>
      <c r="E158" t="s">
        <v>578</v>
      </c>
      <c r="F158" t="s">
        <v>35</v>
      </c>
      <c r="G158" s="2">
        <v>46051</v>
      </c>
      <c r="H158">
        <v>79234576</v>
      </c>
      <c r="I158" t="s">
        <v>595</v>
      </c>
      <c r="J158" t="s">
        <v>580</v>
      </c>
      <c r="K158" t="s">
        <v>60</v>
      </c>
      <c r="L158">
        <v>3</v>
      </c>
      <c r="M158">
        <v>3</v>
      </c>
      <c r="N158" t="s">
        <v>596</v>
      </c>
      <c r="O158" t="s">
        <v>39</v>
      </c>
      <c r="P158" t="s">
        <v>28</v>
      </c>
      <c r="Q158" s="4">
        <v>109989</v>
      </c>
      <c r="R158" s="4">
        <v>4500</v>
      </c>
      <c r="S158" s="4">
        <v>5000</v>
      </c>
      <c r="T158" s="4">
        <f>Tabla1[[#This Row],[OS-Valor Unitario]]-Tabla1[[#This Row],[costo_antes_iva]]</f>
        <v>500</v>
      </c>
      <c r="U158" s="4">
        <f>Tabla1[[#This Row],[OS-Valor Unitario]]*Tabla1[[#This Row],[OS-Cantidad]]</f>
        <v>15000</v>
      </c>
      <c r="V158" s="4">
        <f>Tabla1[[#This Row],[costo_antes_iva]]*Tabla1[[#This Row],[OS-Cantidad]]</f>
        <v>13500</v>
      </c>
      <c r="W158" s="4">
        <f>Tabla1[[#This Row],[Valor total OS]]-Tabla1[[#This Row],[valor total op]]</f>
        <v>1500</v>
      </c>
    </row>
    <row r="159" spans="1:23" x14ac:dyDescent="0.3">
      <c r="A159">
        <v>6540</v>
      </c>
      <c r="B159">
        <v>4</v>
      </c>
      <c r="C159" t="s">
        <v>593</v>
      </c>
      <c r="D159" t="s">
        <v>594</v>
      </c>
      <c r="E159" t="s">
        <v>578</v>
      </c>
      <c r="F159" t="s">
        <v>35</v>
      </c>
      <c r="G159" s="2">
        <v>46051</v>
      </c>
      <c r="H159">
        <v>79234576</v>
      </c>
      <c r="I159" t="s">
        <v>595</v>
      </c>
      <c r="J159" t="s">
        <v>580</v>
      </c>
      <c r="K159" t="s">
        <v>25</v>
      </c>
      <c r="L159">
        <v>3</v>
      </c>
      <c r="M159">
        <v>3</v>
      </c>
      <c r="N159" t="s">
        <v>597</v>
      </c>
      <c r="O159" t="s">
        <v>39</v>
      </c>
      <c r="P159" t="s">
        <v>28</v>
      </c>
      <c r="Q159" s="4">
        <v>109989</v>
      </c>
      <c r="R159" s="4">
        <v>1500</v>
      </c>
      <c r="S159" s="4">
        <v>1500</v>
      </c>
      <c r="T159" s="4">
        <f>Tabla1[[#This Row],[OS-Valor Unitario]]-Tabla1[[#This Row],[costo_antes_iva]]</f>
        <v>0</v>
      </c>
      <c r="U159" s="4">
        <f>Tabla1[[#This Row],[OS-Valor Unitario]]*Tabla1[[#This Row],[OS-Cantidad]]</f>
        <v>4500</v>
      </c>
      <c r="V159" s="4">
        <f>Tabla1[[#This Row],[costo_antes_iva]]*Tabla1[[#This Row],[OS-Cantidad]]</f>
        <v>4500</v>
      </c>
      <c r="W159" s="4">
        <f>Tabla1[[#This Row],[Valor total OS]]-Tabla1[[#This Row],[valor total op]]</f>
        <v>0</v>
      </c>
    </row>
    <row r="160" spans="1:23" x14ac:dyDescent="0.3">
      <c r="A160">
        <v>6540</v>
      </c>
      <c r="B160">
        <v>5</v>
      </c>
      <c r="C160" t="s">
        <v>598</v>
      </c>
      <c r="D160" t="s">
        <v>599</v>
      </c>
      <c r="E160" t="s">
        <v>578</v>
      </c>
      <c r="F160" t="s">
        <v>35</v>
      </c>
      <c r="G160" s="2">
        <v>46051</v>
      </c>
      <c r="H160">
        <v>79234584</v>
      </c>
      <c r="I160" t="s">
        <v>600</v>
      </c>
      <c r="J160" t="s">
        <v>580</v>
      </c>
      <c r="K160" t="s">
        <v>60</v>
      </c>
      <c r="L160">
        <v>3</v>
      </c>
      <c r="M160">
        <v>3</v>
      </c>
      <c r="N160" t="s">
        <v>601</v>
      </c>
      <c r="O160" t="s">
        <v>39</v>
      </c>
      <c r="P160" t="s">
        <v>28</v>
      </c>
      <c r="Q160" s="4">
        <v>109989</v>
      </c>
      <c r="R160" s="4">
        <v>4500</v>
      </c>
      <c r="S160" s="4">
        <v>5000</v>
      </c>
      <c r="T160" s="4">
        <f>Tabla1[[#This Row],[OS-Valor Unitario]]-Tabla1[[#This Row],[costo_antes_iva]]</f>
        <v>500</v>
      </c>
      <c r="U160" s="4">
        <f>Tabla1[[#This Row],[OS-Valor Unitario]]*Tabla1[[#This Row],[OS-Cantidad]]</f>
        <v>15000</v>
      </c>
      <c r="V160" s="4">
        <f>Tabla1[[#This Row],[costo_antes_iva]]*Tabla1[[#This Row],[OS-Cantidad]]</f>
        <v>13500</v>
      </c>
      <c r="W160" s="4">
        <f>Tabla1[[#This Row],[Valor total OS]]-Tabla1[[#This Row],[valor total op]]</f>
        <v>1500</v>
      </c>
    </row>
    <row r="161" spans="1:23" x14ac:dyDescent="0.3">
      <c r="A161">
        <v>6540</v>
      </c>
      <c r="B161">
        <v>5</v>
      </c>
      <c r="C161" t="s">
        <v>598</v>
      </c>
      <c r="D161" t="s">
        <v>599</v>
      </c>
      <c r="E161" t="s">
        <v>578</v>
      </c>
      <c r="F161" t="s">
        <v>35</v>
      </c>
      <c r="G161" s="2">
        <v>46051</v>
      </c>
      <c r="H161">
        <v>79234584</v>
      </c>
      <c r="I161" t="s">
        <v>600</v>
      </c>
      <c r="J161" t="s">
        <v>580</v>
      </c>
      <c r="K161" t="s">
        <v>25</v>
      </c>
      <c r="L161">
        <v>3</v>
      </c>
      <c r="M161">
        <v>3</v>
      </c>
      <c r="N161" t="s">
        <v>602</v>
      </c>
      <c r="O161" t="s">
        <v>39</v>
      </c>
      <c r="P161" t="s">
        <v>28</v>
      </c>
      <c r="Q161" s="4">
        <v>109989</v>
      </c>
      <c r="R161" s="4">
        <v>1500</v>
      </c>
      <c r="S161" s="4">
        <v>1500</v>
      </c>
      <c r="T161" s="4">
        <f>Tabla1[[#This Row],[OS-Valor Unitario]]-Tabla1[[#This Row],[costo_antes_iva]]</f>
        <v>0</v>
      </c>
      <c r="U161" s="4">
        <f>Tabla1[[#This Row],[OS-Valor Unitario]]*Tabla1[[#This Row],[OS-Cantidad]]</f>
        <v>4500</v>
      </c>
      <c r="V161" s="4">
        <f>Tabla1[[#This Row],[costo_antes_iva]]*Tabla1[[#This Row],[OS-Cantidad]]</f>
        <v>4500</v>
      </c>
      <c r="W161" s="4">
        <f>Tabla1[[#This Row],[Valor total OS]]-Tabla1[[#This Row],[valor total op]]</f>
        <v>0</v>
      </c>
    </row>
    <row r="162" spans="1:23" x14ac:dyDescent="0.3">
      <c r="A162">
        <v>6540</v>
      </c>
      <c r="B162">
        <v>6</v>
      </c>
      <c r="C162" t="s">
        <v>603</v>
      </c>
      <c r="D162" t="s">
        <v>604</v>
      </c>
      <c r="E162" t="s">
        <v>578</v>
      </c>
      <c r="F162" t="s">
        <v>35</v>
      </c>
      <c r="G162" s="2">
        <v>46051</v>
      </c>
      <c r="H162">
        <v>79234591</v>
      </c>
      <c r="I162" t="s">
        <v>605</v>
      </c>
      <c r="J162" t="s">
        <v>580</v>
      </c>
      <c r="K162" t="s">
        <v>60</v>
      </c>
      <c r="L162">
        <v>3</v>
      </c>
      <c r="M162">
        <v>3</v>
      </c>
      <c r="N162" t="s">
        <v>606</v>
      </c>
      <c r="O162" t="s">
        <v>39</v>
      </c>
      <c r="P162" t="s">
        <v>28</v>
      </c>
      <c r="Q162" s="4">
        <v>109989</v>
      </c>
      <c r="R162" s="4">
        <v>4500</v>
      </c>
      <c r="S162" s="4">
        <v>5000</v>
      </c>
      <c r="T162" s="4">
        <f>Tabla1[[#This Row],[OS-Valor Unitario]]-Tabla1[[#This Row],[costo_antes_iva]]</f>
        <v>500</v>
      </c>
      <c r="U162" s="4">
        <f>Tabla1[[#This Row],[OS-Valor Unitario]]*Tabla1[[#This Row],[OS-Cantidad]]</f>
        <v>15000</v>
      </c>
      <c r="V162" s="4">
        <f>Tabla1[[#This Row],[costo_antes_iva]]*Tabla1[[#This Row],[OS-Cantidad]]</f>
        <v>13500</v>
      </c>
      <c r="W162" s="4">
        <f>Tabla1[[#This Row],[Valor total OS]]-Tabla1[[#This Row],[valor total op]]</f>
        <v>1500</v>
      </c>
    </row>
    <row r="163" spans="1:23" x14ac:dyDescent="0.3">
      <c r="A163">
        <v>6540</v>
      </c>
      <c r="B163">
        <v>6</v>
      </c>
      <c r="C163" t="s">
        <v>603</v>
      </c>
      <c r="D163" t="s">
        <v>604</v>
      </c>
      <c r="E163" t="s">
        <v>578</v>
      </c>
      <c r="F163" t="s">
        <v>35</v>
      </c>
      <c r="G163" s="2">
        <v>46051</v>
      </c>
      <c r="H163">
        <v>79234591</v>
      </c>
      <c r="I163" t="s">
        <v>605</v>
      </c>
      <c r="J163" t="s">
        <v>580</v>
      </c>
      <c r="K163" t="s">
        <v>25</v>
      </c>
      <c r="L163">
        <v>3</v>
      </c>
      <c r="M163">
        <v>3</v>
      </c>
      <c r="N163" t="s">
        <v>607</v>
      </c>
      <c r="O163" t="s">
        <v>39</v>
      </c>
      <c r="P163" t="s">
        <v>28</v>
      </c>
      <c r="Q163" s="4">
        <v>109989</v>
      </c>
      <c r="R163" s="4">
        <v>1500</v>
      </c>
      <c r="S163" s="4">
        <v>1500</v>
      </c>
      <c r="T163" s="4">
        <f>Tabla1[[#This Row],[OS-Valor Unitario]]-Tabla1[[#This Row],[costo_antes_iva]]</f>
        <v>0</v>
      </c>
      <c r="U163" s="4">
        <f>Tabla1[[#This Row],[OS-Valor Unitario]]*Tabla1[[#This Row],[OS-Cantidad]]</f>
        <v>4500</v>
      </c>
      <c r="V163" s="4">
        <f>Tabla1[[#This Row],[costo_antes_iva]]*Tabla1[[#This Row],[OS-Cantidad]]</f>
        <v>4500</v>
      </c>
      <c r="W163" s="4">
        <f>Tabla1[[#This Row],[Valor total OS]]-Tabla1[[#This Row],[valor total op]]</f>
        <v>0</v>
      </c>
    </row>
    <row r="164" spans="1:23" x14ac:dyDescent="0.3">
      <c r="A164">
        <v>6538</v>
      </c>
      <c r="B164">
        <v>1</v>
      </c>
      <c r="C164" t="s">
        <v>608</v>
      </c>
      <c r="D164" t="s">
        <v>609</v>
      </c>
      <c r="E164" t="s">
        <v>232</v>
      </c>
      <c r="F164" t="s">
        <v>35</v>
      </c>
      <c r="G164" s="2">
        <v>46051</v>
      </c>
      <c r="H164">
        <v>79233580</v>
      </c>
      <c r="I164" t="s">
        <v>610</v>
      </c>
      <c r="J164" t="s">
        <v>611</v>
      </c>
      <c r="K164" t="s">
        <v>60</v>
      </c>
      <c r="L164">
        <v>11</v>
      </c>
      <c r="M164">
        <v>11</v>
      </c>
      <c r="N164" t="s">
        <v>612</v>
      </c>
      <c r="O164" t="s">
        <v>39</v>
      </c>
      <c r="P164" t="s">
        <v>85</v>
      </c>
      <c r="Q164" s="4">
        <v>449383</v>
      </c>
      <c r="R164" s="4">
        <v>12500</v>
      </c>
      <c r="S164" s="4">
        <v>12000</v>
      </c>
      <c r="T164" s="4">
        <f>Tabla1[[#This Row],[OS-Valor Unitario]]-Tabla1[[#This Row],[costo_antes_iva]]</f>
        <v>-500</v>
      </c>
      <c r="U164" s="4">
        <f>Tabla1[[#This Row],[OS-Valor Unitario]]*Tabla1[[#This Row],[OS-Cantidad]]</f>
        <v>132000</v>
      </c>
      <c r="V164" s="4">
        <f>Tabla1[[#This Row],[costo_antes_iva]]*Tabla1[[#This Row],[OS-Cantidad]]</f>
        <v>137500</v>
      </c>
      <c r="W164" s="4">
        <f>Tabla1[[#This Row],[Valor total OS]]-Tabla1[[#This Row],[valor total op]]</f>
        <v>-5500</v>
      </c>
    </row>
    <row r="165" spans="1:23" x14ac:dyDescent="0.3">
      <c r="A165">
        <v>6538</v>
      </c>
      <c r="B165">
        <v>1</v>
      </c>
      <c r="C165" t="s">
        <v>608</v>
      </c>
      <c r="D165" t="s">
        <v>609</v>
      </c>
      <c r="E165" t="s">
        <v>232</v>
      </c>
      <c r="F165" t="s">
        <v>35</v>
      </c>
      <c r="G165" s="2">
        <v>46051</v>
      </c>
      <c r="H165">
        <v>79233580</v>
      </c>
      <c r="I165" t="s">
        <v>610</v>
      </c>
      <c r="J165" t="s">
        <v>611</v>
      </c>
      <c r="K165" t="s">
        <v>25</v>
      </c>
      <c r="L165">
        <v>11</v>
      </c>
      <c r="M165">
        <v>11</v>
      </c>
      <c r="N165" t="s">
        <v>613</v>
      </c>
      <c r="O165" t="s">
        <v>39</v>
      </c>
      <c r="P165" t="s">
        <v>85</v>
      </c>
      <c r="Q165" s="4">
        <v>449383</v>
      </c>
      <c r="R165" s="4">
        <v>1800</v>
      </c>
      <c r="S165" s="4">
        <v>2150</v>
      </c>
      <c r="T165" s="4">
        <f>Tabla1[[#This Row],[OS-Valor Unitario]]-Tabla1[[#This Row],[costo_antes_iva]]</f>
        <v>350</v>
      </c>
      <c r="U165" s="4">
        <f>Tabla1[[#This Row],[OS-Valor Unitario]]*Tabla1[[#This Row],[OS-Cantidad]]</f>
        <v>23650</v>
      </c>
      <c r="V165" s="4">
        <f>Tabla1[[#This Row],[costo_antes_iva]]*Tabla1[[#This Row],[OS-Cantidad]]</f>
        <v>19800</v>
      </c>
      <c r="W165" s="4">
        <f>Tabla1[[#This Row],[Valor total OS]]-Tabla1[[#This Row],[valor total op]]</f>
        <v>3850</v>
      </c>
    </row>
    <row r="166" spans="1:23" x14ac:dyDescent="0.3">
      <c r="A166">
        <v>6538</v>
      </c>
      <c r="B166">
        <v>2</v>
      </c>
      <c r="C166" t="s">
        <v>614</v>
      </c>
      <c r="D166" t="s">
        <v>615</v>
      </c>
      <c r="E166" t="s">
        <v>232</v>
      </c>
      <c r="F166" t="s">
        <v>35</v>
      </c>
      <c r="G166" s="2">
        <v>46051</v>
      </c>
      <c r="H166">
        <v>79233605</v>
      </c>
      <c r="I166" t="s">
        <v>616</v>
      </c>
      <c r="J166" t="s">
        <v>611</v>
      </c>
      <c r="K166" t="s">
        <v>60</v>
      </c>
      <c r="L166">
        <v>11</v>
      </c>
      <c r="M166">
        <v>11</v>
      </c>
      <c r="N166" t="s">
        <v>617</v>
      </c>
      <c r="O166" t="s">
        <v>39</v>
      </c>
      <c r="P166" t="s">
        <v>85</v>
      </c>
      <c r="Q166" s="4">
        <v>449383</v>
      </c>
      <c r="R166" s="4">
        <v>12500</v>
      </c>
      <c r="S166" s="4">
        <v>12000</v>
      </c>
      <c r="T166" s="4">
        <f>Tabla1[[#This Row],[OS-Valor Unitario]]-Tabla1[[#This Row],[costo_antes_iva]]</f>
        <v>-500</v>
      </c>
      <c r="U166" s="4">
        <f>Tabla1[[#This Row],[OS-Valor Unitario]]*Tabla1[[#This Row],[OS-Cantidad]]</f>
        <v>132000</v>
      </c>
      <c r="V166" s="4">
        <f>Tabla1[[#This Row],[costo_antes_iva]]*Tabla1[[#This Row],[OS-Cantidad]]</f>
        <v>137500</v>
      </c>
      <c r="W166" s="4">
        <f>Tabla1[[#This Row],[Valor total OS]]-Tabla1[[#This Row],[valor total op]]</f>
        <v>-5500</v>
      </c>
    </row>
    <row r="167" spans="1:23" x14ac:dyDescent="0.3">
      <c r="A167">
        <v>6538</v>
      </c>
      <c r="B167">
        <v>2</v>
      </c>
      <c r="C167" t="s">
        <v>614</v>
      </c>
      <c r="D167" t="s">
        <v>615</v>
      </c>
      <c r="E167" t="s">
        <v>232</v>
      </c>
      <c r="F167" t="s">
        <v>35</v>
      </c>
      <c r="G167" s="2">
        <v>46051</v>
      </c>
      <c r="H167">
        <v>79233605</v>
      </c>
      <c r="I167" t="s">
        <v>616</v>
      </c>
      <c r="J167" t="s">
        <v>611</v>
      </c>
      <c r="K167" t="s">
        <v>25</v>
      </c>
      <c r="L167">
        <v>11</v>
      </c>
      <c r="M167">
        <v>11</v>
      </c>
      <c r="N167" t="s">
        <v>618</v>
      </c>
      <c r="O167" t="s">
        <v>39</v>
      </c>
      <c r="P167" t="s">
        <v>85</v>
      </c>
      <c r="Q167" s="4">
        <v>449383</v>
      </c>
      <c r="R167" s="4">
        <v>1800</v>
      </c>
      <c r="S167" s="4">
        <v>2150</v>
      </c>
      <c r="T167" s="4">
        <f>Tabla1[[#This Row],[OS-Valor Unitario]]-Tabla1[[#This Row],[costo_antes_iva]]</f>
        <v>350</v>
      </c>
      <c r="U167" s="4">
        <f>Tabla1[[#This Row],[OS-Valor Unitario]]*Tabla1[[#This Row],[OS-Cantidad]]</f>
        <v>23650</v>
      </c>
      <c r="V167" s="4">
        <f>Tabla1[[#This Row],[costo_antes_iva]]*Tabla1[[#This Row],[OS-Cantidad]]</f>
        <v>19800</v>
      </c>
      <c r="W167" s="4">
        <f>Tabla1[[#This Row],[Valor total OS]]-Tabla1[[#This Row],[valor total op]]</f>
        <v>3850</v>
      </c>
    </row>
    <row r="168" spans="1:23" x14ac:dyDescent="0.3">
      <c r="A168">
        <v>6534</v>
      </c>
      <c r="B168">
        <v>1</v>
      </c>
      <c r="C168" t="s">
        <v>619</v>
      </c>
      <c r="D168" t="s">
        <v>620</v>
      </c>
      <c r="E168" t="s">
        <v>96</v>
      </c>
      <c r="F168" t="s">
        <v>621</v>
      </c>
      <c r="G168" s="2">
        <v>46051</v>
      </c>
      <c r="H168">
        <v>79197797</v>
      </c>
      <c r="I168" t="s">
        <v>622</v>
      </c>
      <c r="J168" t="s">
        <v>623</v>
      </c>
      <c r="K168" t="s">
        <v>60</v>
      </c>
      <c r="L168">
        <v>100</v>
      </c>
      <c r="M168">
        <v>100</v>
      </c>
      <c r="N168" t="s">
        <v>624</v>
      </c>
      <c r="O168" t="s">
        <v>84</v>
      </c>
      <c r="P168" t="s">
        <v>28</v>
      </c>
      <c r="Q168" s="4">
        <v>3686100</v>
      </c>
      <c r="R168" s="4">
        <v>6000</v>
      </c>
      <c r="S168" s="4">
        <v>5000</v>
      </c>
      <c r="T168" s="4">
        <f>Tabla1[[#This Row],[OS-Valor Unitario]]-Tabla1[[#This Row],[costo_antes_iva]]</f>
        <v>-1000</v>
      </c>
      <c r="U168" s="4">
        <f>Tabla1[[#This Row],[OS-Valor Unitario]]*Tabla1[[#This Row],[OS-Cantidad]]</f>
        <v>500000</v>
      </c>
      <c r="V168" s="4">
        <f>Tabla1[[#This Row],[costo_antes_iva]]*Tabla1[[#This Row],[OS-Cantidad]]</f>
        <v>600000</v>
      </c>
      <c r="W168" s="4">
        <f>Tabla1[[#This Row],[Valor total OS]]-Tabla1[[#This Row],[valor total op]]</f>
        <v>-100000</v>
      </c>
    </row>
    <row r="169" spans="1:23" x14ac:dyDescent="0.3">
      <c r="A169">
        <v>6533</v>
      </c>
      <c r="B169">
        <v>1</v>
      </c>
      <c r="C169" t="s">
        <v>625</v>
      </c>
      <c r="D169" t="s">
        <v>626</v>
      </c>
      <c r="E169" t="s">
        <v>79</v>
      </c>
      <c r="F169" t="s">
        <v>80</v>
      </c>
      <c r="G169" s="2">
        <v>46050</v>
      </c>
      <c r="H169">
        <v>79196499</v>
      </c>
      <c r="I169" t="s">
        <v>627</v>
      </c>
      <c r="J169" t="s">
        <v>628</v>
      </c>
      <c r="K169" t="s">
        <v>25</v>
      </c>
      <c r="L169">
        <v>3907</v>
      </c>
      <c r="M169">
        <v>3953</v>
      </c>
      <c r="N169" t="s">
        <v>629</v>
      </c>
      <c r="O169" t="s">
        <v>84</v>
      </c>
      <c r="P169" t="s">
        <v>85</v>
      </c>
      <c r="Q169" s="4">
        <v>130064030</v>
      </c>
      <c r="R169" s="4">
        <v>750</v>
      </c>
      <c r="S169" s="4">
        <v>900</v>
      </c>
      <c r="T169" s="4">
        <f>Tabla1[[#This Row],[OS-Valor Unitario]]-Tabla1[[#This Row],[costo_antes_iva]]</f>
        <v>150</v>
      </c>
      <c r="U169" s="4">
        <f>Tabla1[[#This Row],[OS-Valor Unitario]]*Tabla1[[#This Row],[OS-Cantidad]]</f>
        <v>3557700</v>
      </c>
      <c r="V169" s="4">
        <f>Tabla1[[#This Row],[costo_antes_iva]]*Tabla1[[#This Row],[OS-Cantidad]]</f>
        <v>2964750</v>
      </c>
      <c r="W169" s="4">
        <f>Tabla1[[#This Row],[Valor total OS]]-Tabla1[[#This Row],[valor total op]]</f>
        <v>592950</v>
      </c>
    </row>
    <row r="170" spans="1:23" x14ac:dyDescent="0.3">
      <c r="A170">
        <v>6533</v>
      </c>
      <c r="B170">
        <v>2</v>
      </c>
      <c r="C170" t="s">
        <v>630</v>
      </c>
      <c r="D170" t="s">
        <v>631</v>
      </c>
      <c r="E170" t="s">
        <v>396</v>
      </c>
      <c r="F170" t="s">
        <v>80</v>
      </c>
      <c r="G170" s="2">
        <v>46050</v>
      </c>
      <c r="H170">
        <v>79196515</v>
      </c>
      <c r="I170" t="s">
        <v>632</v>
      </c>
      <c r="J170" t="s">
        <v>628</v>
      </c>
      <c r="K170" t="s">
        <v>60</v>
      </c>
      <c r="L170">
        <v>1561</v>
      </c>
      <c r="M170">
        <v>1161</v>
      </c>
      <c r="N170" t="s">
        <v>633</v>
      </c>
      <c r="O170" t="s">
        <v>84</v>
      </c>
      <c r="P170" t="s">
        <v>72</v>
      </c>
      <c r="Q170" s="4">
        <v>51238264</v>
      </c>
      <c r="R170" s="4">
        <v>8167</v>
      </c>
      <c r="S170" s="4">
        <v>8827.7347114556414</v>
      </c>
      <c r="T170" s="4">
        <f>Tabla1[[#This Row],[OS-Valor Unitario]]-Tabla1[[#This Row],[costo_antes_iva]]</f>
        <v>660.73471145564145</v>
      </c>
      <c r="U170" s="4">
        <f>Tabla1[[#This Row],[OS-Valor Unitario]]*Tabla1[[#This Row],[OS-Cantidad]]</f>
        <v>10249000</v>
      </c>
      <c r="V170" s="4">
        <f>Tabla1[[#This Row],[costo_antes_iva]]*Tabla1[[#This Row],[OS-Cantidad]]</f>
        <v>9481887</v>
      </c>
      <c r="W170" s="4">
        <f>Tabla1[[#This Row],[Valor total OS]]-Tabla1[[#This Row],[valor total op]]</f>
        <v>767113</v>
      </c>
    </row>
    <row r="171" spans="1:23" x14ac:dyDescent="0.3">
      <c r="A171">
        <v>6533</v>
      </c>
      <c r="B171">
        <v>3</v>
      </c>
      <c r="C171" t="s">
        <v>634</v>
      </c>
      <c r="D171" t="s">
        <v>635</v>
      </c>
      <c r="E171" t="s">
        <v>396</v>
      </c>
      <c r="F171" t="s">
        <v>80</v>
      </c>
      <c r="G171" s="2">
        <v>46050</v>
      </c>
      <c r="H171">
        <v>79196523</v>
      </c>
      <c r="I171" t="s">
        <v>636</v>
      </c>
      <c r="J171" t="s">
        <v>628</v>
      </c>
      <c r="K171" t="s">
        <v>60</v>
      </c>
      <c r="L171">
        <v>866</v>
      </c>
      <c r="M171">
        <v>1390</v>
      </c>
      <c r="N171" t="s">
        <v>637</v>
      </c>
      <c r="O171" t="s">
        <v>84</v>
      </c>
      <c r="P171" t="s">
        <v>72</v>
      </c>
      <c r="Q171" s="4">
        <v>28298282</v>
      </c>
      <c r="R171" s="4">
        <v>8143</v>
      </c>
      <c r="S171" s="4">
        <v>8091.8669064748201</v>
      </c>
      <c r="T171" s="4">
        <f>Tabla1[[#This Row],[OS-Valor Unitario]]-Tabla1[[#This Row],[costo_antes_iva]]</f>
        <v>-51.133093525179902</v>
      </c>
      <c r="U171" s="4">
        <f>Tabla1[[#This Row],[OS-Valor Unitario]]*Tabla1[[#This Row],[OS-Cantidad]]</f>
        <v>11247695</v>
      </c>
      <c r="V171" s="4">
        <f>Tabla1[[#This Row],[costo_antes_iva]]*Tabla1[[#This Row],[OS-Cantidad]]</f>
        <v>11318770</v>
      </c>
      <c r="W171" s="4">
        <f>Tabla1[[#This Row],[Valor total OS]]-Tabla1[[#This Row],[valor total op]]</f>
        <v>-71075</v>
      </c>
    </row>
    <row r="172" spans="1:23" x14ac:dyDescent="0.3">
      <c r="A172">
        <v>6533</v>
      </c>
      <c r="B172">
        <v>4</v>
      </c>
      <c r="C172" t="s">
        <v>638</v>
      </c>
      <c r="D172" t="s">
        <v>639</v>
      </c>
      <c r="E172" t="s">
        <v>79</v>
      </c>
      <c r="F172" t="s">
        <v>80</v>
      </c>
      <c r="G172" s="2">
        <v>46050</v>
      </c>
      <c r="H172">
        <v>79196531</v>
      </c>
      <c r="I172" t="s">
        <v>640</v>
      </c>
      <c r="J172" t="s">
        <v>628</v>
      </c>
      <c r="K172" t="s">
        <v>25</v>
      </c>
      <c r="L172">
        <v>4820</v>
      </c>
      <c r="M172">
        <v>4934</v>
      </c>
      <c r="N172" t="s">
        <v>641</v>
      </c>
      <c r="O172" t="s">
        <v>84</v>
      </c>
      <c r="P172" t="s">
        <v>85</v>
      </c>
      <c r="Q172" s="4">
        <v>158746700</v>
      </c>
      <c r="R172" s="4">
        <v>750</v>
      </c>
      <c r="S172" s="4">
        <v>921.28090798540734</v>
      </c>
      <c r="T172" s="4">
        <f>Tabla1[[#This Row],[OS-Valor Unitario]]-Tabla1[[#This Row],[costo_antes_iva]]</f>
        <v>171.28090798540734</v>
      </c>
      <c r="U172" s="4">
        <f>Tabla1[[#This Row],[OS-Valor Unitario]]*Tabla1[[#This Row],[OS-Cantidad]]</f>
        <v>4545600</v>
      </c>
      <c r="V172" s="4">
        <f>Tabla1[[#This Row],[costo_antes_iva]]*Tabla1[[#This Row],[OS-Cantidad]]</f>
        <v>3700500</v>
      </c>
      <c r="W172" s="4">
        <f>Tabla1[[#This Row],[Valor total OS]]-Tabla1[[#This Row],[valor total op]]</f>
        <v>845100</v>
      </c>
    </row>
    <row r="173" spans="1:23" x14ac:dyDescent="0.3">
      <c r="A173">
        <v>6533</v>
      </c>
      <c r="B173">
        <v>6</v>
      </c>
      <c r="C173" t="s">
        <v>642</v>
      </c>
      <c r="D173" t="s">
        <v>643</v>
      </c>
      <c r="E173" t="s">
        <v>79</v>
      </c>
      <c r="F173" t="s">
        <v>80</v>
      </c>
      <c r="G173" s="2">
        <v>46050</v>
      </c>
      <c r="H173">
        <v>79196547</v>
      </c>
      <c r="I173" t="s">
        <v>644</v>
      </c>
      <c r="J173" t="s">
        <v>628</v>
      </c>
      <c r="K173" t="s">
        <v>25</v>
      </c>
      <c r="L173">
        <v>39</v>
      </c>
      <c r="M173">
        <v>41</v>
      </c>
      <c r="N173" t="s">
        <v>645</v>
      </c>
      <c r="O173" t="s">
        <v>84</v>
      </c>
      <c r="P173" t="s">
        <v>85</v>
      </c>
      <c r="Q173" s="4">
        <v>1417611</v>
      </c>
      <c r="R173" s="4">
        <v>750</v>
      </c>
      <c r="S173" s="4">
        <v>900</v>
      </c>
      <c r="T173" s="4">
        <f>Tabla1[[#This Row],[OS-Valor Unitario]]-Tabla1[[#This Row],[costo_antes_iva]]</f>
        <v>150</v>
      </c>
      <c r="U173" s="4">
        <f>Tabla1[[#This Row],[OS-Valor Unitario]]*Tabla1[[#This Row],[OS-Cantidad]]</f>
        <v>36900</v>
      </c>
      <c r="V173" s="4">
        <f>Tabla1[[#This Row],[costo_antes_iva]]*Tabla1[[#This Row],[OS-Cantidad]]</f>
        <v>30750</v>
      </c>
      <c r="W173" s="4">
        <f>Tabla1[[#This Row],[Valor total OS]]-Tabla1[[#This Row],[valor total op]]</f>
        <v>6150</v>
      </c>
    </row>
    <row r="174" spans="1:23" x14ac:dyDescent="0.3">
      <c r="A174">
        <v>6533</v>
      </c>
      <c r="B174">
        <v>7</v>
      </c>
      <c r="C174" t="s">
        <v>646</v>
      </c>
      <c r="D174" t="s">
        <v>647</v>
      </c>
      <c r="E174" t="s">
        <v>396</v>
      </c>
      <c r="F174" t="s">
        <v>80</v>
      </c>
      <c r="G174" s="2">
        <v>46050</v>
      </c>
      <c r="H174">
        <v>79196554</v>
      </c>
      <c r="I174" t="s">
        <v>648</v>
      </c>
      <c r="J174" t="s">
        <v>628</v>
      </c>
      <c r="K174" t="s">
        <v>60</v>
      </c>
      <c r="L174">
        <v>1795</v>
      </c>
      <c r="M174">
        <v>1395</v>
      </c>
      <c r="N174" t="s">
        <v>649</v>
      </c>
      <c r="O174" t="s">
        <v>84</v>
      </c>
      <c r="P174" t="s">
        <v>72</v>
      </c>
      <c r="Q174" s="4">
        <v>58854460</v>
      </c>
      <c r="R174" s="4">
        <v>8125</v>
      </c>
      <c r="S174" s="4">
        <v>8856.6308243727599</v>
      </c>
      <c r="T174" s="4">
        <f>Tabla1[[#This Row],[OS-Valor Unitario]]-Tabla1[[#This Row],[costo_antes_iva]]</f>
        <v>731.63082437275989</v>
      </c>
      <c r="U174" s="4">
        <f>Tabla1[[#This Row],[OS-Valor Unitario]]*Tabla1[[#This Row],[OS-Cantidad]]</f>
        <v>12355000</v>
      </c>
      <c r="V174" s="4">
        <f>Tabla1[[#This Row],[costo_antes_iva]]*Tabla1[[#This Row],[OS-Cantidad]]</f>
        <v>11334375</v>
      </c>
      <c r="W174" s="4">
        <f>Tabla1[[#This Row],[Valor total OS]]-Tabla1[[#This Row],[valor total op]]</f>
        <v>1020625</v>
      </c>
    </row>
    <row r="175" spans="1:23" x14ac:dyDescent="0.3">
      <c r="A175">
        <v>6533</v>
      </c>
      <c r="B175">
        <v>8</v>
      </c>
      <c r="C175" t="s">
        <v>650</v>
      </c>
      <c r="D175" t="s">
        <v>651</v>
      </c>
      <c r="E175" t="s">
        <v>396</v>
      </c>
      <c r="F175" t="s">
        <v>80</v>
      </c>
      <c r="G175" s="2">
        <v>46050</v>
      </c>
      <c r="H175">
        <v>79196561</v>
      </c>
      <c r="I175" t="s">
        <v>652</v>
      </c>
      <c r="J175" t="s">
        <v>628</v>
      </c>
      <c r="K175" t="s">
        <v>60</v>
      </c>
      <c r="L175">
        <v>1310</v>
      </c>
      <c r="M175">
        <v>2051</v>
      </c>
      <c r="N175" t="s">
        <v>653</v>
      </c>
      <c r="O175" t="s">
        <v>84</v>
      </c>
      <c r="P175" t="s">
        <v>72</v>
      </c>
      <c r="Q175" s="4">
        <v>43343970</v>
      </c>
      <c r="R175" s="4">
        <v>8188</v>
      </c>
      <c r="S175" s="4">
        <v>8121.9366162847391</v>
      </c>
      <c r="T175" s="4">
        <f>Tabla1[[#This Row],[OS-Valor Unitario]]-Tabla1[[#This Row],[costo_antes_iva]]</f>
        <v>-66.063383715260898</v>
      </c>
      <c r="U175" s="4">
        <f>Tabla1[[#This Row],[OS-Valor Unitario]]*Tabla1[[#This Row],[OS-Cantidad]]</f>
        <v>16658092</v>
      </c>
      <c r="V175" s="4">
        <f>Tabla1[[#This Row],[costo_antes_iva]]*Tabla1[[#This Row],[OS-Cantidad]]</f>
        <v>16793588</v>
      </c>
      <c r="W175" s="4">
        <f>Tabla1[[#This Row],[Valor total OS]]-Tabla1[[#This Row],[valor total op]]</f>
        <v>-135496</v>
      </c>
    </row>
    <row r="176" spans="1:23" x14ac:dyDescent="0.3">
      <c r="A176">
        <v>6529</v>
      </c>
      <c r="B176">
        <v>1</v>
      </c>
      <c r="C176" t="s">
        <v>654</v>
      </c>
      <c r="D176" t="s">
        <v>655</v>
      </c>
      <c r="E176" t="s">
        <v>454</v>
      </c>
      <c r="F176" t="s">
        <v>656</v>
      </c>
      <c r="G176" s="2">
        <v>46049</v>
      </c>
      <c r="H176">
        <v>79110649</v>
      </c>
      <c r="I176" t="s">
        <v>657</v>
      </c>
      <c r="J176" t="s">
        <v>658</v>
      </c>
      <c r="K176" t="s">
        <v>60</v>
      </c>
      <c r="L176">
        <v>75</v>
      </c>
      <c r="M176">
        <v>76</v>
      </c>
      <c r="N176" t="s">
        <v>659</v>
      </c>
      <c r="O176" t="s">
        <v>660</v>
      </c>
      <c r="P176" t="s">
        <v>127</v>
      </c>
      <c r="Q176" s="4">
        <v>1127175</v>
      </c>
      <c r="R176" s="4">
        <v>6000</v>
      </c>
      <c r="S176" s="4">
        <v>4000</v>
      </c>
      <c r="T176" s="4">
        <f>Tabla1[[#This Row],[OS-Valor Unitario]]-Tabla1[[#This Row],[costo_antes_iva]]</f>
        <v>-2000</v>
      </c>
      <c r="U176" s="4">
        <f>Tabla1[[#This Row],[OS-Valor Unitario]]*Tabla1[[#This Row],[OS-Cantidad]]</f>
        <v>304000</v>
      </c>
      <c r="V176" s="4">
        <f>Tabla1[[#This Row],[costo_antes_iva]]*Tabla1[[#This Row],[OS-Cantidad]]</f>
        <v>456000</v>
      </c>
      <c r="W176" s="4">
        <f>Tabla1[[#This Row],[Valor total OS]]-Tabla1[[#This Row],[valor total op]]</f>
        <v>-152000</v>
      </c>
    </row>
    <row r="177" spans="1:23" x14ac:dyDescent="0.3">
      <c r="A177">
        <v>6528</v>
      </c>
      <c r="B177">
        <v>1</v>
      </c>
      <c r="C177" t="s">
        <v>661</v>
      </c>
      <c r="D177" t="s">
        <v>662</v>
      </c>
      <c r="E177" t="s">
        <v>396</v>
      </c>
      <c r="F177" t="s">
        <v>656</v>
      </c>
      <c r="G177" s="2">
        <v>46049</v>
      </c>
      <c r="H177">
        <v>79110026</v>
      </c>
      <c r="I177" t="s">
        <v>663</v>
      </c>
      <c r="J177" t="s">
        <v>664</v>
      </c>
      <c r="K177" t="s">
        <v>665</v>
      </c>
      <c r="L177">
        <v>136</v>
      </c>
      <c r="M177">
        <v>136</v>
      </c>
      <c r="N177" t="s">
        <v>666</v>
      </c>
      <c r="O177" t="s">
        <v>660</v>
      </c>
      <c r="P177" t="s">
        <v>72</v>
      </c>
      <c r="Q177" s="4">
        <v>4210424</v>
      </c>
      <c r="R177" s="4">
        <v>1500</v>
      </c>
      <c r="S177" s="4">
        <v>1600</v>
      </c>
      <c r="T177" s="4">
        <f>Tabla1[[#This Row],[OS-Valor Unitario]]-Tabla1[[#This Row],[costo_antes_iva]]</f>
        <v>100</v>
      </c>
      <c r="U177" s="4">
        <f>Tabla1[[#This Row],[OS-Valor Unitario]]*Tabla1[[#This Row],[OS-Cantidad]]</f>
        <v>217600</v>
      </c>
      <c r="V177" s="4">
        <f>Tabla1[[#This Row],[costo_antes_iva]]*Tabla1[[#This Row],[OS-Cantidad]]</f>
        <v>204000</v>
      </c>
      <c r="W177" s="4">
        <f>Tabla1[[#This Row],[Valor total OS]]-Tabla1[[#This Row],[valor total op]]</f>
        <v>13600</v>
      </c>
    </row>
    <row r="178" spans="1:23" x14ac:dyDescent="0.3">
      <c r="A178">
        <v>6528</v>
      </c>
      <c r="B178">
        <v>1</v>
      </c>
      <c r="C178" t="s">
        <v>661</v>
      </c>
      <c r="D178" t="s">
        <v>662</v>
      </c>
      <c r="E178" t="s">
        <v>396</v>
      </c>
      <c r="F178" t="s">
        <v>656</v>
      </c>
      <c r="G178" s="2">
        <v>46049</v>
      </c>
      <c r="H178">
        <v>79110026</v>
      </c>
      <c r="I178" t="s">
        <v>663</v>
      </c>
      <c r="J178" t="s">
        <v>664</v>
      </c>
      <c r="K178" t="s">
        <v>60</v>
      </c>
      <c r="L178">
        <v>136</v>
      </c>
      <c r="M178">
        <v>136</v>
      </c>
      <c r="N178" t="s">
        <v>667</v>
      </c>
      <c r="O178" t="s">
        <v>660</v>
      </c>
      <c r="P178" t="s">
        <v>72</v>
      </c>
      <c r="Q178" s="4">
        <v>4210424</v>
      </c>
      <c r="R178" s="4">
        <v>9000</v>
      </c>
      <c r="S178" s="4">
        <v>9000</v>
      </c>
      <c r="T178" s="4">
        <f>Tabla1[[#This Row],[OS-Valor Unitario]]-Tabla1[[#This Row],[costo_antes_iva]]</f>
        <v>0</v>
      </c>
      <c r="U178" s="4">
        <f>Tabla1[[#This Row],[OS-Valor Unitario]]*Tabla1[[#This Row],[OS-Cantidad]]</f>
        <v>1224000</v>
      </c>
      <c r="V178" s="4">
        <f>Tabla1[[#This Row],[costo_antes_iva]]*Tabla1[[#This Row],[OS-Cantidad]]</f>
        <v>1224000</v>
      </c>
      <c r="W178" s="4">
        <f>Tabla1[[#This Row],[Valor total OS]]-Tabla1[[#This Row],[valor total op]]</f>
        <v>0</v>
      </c>
    </row>
    <row r="179" spans="1:23" x14ac:dyDescent="0.3">
      <c r="A179">
        <v>6527</v>
      </c>
      <c r="B179">
        <v>1</v>
      </c>
      <c r="C179" t="s">
        <v>668</v>
      </c>
      <c r="D179" t="s">
        <v>669</v>
      </c>
      <c r="E179" t="s">
        <v>79</v>
      </c>
      <c r="F179" t="s">
        <v>670</v>
      </c>
      <c r="G179" s="2">
        <v>46049</v>
      </c>
      <c r="H179">
        <v>79104810</v>
      </c>
      <c r="I179" t="s">
        <v>671</v>
      </c>
      <c r="J179" t="s">
        <v>672</v>
      </c>
      <c r="K179" t="s">
        <v>25</v>
      </c>
      <c r="L179">
        <v>60</v>
      </c>
      <c r="M179">
        <v>225</v>
      </c>
      <c r="N179" t="s">
        <v>673</v>
      </c>
      <c r="O179" t="s">
        <v>27</v>
      </c>
      <c r="P179" t="s">
        <v>85</v>
      </c>
      <c r="Q179" s="4">
        <v>164820</v>
      </c>
      <c r="R179" s="4">
        <v>1400</v>
      </c>
      <c r="S179" s="4">
        <v>1300</v>
      </c>
      <c r="T179" s="4">
        <f>Tabla1[[#This Row],[OS-Valor Unitario]]-Tabla1[[#This Row],[costo_antes_iva]]</f>
        <v>-100</v>
      </c>
      <c r="U179" s="4">
        <f>Tabla1[[#This Row],[OS-Valor Unitario]]*Tabla1[[#This Row],[OS-Cantidad]]</f>
        <v>292500</v>
      </c>
      <c r="V179" s="4">
        <f>Tabla1[[#This Row],[costo_antes_iva]]*Tabla1[[#This Row],[OS-Cantidad]]</f>
        <v>315000</v>
      </c>
      <c r="W179" s="4">
        <f>Tabla1[[#This Row],[Valor total OS]]-Tabla1[[#This Row],[valor total op]]</f>
        <v>-22500</v>
      </c>
    </row>
    <row r="180" spans="1:23" x14ac:dyDescent="0.3">
      <c r="A180">
        <v>6526</v>
      </c>
      <c r="B180">
        <v>1</v>
      </c>
      <c r="C180" t="s">
        <v>674</v>
      </c>
      <c r="D180" t="s">
        <v>675</v>
      </c>
      <c r="E180" t="s">
        <v>676</v>
      </c>
      <c r="F180" t="s">
        <v>122</v>
      </c>
      <c r="G180" s="2">
        <v>46048</v>
      </c>
      <c r="H180">
        <v>79054350</v>
      </c>
      <c r="I180" t="s">
        <v>677</v>
      </c>
      <c r="J180" t="s">
        <v>678</v>
      </c>
      <c r="K180" t="s">
        <v>170</v>
      </c>
      <c r="L180">
        <v>36</v>
      </c>
      <c r="M180">
        <v>36</v>
      </c>
      <c r="N180" t="s">
        <v>679</v>
      </c>
      <c r="O180" t="s">
        <v>126</v>
      </c>
      <c r="P180" t="s">
        <v>169</v>
      </c>
      <c r="Q180" s="4">
        <v>1905804</v>
      </c>
      <c r="R180" s="4">
        <v>1600</v>
      </c>
      <c r="S180" s="4">
        <v>1600</v>
      </c>
      <c r="T180" s="4">
        <f>Tabla1[[#This Row],[OS-Valor Unitario]]-Tabla1[[#This Row],[costo_antes_iva]]</f>
        <v>0</v>
      </c>
      <c r="U180" s="4">
        <f>Tabla1[[#This Row],[OS-Valor Unitario]]*Tabla1[[#This Row],[OS-Cantidad]]</f>
        <v>57600</v>
      </c>
      <c r="V180" s="4">
        <f>Tabla1[[#This Row],[costo_antes_iva]]*Tabla1[[#This Row],[OS-Cantidad]]</f>
        <v>57600</v>
      </c>
      <c r="W180" s="4">
        <f>Tabla1[[#This Row],[Valor total OS]]-Tabla1[[#This Row],[valor total op]]</f>
        <v>0</v>
      </c>
    </row>
    <row r="181" spans="1:23" x14ac:dyDescent="0.3">
      <c r="A181">
        <v>6526</v>
      </c>
      <c r="B181">
        <v>1</v>
      </c>
      <c r="C181" t="s">
        <v>674</v>
      </c>
      <c r="D181" t="s">
        <v>675</v>
      </c>
      <c r="E181" t="s">
        <v>676</v>
      </c>
      <c r="F181" t="s">
        <v>122</v>
      </c>
      <c r="G181" s="2">
        <v>46048</v>
      </c>
      <c r="H181">
        <v>79054350</v>
      </c>
      <c r="I181" t="s">
        <v>677</v>
      </c>
      <c r="J181" t="s">
        <v>678</v>
      </c>
      <c r="K181" t="s">
        <v>60</v>
      </c>
      <c r="L181">
        <v>36</v>
      </c>
      <c r="M181">
        <v>36</v>
      </c>
      <c r="N181" t="s">
        <v>680</v>
      </c>
      <c r="O181" t="s">
        <v>126</v>
      </c>
      <c r="P181" t="s">
        <v>169</v>
      </c>
      <c r="Q181" s="4">
        <v>1905804</v>
      </c>
      <c r="R181" s="4">
        <v>13000</v>
      </c>
      <c r="S181" s="4">
        <v>13500</v>
      </c>
      <c r="T181" s="4">
        <f>Tabla1[[#This Row],[OS-Valor Unitario]]-Tabla1[[#This Row],[costo_antes_iva]]</f>
        <v>500</v>
      </c>
      <c r="U181" s="4">
        <f>Tabla1[[#This Row],[OS-Valor Unitario]]*Tabla1[[#This Row],[OS-Cantidad]]</f>
        <v>486000</v>
      </c>
      <c r="V181" s="4">
        <f>Tabla1[[#This Row],[costo_antes_iva]]*Tabla1[[#This Row],[OS-Cantidad]]</f>
        <v>468000</v>
      </c>
      <c r="W181" s="4">
        <f>Tabla1[[#This Row],[Valor total OS]]-Tabla1[[#This Row],[valor total op]]</f>
        <v>18000</v>
      </c>
    </row>
    <row r="182" spans="1:23" x14ac:dyDescent="0.3">
      <c r="A182">
        <v>6524</v>
      </c>
      <c r="B182">
        <v>1</v>
      </c>
      <c r="C182" t="s">
        <v>681</v>
      </c>
      <c r="D182" t="s">
        <v>682</v>
      </c>
      <c r="E182" t="s">
        <v>683</v>
      </c>
      <c r="F182" t="s">
        <v>35</v>
      </c>
      <c r="G182" s="2">
        <v>46045</v>
      </c>
      <c r="H182">
        <v>78935301</v>
      </c>
      <c r="I182" t="s">
        <v>684</v>
      </c>
      <c r="J182" t="s">
        <v>685</v>
      </c>
      <c r="K182" t="s">
        <v>60</v>
      </c>
      <c r="L182">
        <v>12</v>
      </c>
      <c r="M182">
        <v>12</v>
      </c>
      <c r="N182" t="s">
        <v>686</v>
      </c>
      <c r="O182" t="s">
        <v>39</v>
      </c>
      <c r="P182" t="s">
        <v>28</v>
      </c>
      <c r="Q182" s="4">
        <v>382596</v>
      </c>
      <c r="R182" s="4">
        <v>6000</v>
      </c>
      <c r="S182" s="4">
        <v>5000</v>
      </c>
      <c r="T182" s="4">
        <f>Tabla1[[#This Row],[OS-Valor Unitario]]-Tabla1[[#This Row],[costo_antes_iva]]</f>
        <v>-1000</v>
      </c>
      <c r="U182" s="4">
        <f>Tabla1[[#This Row],[OS-Valor Unitario]]*Tabla1[[#This Row],[OS-Cantidad]]</f>
        <v>60000</v>
      </c>
      <c r="V182" s="4">
        <f>Tabla1[[#This Row],[costo_antes_iva]]*Tabla1[[#This Row],[OS-Cantidad]]</f>
        <v>72000</v>
      </c>
      <c r="W182" s="4">
        <f>Tabla1[[#This Row],[Valor total OS]]-Tabla1[[#This Row],[valor total op]]</f>
        <v>-12000</v>
      </c>
    </row>
    <row r="183" spans="1:23" x14ac:dyDescent="0.3">
      <c r="A183">
        <v>6524</v>
      </c>
      <c r="B183">
        <v>2</v>
      </c>
      <c r="C183" t="s">
        <v>687</v>
      </c>
      <c r="D183" t="s">
        <v>688</v>
      </c>
      <c r="E183" t="s">
        <v>396</v>
      </c>
      <c r="F183" t="s">
        <v>35</v>
      </c>
      <c r="G183" s="2">
        <v>46045</v>
      </c>
      <c r="H183">
        <v>78935758</v>
      </c>
      <c r="I183" t="s">
        <v>689</v>
      </c>
      <c r="J183" t="s">
        <v>685</v>
      </c>
      <c r="K183" t="s">
        <v>60</v>
      </c>
      <c r="L183">
        <v>30</v>
      </c>
      <c r="M183">
        <v>30</v>
      </c>
      <c r="N183" t="s">
        <v>690</v>
      </c>
      <c r="O183" t="s">
        <v>39</v>
      </c>
      <c r="P183" t="s">
        <v>72</v>
      </c>
      <c r="Q183" s="4">
        <v>964110</v>
      </c>
      <c r="R183" s="4">
        <v>4500</v>
      </c>
      <c r="S183" s="4">
        <v>5500</v>
      </c>
      <c r="T183" s="4">
        <f>Tabla1[[#This Row],[OS-Valor Unitario]]-Tabla1[[#This Row],[costo_antes_iva]]</f>
        <v>1000</v>
      </c>
      <c r="U183" s="4">
        <f>Tabla1[[#This Row],[OS-Valor Unitario]]*Tabla1[[#This Row],[OS-Cantidad]]</f>
        <v>165000</v>
      </c>
      <c r="V183" s="4">
        <f>Tabla1[[#This Row],[costo_antes_iva]]*Tabla1[[#This Row],[OS-Cantidad]]</f>
        <v>135000</v>
      </c>
      <c r="W183" s="4">
        <f>Tabla1[[#This Row],[Valor total OS]]-Tabla1[[#This Row],[valor total op]]</f>
        <v>30000</v>
      </c>
    </row>
    <row r="184" spans="1:23" x14ac:dyDescent="0.3">
      <c r="A184">
        <v>6524</v>
      </c>
      <c r="B184">
        <v>2</v>
      </c>
      <c r="C184" t="s">
        <v>687</v>
      </c>
      <c r="D184" t="s">
        <v>688</v>
      </c>
      <c r="E184" t="s">
        <v>396</v>
      </c>
      <c r="F184" t="s">
        <v>35</v>
      </c>
      <c r="G184" s="2">
        <v>46045</v>
      </c>
      <c r="H184">
        <v>78935758</v>
      </c>
      <c r="I184" t="s">
        <v>689</v>
      </c>
      <c r="J184" t="s">
        <v>685</v>
      </c>
      <c r="K184" t="s">
        <v>25</v>
      </c>
      <c r="L184">
        <v>30</v>
      </c>
      <c r="M184">
        <v>30</v>
      </c>
      <c r="N184" t="s">
        <v>691</v>
      </c>
      <c r="O184" t="s">
        <v>39</v>
      </c>
      <c r="P184" t="s">
        <v>72</v>
      </c>
      <c r="Q184" s="4">
        <v>964110</v>
      </c>
      <c r="R184" s="4">
        <v>700</v>
      </c>
      <c r="S184" s="4">
        <v>700</v>
      </c>
      <c r="T184" s="4">
        <f>Tabla1[[#This Row],[OS-Valor Unitario]]-Tabla1[[#This Row],[costo_antes_iva]]</f>
        <v>0</v>
      </c>
      <c r="U184" s="4">
        <f>Tabla1[[#This Row],[OS-Valor Unitario]]*Tabla1[[#This Row],[OS-Cantidad]]</f>
        <v>21000</v>
      </c>
      <c r="V184" s="4">
        <f>Tabla1[[#This Row],[costo_antes_iva]]*Tabla1[[#This Row],[OS-Cantidad]]</f>
        <v>21000</v>
      </c>
      <c r="W184" s="4">
        <f>Tabla1[[#This Row],[Valor total OS]]-Tabla1[[#This Row],[valor total op]]</f>
        <v>0</v>
      </c>
    </row>
    <row r="185" spans="1:23" x14ac:dyDescent="0.3">
      <c r="A185">
        <v>6524</v>
      </c>
      <c r="B185">
        <v>3</v>
      </c>
      <c r="C185" t="s">
        <v>692</v>
      </c>
      <c r="D185" t="s">
        <v>693</v>
      </c>
      <c r="E185" t="s">
        <v>197</v>
      </c>
      <c r="F185" t="s">
        <v>35</v>
      </c>
      <c r="G185" s="2">
        <v>46045</v>
      </c>
      <c r="H185">
        <v>78936091</v>
      </c>
      <c r="I185" t="s">
        <v>694</v>
      </c>
      <c r="J185" t="s">
        <v>685</v>
      </c>
      <c r="K185" t="s">
        <v>60</v>
      </c>
      <c r="L185">
        <v>20</v>
      </c>
      <c r="M185">
        <v>20</v>
      </c>
      <c r="N185" t="s">
        <v>695</v>
      </c>
      <c r="O185" t="s">
        <v>39</v>
      </c>
      <c r="P185" t="s">
        <v>197</v>
      </c>
      <c r="Q185" s="4">
        <v>152880</v>
      </c>
      <c r="R185" s="4">
        <v>2500</v>
      </c>
      <c r="S185" s="4">
        <v>3000</v>
      </c>
      <c r="T185" s="4">
        <f>Tabla1[[#This Row],[OS-Valor Unitario]]-Tabla1[[#This Row],[costo_antes_iva]]</f>
        <v>500</v>
      </c>
      <c r="U185" s="4">
        <f>Tabla1[[#This Row],[OS-Valor Unitario]]*Tabla1[[#This Row],[OS-Cantidad]]</f>
        <v>60000</v>
      </c>
      <c r="V185" s="4">
        <f>Tabla1[[#This Row],[costo_antes_iva]]*Tabla1[[#This Row],[OS-Cantidad]]</f>
        <v>50000</v>
      </c>
      <c r="W185" s="4">
        <f>Tabla1[[#This Row],[Valor total OS]]-Tabla1[[#This Row],[valor total op]]</f>
        <v>10000</v>
      </c>
    </row>
    <row r="186" spans="1:23" x14ac:dyDescent="0.3">
      <c r="A186">
        <v>6524</v>
      </c>
      <c r="B186">
        <v>4</v>
      </c>
      <c r="C186" t="s">
        <v>696</v>
      </c>
      <c r="D186" t="s">
        <v>697</v>
      </c>
      <c r="E186" t="s">
        <v>197</v>
      </c>
      <c r="F186" t="s">
        <v>35</v>
      </c>
      <c r="G186" s="2">
        <v>46045</v>
      </c>
      <c r="H186">
        <v>78936114</v>
      </c>
      <c r="I186" t="s">
        <v>698</v>
      </c>
      <c r="J186" t="s">
        <v>685</v>
      </c>
      <c r="K186" t="s">
        <v>60</v>
      </c>
      <c r="L186">
        <v>20</v>
      </c>
      <c r="M186">
        <v>20</v>
      </c>
      <c r="N186" t="s">
        <v>699</v>
      </c>
      <c r="O186" t="s">
        <v>39</v>
      </c>
      <c r="P186" t="s">
        <v>197</v>
      </c>
      <c r="Q186" s="4">
        <v>152880</v>
      </c>
      <c r="R186" s="4">
        <v>2500</v>
      </c>
      <c r="S186" s="4">
        <v>3000</v>
      </c>
      <c r="T186" s="4">
        <f>Tabla1[[#This Row],[OS-Valor Unitario]]-Tabla1[[#This Row],[costo_antes_iva]]</f>
        <v>500</v>
      </c>
      <c r="U186" s="4">
        <f>Tabla1[[#This Row],[OS-Valor Unitario]]*Tabla1[[#This Row],[OS-Cantidad]]</f>
        <v>60000</v>
      </c>
      <c r="V186" s="4">
        <f>Tabla1[[#This Row],[costo_antes_iva]]*Tabla1[[#This Row],[OS-Cantidad]]</f>
        <v>50000</v>
      </c>
      <c r="W186" s="4">
        <f>Tabla1[[#This Row],[Valor total OS]]-Tabla1[[#This Row],[valor total op]]</f>
        <v>10000</v>
      </c>
    </row>
    <row r="187" spans="1:23" x14ac:dyDescent="0.3">
      <c r="A187">
        <v>6524</v>
      </c>
      <c r="B187">
        <v>5</v>
      </c>
      <c r="C187" t="s">
        <v>700</v>
      </c>
      <c r="D187" t="s">
        <v>701</v>
      </c>
      <c r="E187" t="s">
        <v>197</v>
      </c>
      <c r="F187" t="s">
        <v>35</v>
      </c>
      <c r="G187" s="2">
        <v>46045</v>
      </c>
      <c r="H187">
        <v>78936157</v>
      </c>
      <c r="I187" t="s">
        <v>702</v>
      </c>
      <c r="J187" t="s">
        <v>685</v>
      </c>
      <c r="K187" t="s">
        <v>60</v>
      </c>
      <c r="L187">
        <v>10</v>
      </c>
      <c r="M187">
        <v>12</v>
      </c>
      <c r="N187" t="s">
        <v>703</v>
      </c>
      <c r="O187" t="s">
        <v>39</v>
      </c>
      <c r="P187" t="s">
        <v>197</v>
      </c>
      <c r="Q187" s="4">
        <v>76440</v>
      </c>
      <c r="R187" s="4">
        <v>2500</v>
      </c>
      <c r="S187" s="4">
        <v>3000</v>
      </c>
      <c r="T187" s="4">
        <f>Tabla1[[#This Row],[OS-Valor Unitario]]-Tabla1[[#This Row],[costo_antes_iva]]</f>
        <v>500</v>
      </c>
      <c r="U187" s="4">
        <f>Tabla1[[#This Row],[OS-Valor Unitario]]*Tabla1[[#This Row],[OS-Cantidad]]</f>
        <v>36000</v>
      </c>
      <c r="V187" s="4">
        <f>Tabla1[[#This Row],[costo_antes_iva]]*Tabla1[[#This Row],[OS-Cantidad]]</f>
        <v>30000</v>
      </c>
      <c r="W187" s="4">
        <f>Tabla1[[#This Row],[Valor total OS]]-Tabla1[[#This Row],[valor total op]]</f>
        <v>6000</v>
      </c>
    </row>
    <row r="188" spans="1:23" x14ac:dyDescent="0.3">
      <c r="A188">
        <v>6621</v>
      </c>
      <c r="B188">
        <v>1</v>
      </c>
      <c r="C188" t="s">
        <v>258</v>
      </c>
      <c r="D188" t="s">
        <v>259</v>
      </c>
      <c r="E188" t="s">
        <v>260</v>
      </c>
      <c r="F188" t="s">
        <v>261</v>
      </c>
      <c r="G188" s="2">
        <v>46043</v>
      </c>
      <c r="H188">
        <v>78815672</v>
      </c>
      <c r="I188" t="s">
        <v>262</v>
      </c>
      <c r="J188" t="s">
        <v>263</v>
      </c>
      <c r="K188" t="s">
        <v>264</v>
      </c>
      <c r="L188">
        <v>500</v>
      </c>
      <c r="M188">
        <v>500</v>
      </c>
      <c r="N188" t="s">
        <v>265</v>
      </c>
      <c r="O188" t="s">
        <v>27</v>
      </c>
      <c r="P188" t="s">
        <v>260</v>
      </c>
      <c r="Q188" s="4">
        <v>18734500</v>
      </c>
      <c r="R188" s="4">
        <v>27500</v>
      </c>
      <c r="S188" s="4">
        <v>26500</v>
      </c>
      <c r="T188" s="4">
        <f>Tabla1[[#This Row],[OS-Valor Unitario]]-Tabla1[[#This Row],[costo_antes_iva]]</f>
        <v>-1000</v>
      </c>
      <c r="U188" s="4">
        <f>Tabla1[[#This Row],[OS-Valor Unitario]]*Tabla1[[#This Row],[OS-Cantidad]]</f>
        <v>13250000</v>
      </c>
      <c r="V188" s="4">
        <f>Tabla1[[#This Row],[costo_antes_iva]]*Tabla1[[#This Row],[OS-Cantidad]]</f>
        <v>13750000</v>
      </c>
      <c r="W188" s="4">
        <f>Tabla1[[#This Row],[Valor total OS]]-Tabla1[[#This Row],[valor total op]]</f>
        <v>-500000</v>
      </c>
    </row>
    <row r="189" spans="1:23" x14ac:dyDescent="0.3">
      <c r="A189">
        <v>6523</v>
      </c>
      <c r="B189">
        <v>1</v>
      </c>
      <c r="C189" t="s">
        <v>704</v>
      </c>
      <c r="D189" t="s">
        <v>705</v>
      </c>
      <c r="E189" t="s">
        <v>706</v>
      </c>
      <c r="F189" t="s">
        <v>707</v>
      </c>
      <c r="G189" s="2">
        <v>46043</v>
      </c>
      <c r="H189">
        <v>78810546</v>
      </c>
      <c r="I189" t="s">
        <v>708</v>
      </c>
      <c r="J189" t="s">
        <v>709</v>
      </c>
      <c r="K189" t="s">
        <v>60</v>
      </c>
      <c r="L189">
        <v>5</v>
      </c>
      <c r="M189">
        <v>5</v>
      </c>
      <c r="N189" t="s">
        <v>710</v>
      </c>
      <c r="O189" t="s">
        <v>27</v>
      </c>
      <c r="P189" t="s">
        <v>177</v>
      </c>
      <c r="Q189" s="4">
        <v>574950</v>
      </c>
      <c r="R189" s="4">
        <v>18000</v>
      </c>
      <c r="S189" s="4">
        <v>17000</v>
      </c>
      <c r="T189" s="4">
        <f>Tabla1[[#This Row],[OS-Valor Unitario]]-Tabla1[[#This Row],[costo_antes_iva]]</f>
        <v>-1000</v>
      </c>
      <c r="U189" s="4">
        <f>Tabla1[[#This Row],[OS-Valor Unitario]]*Tabla1[[#This Row],[OS-Cantidad]]</f>
        <v>85000</v>
      </c>
      <c r="V189" s="4">
        <f>Tabla1[[#This Row],[costo_antes_iva]]*Tabla1[[#This Row],[OS-Cantidad]]</f>
        <v>90000</v>
      </c>
      <c r="W189" s="4">
        <f>Tabla1[[#This Row],[Valor total OS]]-Tabla1[[#This Row],[valor total op]]</f>
        <v>-5000</v>
      </c>
    </row>
    <row r="190" spans="1:23" x14ac:dyDescent="0.3">
      <c r="A190">
        <v>6523</v>
      </c>
      <c r="B190">
        <v>1</v>
      </c>
      <c r="C190" t="s">
        <v>704</v>
      </c>
      <c r="D190" t="s">
        <v>705</v>
      </c>
      <c r="E190" t="s">
        <v>706</v>
      </c>
      <c r="F190" t="s">
        <v>707</v>
      </c>
      <c r="G190" s="2">
        <v>46043</v>
      </c>
      <c r="H190">
        <v>78810546</v>
      </c>
      <c r="I190" t="s">
        <v>708</v>
      </c>
      <c r="J190" t="s">
        <v>709</v>
      </c>
      <c r="K190" t="s">
        <v>170</v>
      </c>
      <c r="L190">
        <v>5</v>
      </c>
      <c r="M190">
        <v>5</v>
      </c>
      <c r="N190" t="s">
        <v>711</v>
      </c>
      <c r="O190" t="s">
        <v>27</v>
      </c>
      <c r="P190" t="s">
        <v>177</v>
      </c>
      <c r="Q190" s="4">
        <v>574950</v>
      </c>
      <c r="R190" s="4">
        <v>2000</v>
      </c>
      <c r="S190" s="4">
        <v>3000</v>
      </c>
      <c r="T190" s="4">
        <f>Tabla1[[#This Row],[OS-Valor Unitario]]-Tabla1[[#This Row],[costo_antes_iva]]</f>
        <v>1000</v>
      </c>
      <c r="U190" s="4">
        <f>Tabla1[[#This Row],[OS-Valor Unitario]]*Tabla1[[#This Row],[OS-Cantidad]]</f>
        <v>15000</v>
      </c>
      <c r="V190" s="4">
        <f>Tabla1[[#This Row],[costo_antes_iva]]*Tabla1[[#This Row],[OS-Cantidad]]</f>
        <v>10000</v>
      </c>
      <c r="W190" s="4">
        <f>Tabla1[[#This Row],[Valor total OS]]-Tabla1[[#This Row],[valor total op]]</f>
        <v>5000</v>
      </c>
    </row>
    <row r="191" spans="1:23" x14ac:dyDescent="0.3">
      <c r="A191">
        <v>6523</v>
      </c>
      <c r="B191">
        <v>2</v>
      </c>
      <c r="C191" t="s">
        <v>712</v>
      </c>
      <c r="D191" t="s">
        <v>713</v>
      </c>
      <c r="E191" t="s">
        <v>706</v>
      </c>
      <c r="F191" t="s">
        <v>707</v>
      </c>
      <c r="G191" s="2">
        <v>46043</v>
      </c>
      <c r="H191">
        <v>78810552</v>
      </c>
      <c r="I191" t="s">
        <v>714</v>
      </c>
      <c r="J191" t="s">
        <v>709</v>
      </c>
      <c r="K191" t="s">
        <v>60</v>
      </c>
      <c r="L191">
        <v>5</v>
      </c>
      <c r="M191">
        <v>5</v>
      </c>
      <c r="N191" t="s">
        <v>715</v>
      </c>
      <c r="O191" t="s">
        <v>27</v>
      </c>
      <c r="P191" t="s">
        <v>177</v>
      </c>
      <c r="Q191" s="4">
        <v>586815</v>
      </c>
      <c r="R191" s="4">
        <v>18000</v>
      </c>
      <c r="S191" s="4">
        <v>17000</v>
      </c>
      <c r="T191" s="4">
        <f>Tabla1[[#This Row],[OS-Valor Unitario]]-Tabla1[[#This Row],[costo_antes_iva]]</f>
        <v>-1000</v>
      </c>
      <c r="U191" s="4">
        <f>Tabla1[[#This Row],[OS-Valor Unitario]]*Tabla1[[#This Row],[OS-Cantidad]]</f>
        <v>85000</v>
      </c>
      <c r="V191" s="4">
        <f>Tabla1[[#This Row],[costo_antes_iva]]*Tabla1[[#This Row],[OS-Cantidad]]</f>
        <v>90000</v>
      </c>
      <c r="W191" s="4">
        <f>Tabla1[[#This Row],[Valor total OS]]-Tabla1[[#This Row],[valor total op]]</f>
        <v>-5000</v>
      </c>
    </row>
    <row r="192" spans="1:23" x14ac:dyDescent="0.3">
      <c r="A192">
        <v>6523</v>
      </c>
      <c r="B192">
        <v>2</v>
      </c>
      <c r="C192" t="s">
        <v>712</v>
      </c>
      <c r="D192" t="s">
        <v>713</v>
      </c>
      <c r="E192" t="s">
        <v>706</v>
      </c>
      <c r="F192" t="s">
        <v>707</v>
      </c>
      <c r="G192" s="2">
        <v>46043</v>
      </c>
      <c r="H192">
        <v>78810552</v>
      </c>
      <c r="I192" t="s">
        <v>714</v>
      </c>
      <c r="J192" t="s">
        <v>709</v>
      </c>
      <c r="K192" t="s">
        <v>170</v>
      </c>
      <c r="L192">
        <v>5</v>
      </c>
      <c r="M192">
        <v>5</v>
      </c>
      <c r="N192" t="s">
        <v>716</v>
      </c>
      <c r="O192" t="s">
        <v>27</v>
      </c>
      <c r="P192" t="s">
        <v>177</v>
      </c>
      <c r="Q192" s="4">
        <v>586815</v>
      </c>
      <c r="R192" s="4">
        <v>2000</v>
      </c>
      <c r="S192" s="4">
        <v>3000</v>
      </c>
      <c r="T192" s="4">
        <f>Tabla1[[#This Row],[OS-Valor Unitario]]-Tabla1[[#This Row],[costo_antes_iva]]</f>
        <v>1000</v>
      </c>
      <c r="U192" s="4">
        <f>Tabla1[[#This Row],[OS-Valor Unitario]]*Tabla1[[#This Row],[OS-Cantidad]]</f>
        <v>15000</v>
      </c>
      <c r="V192" s="4">
        <f>Tabla1[[#This Row],[costo_antes_iva]]*Tabla1[[#This Row],[OS-Cantidad]]</f>
        <v>10000</v>
      </c>
      <c r="W192" s="4">
        <f>Tabla1[[#This Row],[Valor total OS]]-Tabla1[[#This Row],[valor total op]]</f>
        <v>5000</v>
      </c>
    </row>
    <row r="193" spans="1:23" x14ac:dyDescent="0.3">
      <c r="A193">
        <v>6517</v>
      </c>
      <c r="B193">
        <v>1</v>
      </c>
      <c r="C193" t="s">
        <v>717</v>
      </c>
      <c r="D193" t="s">
        <v>718</v>
      </c>
      <c r="E193" t="s">
        <v>719</v>
      </c>
      <c r="F193" t="s">
        <v>720</v>
      </c>
      <c r="G193" s="2">
        <v>46043</v>
      </c>
      <c r="H193">
        <v>78812224</v>
      </c>
      <c r="I193" t="s">
        <v>721</v>
      </c>
      <c r="J193" t="s">
        <v>722</v>
      </c>
      <c r="K193" t="s">
        <v>170</v>
      </c>
      <c r="L193">
        <v>10</v>
      </c>
      <c r="M193">
        <v>10</v>
      </c>
      <c r="N193" t="s">
        <v>723</v>
      </c>
      <c r="O193" t="s">
        <v>27</v>
      </c>
      <c r="P193" t="s">
        <v>127</v>
      </c>
      <c r="Q193" s="4">
        <v>250160</v>
      </c>
      <c r="R193" s="4">
        <v>2000</v>
      </c>
      <c r="S193" s="4">
        <v>2500</v>
      </c>
      <c r="T193" s="4">
        <f>Tabla1[[#This Row],[OS-Valor Unitario]]-Tabla1[[#This Row],[costo_antes_iva]]</f>
        <v>500</v>
      </c>
      <c r="U193" s="4">
        <f>Tabla1[[#This Row],[OS-Valor Unitario]]*Tabla1[[#This Row],[OS-Cantidad]]</f>
        <v>25000</v>
      </c>
      <c r="V193" s="4">
        <f>Tabla1[[#This Row],[costo_antes_iva]]*Tabla1[[#This Row],[OS-Cantidad]]</f>
        <v>20000</v>
      </c>
      <c r="W193" s="4">
        <f>Tabla1[[#This Row],[Valor total OS]]-Tabla1[[#This Row],[valor total op]]</f>
        <v>5000</v>
      </c>
    </row>
    <row r="194" spans="1:23" x14ac:dyDescent="0.3">
      <c r="A194">
        <v>6517</v>
      </c>
      <c r="B194">
        <v>2</v>
      </c>
      <c r="C194" t="s">
        <v>724</v>
      </c>
      <c r="D194" t="s">
        <v>725</v>
      </c>
      <c r="E194" t="s">
        <v>34</v>
      </c>
      <c r="F194" t="s">
        <v>720</v>
      </c>
      <c r="G194" s="2">
        <v>46043</v>
      </c>
      <c r="H194">
        <v>78812227</v>
      </c>
      <c r="I194" t="s">
        <v>726</v>
      </c>
      <c r="J194" t="s">
        <v>722</v>
      </c>
      <c r="K194" t="s">
        <v>25</v>
      </c>
      <c r="L194">
        <v>5</v>
      </c>
      <c r="M194">
        <v>5</v>
      </c>
      <c r="N194" t="s">
        <v>727</v>
      </c>
      <c r="O194" t="s">
        <v>27</v>
      </c>
      <c r="P194" t="s">
        <v>40</v>
      </c>
      <c r="Q194" s="4">
        <v>75045</v>
      </c>
      <c r="R194" s="4">
        <v>2336</v>
      </c>
      <c r="S194" s="4">
        <v>2200</v>
      </c>
      <c r="T194" s="4">
        <f>Tabla1[[#This Row],[OS-Valor Unitario]]-Tabla1[[#This Row],[costo_antes_iva]]</f>
        <v>-136</v>
      </c>
      <c r="U194" s="4">
        <f>Tabla1[[#This Row],[OS-Valor Unitario]]*Tabla1[[#This Row],[OS-Cantidad]]</f>
        <v>11000</v>
      </c>
      <c r="V194" s="4">
        <f>Tabla1[[#This Row],[costo_antes_iva]]*Tabla1[[#This Row],[OS-Cantidad]]</f>
        <v>11680</v>
      </c>
      <c r="W194" s="4">
        <f>Tabla1[[#This Row],[Valor total OS]]-Tabla1[[#This Row],[valor total op]]</f>
        <v>-680</v>
      </c>
    </row>
    <row r="195" spans="1:23" x14ac:dyDescent="0.3">
      <c r="A195">
        <v>6496</v>
      </c>
      <c r="B195">
        <v>2</v>
      </c>
      <c r="C195" t="s">
        <v>745</v>
      </c>
      <c r="D195" t="s">
        <v>746</v>
      </c>
      <c r="E195" t="s">
        <v>135</v>
      </c>
      <c r="F195" t="s">
        <v>122</v>
      </c>
      <c r="G195" s="2">
        <v>46022</v>
      </c>
      <c r="H195">
        <v>77935140</v>
      </c>
      <c r="I195" t="s">
        <v>747</v>
      </c>
      <c r="J195" t="s">
        <v>748</v>
      </c>
      <c r="K195" t="s">
        <v>138</v>
      </c>
      <c r="L195">
        <v>200</v>
      </c>
      <c r="M195">
        <v>200</v>
      </c>
      <c r="N195" t="s">
        <v>749</v>
      </c>
      <c r="O195" t="s">
        <v>126</v>
      </c>
      <c r="P195" t="s">
        <v>135</v>
      </c>
      <c r="Q195" s="4">
        <v>10916800</v>
      </c>
      <c r="R195" s="4">
        <v>12500</v>
      </c>
      <c r="S195" s="4">
        <v>10400</v>
      </c>
      <c r="T195" s="4">
        <f>Tabla1[[#This Row],[OS-Valor Unitario]]-Tabla1[[#This Row],[costo_antes_iva]]</f>
        <v>-2100</v>
      </c>
      <c r="U195" s="4">
        <f>Tabla1[[#This Row],[OS-Valor Unitario]]*Tabla1[[#This Row],[OS-Cantidad]]</f>
        <v>2080000</v>
      </c>
      <c r="V195" s="4">
        <f>Tabla1[[#This Row],[costo_antes_iva]]*Tabla1[[#This Row],[OS-Cantidad]]</f>
        <v>2500000</v>
      </c>
      <c r="W195" s="4">
        <f>Tabla1[[#This Row],[Valor total OS]]-Tabla1[[#This Row],[valor total op]]</f>
        <v>-420000</v>
      </c>
    </row>
    <row r="196" spans="1:23" x14ac:dyDescent="0.3">
      <c r="A196">
        <v>6496</v>
      </c>
      <c r="B196">
        <v>2</v>
      </c>
      <c r="C196" t="s">
        <v>745</v>
      </c>
      <c r="D196" t="s">
        <v>746</v>
      </c>
      <c r="E196" t="s">
        <v>135</v>
      </c>
      <c r="F196" t="s">
        <v>122</v>
      </c>
      <c r="G196" s="2">
        <v>46022</v>
      </c>
      <c r="H196">
        <v>77935140</v>
      </c>
      <c r="I196" t="s">
        <v>747</v>
      </c>
      <c r="J196" t="s">
        <v>748</v>
      </c>
      <c r="K196" t="s">
        <v>60</v>
      </c>
      <c r="L196">
        <v>200</v>
      </c>
      <c r="M196">
        <v>200</v>
      </c>
      <c r="N196" t="s">
        <v>750</v>
      </c>
      <c r="O196" t="s">
        <v>126</v>
      </c>
      <c r="P196" t="s">
        <v>135</v>
      </c>
      <c r="Q196" s="4">
        <v>10916800</v>
      </c>
      <c r="R196" s="4">
        <v>4500</v>
      </c>
      <c r="S196" s="4">
        <v>5000</v>
      </c>
      <c r="T196" s="4">
        <f>Tabla1[[#This Row],[OS-Valor Unitario]]-Tabla1[[#This Row],[costo_antes_iva]]</f>
        <v>500</v>
      </c>
      <c r="U196" s="4">
        <f>Tabla1[[#This Row],[OS-Valor Unitario]]*Tabla1[[#This Row],[OS-Cantidad]]</f>
        <v>1000000</v>
      </c>
      <c r="V196" s="4">
        <f>Tabla1[[#This Row],[costo_antes_iva]]*Tabla1[[#This Row],[OS-Cantidad]]</f>
        <v>900000</v>
      </c>
      <c r="W196" s="4">
        <f>Tabla1[[#This Row],[Valor total OS]]-Tabla1[[#This Row],[valor total op]]</f>
        <v>100000</v>
      </c>
    </row>
    <row r="197" spans="1:23" x14ac:dyDescent="0.3">
      <c r="A197">
        <v>6493</v>
      </c>
      <c r="B197">
        <v>1</v>
      </c>
      <c r="C197" t="s">
        <v>751</v>
      </c>
      <c r="D197" t="s">
        <v>752</v>
      </c>
      <c r="E197" t="s">
        <v>753</v>
      </c>
      <c r="F197" t="s">
        <v>754</v>
      </c>
      <c r="G197" s="2">
        <v>46021</v>
      </c>
      <c r="H197">
        <v>77898260</v>
      </c>
      <c r="I197" t="s">
        <v>755</v>
      </c>
      <c r="J197" t="s">
        <v>756</v>
      </c>
      <c r="K197" t="s">
        <v>25</v>
      </c>
      <c r="L197">
        <v>40</v>
      </c>
      <c r="M197">
        <v>40</v>
      </c>
      <c r="N197" t="s">
        <v>757</v>
      </c>
      <c r="O197" t="s">
        <v>758</v>
      </c>
      <c r="P197" t="s">
        <v>169</v>
      </c>
      <c r="Q197" s="4">
        <v>3753720</v>
      </c>
      <c r="R197" s="4">
        <v>1800</v>
      </c>
      <c r="S197" s="4">
        <v>1650</v>
      </c>
      <c r="T197" s="4">
        <f>Tabla1[[#This Row],[OS-Valor Unitario]]-Tabla1[[#This Row],[costo_antes_iva]]</f>
        <v>-150</v>
      </c>
      <c r="U197" s="4">
        <f>Tabla1[[#This Row],[OS-Valor Unitario]]*Tabla1[[#This Row],[OS-Cantidad]]</f>
        <v>66000</v>
      </c>
      <c r="V197" s="4">
        <f>Tabla1[[#This Row],[costo_antes_iva]]*Tabla1[[#This Row],[OS-Cantidad]]</f>
        <v>72000</v>
      </c>
      <c r="W197" s="4">
        <f>Tabla1[[#This Row],[Valor total OS]]-Tabla1[[#This Row],[valor total op]]</f>
        <v>-6000</v>
      </c>
    </row>
    <row r="198" spans="1:23" x14ac:dyDescent="0.3">
      <c r="A198">
        <v>6493</v>
      </c>
      <c r="B198">
        <v>1</v>
      </c>
      <c r="C198" t="s">
        <v>751</v>
      </c>
      <c r="D198" t="s">
        <v>752</v>
      </c>
      <c r="E198" t="s">
        <v>753</v>
      </c>
      <c r="F198" t="s">
        <v>754</v>
      </c>
      <c r="G198" s="2">
        <v>46021</v>
      </c>
      <c r="H198">
        <v>77898260</v>
      </c>
      <c r="I198" t="s">
        <v>755</v>
      </c>
      <c r="J198" t="s">
        <v>756</v>
      </c>
      <c r="K198" t="s">
        <v>60</v>
      </c>
      <c r="L198">
        <v>40</v>
      </c>
      <c r="M198">
        <v>40</v>
      </c>
      <c r="N198" t="s">
        <v>759</v>
      </c>
      <c r="O198" t="s">
        <v>758</v>
      </c>
      <c r="P198" t="s">
        <v>169</v>
      </c>
      <c r="Q198" s="4">
        <v>3753720</v>
      </c>
      <c r="R198" s="4">
        <v>18000</v>
      </c>
      <c r="S198" s="4">
        <v>17000</v>
      </c>
      <c r="T198" s="4">
        <f>Tabla1[[#This Row],[OS-Valor Unitario]]-Tabla1[[#This Row],[costo_antes_iva]]</f>
        <v>-1000</v>
      </c>
      <c r="U198" s="4">
        <f>Tabla1[[#This Row],[OS-Valor Unitario]]*Tabla1[[#This Row],[OS-Cantidad]]</f>
        <v>680000</v>
      </c>
      <c r="V198" s="4">
        <f>Tabla1[[#This Row],[costo_antes_iva]]*Tabla1[[#This Row],[OS-Cantidad]]</f>
        <v>720000</v>
      </c>
      <c r="W198" s="4">
        <f>Tabla1[[#This Row],[Valor total OS]]-Tabla1[[#This Row],[valor total op]]</f>
        <v>-40000</v>
      </c>
    </row>
    <row r="199" spans="1:23" x14ac:dyDescent="0.3">
      <c r="A199">
        <v>6493</v>
      </c>
      <c r="B199">
        <v>2</v>
      </c>
      <c r="C199" t="s">
        <v>760</v>
      </c>
      <c r="D199" t="s">
        <v>761</v>
      </c>
      <c r="E199" t="s">
        <v>278</v>
      </c>
      <c r="F199" t="s">
        <v>754</v>
      </c>
      <c r="G199" s="2">
        <v>46021</v>
      </c>
      <c r="H199">
        <v>77898321</v>
      </c>
      <c r="I199" t="s">
        <v>755</v>
      </c>
      <c r="J199" t="s">
        <v>756</v>
      </c>
      <c r="K199" t="s">
        <v>25</v>
      </c>
      <c r="L199">
        <v>4</v>
      </c>
      <c r="M199">
        <v>4</v>
      </c>
      <c r="N199" t="s">
        <v>762</v>
      </c>
      <c r="O199" t="s">
        <v>758</v>
      </c>
      <c r="P199" t="s">
        <v>40</v>
      </c>
      <c r="Q199" s="4">
        <v>54740</v>
      </c>
      <c r="R199" s="4">
        <v>1800</v>
      </c>
      <c r="S199" s="4">
        <v>2000</v>
      </c>
      <c r="T199" s="4">
        <f>Tabla1[[#This Row],[OS-Valor Unitario]]-Tabla1[[#This Row],[costo_antes_iva]]</f>
        <v>200</v>
      </c>
      <c r="U199" s="4">
        <f>Tabla1[[#This Row],[OS-Valor Unitario]]*Tabla1[[#This Row],[OS-Cantidad]]</f>
        <v>8000</v>
      </c>
      <c r="V199" s="4">
        <f>Tabla1[[#This Row],[costo_antes_iva]]*Tabla1[[#This Row],[OS-Cantidad]]</f>
        <v>7200</v>
      </c>
      <c r="W199" s="4">
        <f>Tabla1[[#This Row],[Valor total OS]]-Tabla1[[#This Row],[valor total op]]</f>
        <v>800</v>
      </c>
    </row>
    <row r="200" spans="1:23" x14ac:dyDescent="0.3">
      <c r="A200">
        <v>6492</v>
      </c>
      <c r="B200">
        <v>1</v>
      </c>
      <c r="C200" t="s">
        <v>763</v>
      </c>
      <c r="D200" t="s">
        <v>764</v>
      </c>
      <c r="E200" t="s">
        <v>765</v>
      </c>
      <c r="F200" t="s">
        <v>122</v>
      </c>
      <c r="G200" s="2">
        <v>46020</v>
      </c>
      <c r="H200">
        <v>77864531</v>
      </c>
      <c r="I200" t="s">
        <v>766</v>
      </c>
      <c r="J200" t="s">
        <v>767</v>
      </c>
      <c r="K200" t="s">
        <v>170</v>
      </c>
      <c r="L200">
        <v>10</v>
      </c>
      <c r="M200">
        <v>10</v>
      </c>
      <c r="N200" t="s">
        <v>768</v>
      </c>
      <c r="O200" t="s">
        <v>126</v>
      </c>
      <c r="P200" t="s">
        <v>127</v>
      </c>
      <c r="Q200" s="4">
        <v>703180</v>
      </c>
      <c r="R200" s="4">
        <v>1600</v>
      </c>
      <c r="S200" s="4">
        <v>1400</v>
      </c>
      <c r="T200" s="4">
        <f>Tabla1[[#This Row],[OS-Valor Unitario]]-Tabla1[[#This Row],[costo_antes_iva]]</f>
        <v>-200</v>
      </c>
      <c r="U200" s="4">
        <f>Tabla1[[#This Row],[OS-Valor Unitario]]*Tabla1[[#This Row],[OS-Cantidad]]</f>
        <v>14000</v>
      </c>
      <c r="V200" s="4">
        <f>Tabla1[[#This Row],[costo_antes_iva]]*Tabla1[[#This Row],[OS-Cantidad]]</f>
        <v>16000</v>
      </c>
      <c r="W200" s="4">
        <f>Tabla1[[#This Row],[Valor total OS]]-Tabla1[[#This Row],[valor total op]]</f>
        <v>-2000</v>
      </c>
    </row>
    <row r="201" spans="1:23" x14ac:dyDescent="0.3">
      <c r="A201">
        <v>6492</v>
      </c>
      <c r="B201">
        <v>1</v>
      </c>
      <c r="C201" t="s">
        <v>763</v>
      </c>
      <c r="D201" t="s">
        <v>764</v>
      </c>
      <c r="E201" t="s">
        <v>765</v>
      </c>
      <c r="F201" t="s">
        <v>122</v>
      </c>
      <c r="G201" s="2">
        <v>46020</v>
      </c>
      <c r="H201">
        <v>77864531</v>
      </c>
      <c r="I201" t="s">
        <v>766</v>
      </c>
      <c r="J201" t="s">
        <v>767</v>
      </c>
      <c r="K201" t="s">
        <v>60</v>
      </c>
      <c r="L201">
        <v>10</v>
      </c>
      <c r="M201">
        <v>10</v>
      </c>
      <c r="N201" t="s">
        <v>769</v>
      </c>
      <c r="O201" t="s">
        <v>126</v>
      </c>
      <c r="P201" t="s">
        <v>127</v>
      </c>
      <c r="Q201" s="4">
        <v>703180</v>
      </c>
      <c r="R201" s="4">
        <v>14000</v>
      </c>
      <c r="S201" s="4">
        <v>13500</v>
      </c>
      <c r="T201" s="4">
        <f>Tabla1[[#This Row],[OS-Valor Unitario]]-Tabla1[[#This Row],[costo_antes_iva]]</f>
        <v>-500</v>
      </c>
      <c r="U201" s="4">
        <f>Tabla1[[#This Row],[OS-Valor Unitario]]*Tabla1[[#This Row],[OS-Cantidad]]</f>
        <v>135000</v>
      </c>
      <c r="V201" s="4">
        <f>Tabla1[[#This Row],[costo_antes_iva]]*Tabla1[[#This Row],[OS-Cantidad]]</f>
        <v>140000</v>
      </c>
      <c r="W201" s="4">
        <f>Tabla1[[#This Row],[Valor total OS]]-Tabla1[[#This Row],[valor total op]]</f>
        <v>-5000</v>
      </c>
    </row>
    <row r="202" spans="1:23" x14ac:dyDescent="0.3">
      <c r="A202">
        <v>6492</v>
      </c>
      <c r="B202">
        <v>3</v>
      </c>
      <c r="C202" t="s">
        <v>770</v>
      </c>
      <c r="D202" t="s">
        <v>771</v>
      </c>
      <c r="E202" t="s">
        <v>135</v>
      </c>
      <c r="F202" t="s">
        <v>122</v>
      </c>
      <c r="G202" s="2">
        <v>46020</v>
      </c>
      <c r="H202">
        <v>77864545</v>
      </c>
      <c r="I202" t="s">
        <v>772</v>
      </c>
      <c r="J202" t="s">
        <v>767</v>
      </c>
      <c r="K202" t="s">
        <v>138</v>
      </c>
      <c r="L202">
        <v>70</v>
      </c>
      <c r="M202">
        <v>70</v>
      </c>
      <c r="N202" t="s">
        <v>773</v>
      </c>
      <c r="O202" t="s">
        <v>126</v>
      </c>
      <c r="P202" t="s">
        <v>135</v>
      </c>
      <c r="Q202" s="4">
        <v>3820880</v>
      </c>
      <c r="R202" s="4">
        <v>12500</v>
      </c>
      <c r="S202" s="4">
        <v>10400</v>
      </c>
      <c r="T202" s="4">
        <f>Tabla1[[#This Row],[OS-Valor Unitario]]-Tabla1[[#This Row],[costo_antes_iva]]</f>
        <v>-2100</v>
      </c>
      <c r="U202" s="4">
        <f>Tabla1[[#This Row],[OS-Valor Unitario]]*Tabla1[[#This Row],[OS-Cantidad]]</f>
        <v>728000</v>
      </c>
      <c r="V202" s="4">
        <f>Tabla1[[#This Row],[costo_antes_iva]]*Tabla1[[#This Row],[OS-Cantidad]]</f>
        <v>875000</v>
      </c>
      <c r="W202" s="4">
        <f>Tabla1[[#This Row],[Valor total OS]]-Tabla1[[#This Row],[valor total op]]</f>
        <v>-147000</v>
      </c>
    </row>
    <row r="203" spans="1:23" x14ac:dyDescent="0.3">
      <c r="A203">
        <v>6492</v>
      </c>
      <c r="B203">
        <v>3</v>
      </c>
      <c r="C203" t="s">
        <v>770</v>
      </c>
      <c r="D203" t="s">
        <v>771</v>
      </c>
      <c r="E203" t="s">
        <v>135</v>
      </c>
      <c r="F203" t="s">
        <v>122</v>
      </c>
      <c r="G203" s="2">
        <v>46020</v>
      </c>
      <c r="H203">
        <v>77864545</v>
      </c>
      <c r="I203" t="s">
        <v>772</v>
      </c>
      <c r="J203" t="s">
        <v>767</v>
      </c>
      <c r="K203" t="s">
        <v>60</v>
      </c>
      <c r="L203">
        <v>70</v>
      </c>
      <c r="M203">
        <v>70</v>
      </c>
      <c r="N203" t="s">
        <v>774</v>
      </c>
      <c r="O203" t="s">
        <v>126</v>
      </c>
      <c r="P203" t="s">
        <v>135</v>
      </c>
      <c r="Q203" s="4">
        <v>3820880</v>
      </c>
      <c r="R203" s="4">
        <v>4500</v>
      </c>
      <c r="S203" s="4">
        <v>5000</v>
      </c>
      <c r="T203" s="4">
        <f>Tabla1[[#This Row],[OS-Valor Unitario]]-Tabla1[[#This Row],[costo_antes_iva]]</f>
        <v>500</v>
      </c>
      <c r="U203" s="4">
        <f>Tabla1[[#This Row],[OS-Valor Unitario]]*Tabla1[[#This Row],[OS-Cantidad]]</f>
        <v>350000</v>
      </c>
      <c r="V203" s="4">
        <f>Tabla1[[#This Row],[costo_antes_iva]]*Tabla1[[#This Row],[OS-Cantidad]]</f>
        <v>315000</v>
      </c>
      <c r="W203" s="4">
        <f>Tabla1[[#This Row],[Valor total OS]]-Tabla1[[#This Row],[valor total op]]</f>
        <v>35000</v>
      </c>
    </row>
    <row r="204" spans="1:23" x14ac:dyDescent="0.3">
      <c r="A204">
        <v>6492</v>
      </c>
      <c r="B204">
        <v>4</v>
      </c>
      <c r="C204" t="s">
        <v>775</v>
      </c>
      <c r="D204" t="s">
        <v>776</v>
      </c>
      <c r="E204" t="s">
        <v>409</v>
      </c>
      <c r="F204" t="s">
        <v>122</v>
      </c>
      <c r="G204" s="2">
        <v>46020</v>
      </c>
      <c r="H204">
        <v>77864570</v>
      </c>
      <c r="I204" t="s">
        <v>777</v>
      </c>
      <c r="J204" t="s">
        <v>767</v>
      </c>
      <c r="K204" t="s">
        <v>170</v>
      </c>
      <c r="L204">
        <v>1100</v>
      </c>
      <c r="M204">
        <v>1100</v>
      </c>
      <c r="N204" t="s">
        <v>778</v>
      </c>
      <c r="O204" t="s">
        <v>126</v>
      </c>
      <c r="P204" t="s">
        <v>72</v>
      </c>
      <c r="Q204" s="4">
        <v>42373100</v>
      </c>
      <c r="R204" s="4">
        <v>900</v>
      </c>
      <c r="S204" s="4">
        <v>900</v>
      </c>
      <c r="T204" s="4">
        <f>Tabla1[[#This Row],[OS-Valor Unitario]]-Tabla1[[#This Row],[costo_antes_iva]]</f>
        <v>0</v>
      </c>
      <c r="U204" s="4">
        <f>Tabla1[[#This Row],[OS-Valor Unitario]]*Tabla1[[#This Row],[OS-Cantidad]]</f>
        <v>990000</v>
      </c>
      <c r="V204" s="4">
        <f>Tabla1[[#This Row],[costo_antes_iva]]*Tabla1[[#This Row],[OS-Cantidad]]</f>
        <v>990000</v>
      </c>
      <c r="W204" s="4">
        <f>Tabla1[[#This Row],[Valor total OS]]-Tabla1[[#This Row],[valor total op]]</f>
        <v>0</v>
      </c>
    </row>
    <row r="205" spans="1:23" x14ac:dyDescent="0.3">
      <c r="A205">
        <v>6492</v>
      </c>
      <c r="B205">
        <v>4</v>
      </c>
      <c r="C205" t="s">
        <v>775</v>
      </c>
      <c r="D205" t="s">
        <v>776</v>
      </c>
      <c r="E205" t="s">
        <v>409</v>
      </c>
      <c r="F205" t="s">
        <v>122</v>
      </c>
      <c r="G205" s="2">
        <v>46020</v>
      </c>
      <c r="H205">
        <v>77864570</v>
      </c>
      <c r="I205" t="s">
        <v>777</v>
      </c>
      <c r="J205" t="s">
        <v>767</v>
      </c>
      <c r="K205" t="s">
        <v>60</v>
      </c>
      <c r="L205">
        <v>1100</v>
      </c>
      <c r="M205">
        <v>1100</v>
      </c>
      <c r="N205" t="s">
        <v>779</v>
      </c>
      <c r="O205" t="s">
        <v>126</v>
      </c>
      <c r="P205" t="s">
        <v>72</v>
      </c>
      <c r="Q205" s="4">
        <v>42373100</v>
      </c>
      <c r="R205" s="4">
        <v>8200</v>
      </c>
      <c r="S205" s="4">
        <v>8934.545454545454</v>
      </c>
      <c r="T205" s="4">
        <f>Tabla1[[#This Row],[OS-Valor Unitario]]-Tabla1[[#This Row],[costo_antes_iva]]</f>
        <v>734.54545454545405</v>
      </c>
      <c r="U205" s="4">
        <f>Tabla1[[#This Row],[OS-Valor Unitario]]*Tabla1[[#This Row],[OS-Cantidad]]</f>
        <v>9828000</v>
      </c>
      <c r="V205" s="4">
        <f>Tabla1[[#This Row],[costo_antes_iva]]*Tabla1[[#This Row],[OS-Cantidad]]</f>
        <v>9020000</v>
      </c>
      <c r="W205" s="4">
        <f>Tabla1[[#This Row],[Valor total OS]]-Tabla1[[#This Row],[valor total op]]</f>
        <v>808000</v>
      </c>
    </row>
    <row r="206" spans="1:23" x14ac:dyDescent="0.3">
      <c r="A206">
        <v>6492</v>
      </c>
      <c r="B206">
        <v>5</v>
      </c>
      <c r="C206" t="s">
        <v>780</v>
      </c>
      <c r="D206" t="s">
        <v>781</v>
      </c>
      <c r="E206" t="s">
        <v>782</v>
      </c>
      <c r="F206" t="s">
        <v>122</v>
      </c>
      <c r="G206" s="2">
        <v>46020</v>
      </c>
      <c r="H206">
        <v>77864583</v>
      </c>
      <c r="I206" t="s">
        <v>783</v>
      </c>
      <c r="J206" t="s">
        <v>767</v>
      </c>
      <c r="K206" t="s">
        <v>784</v>
      </c>
      <c r="L206">
        <v>20</v>
      </c>
      <c r="M206">
        <v>20</v>
      </c>
      <c r="N206" t="s">
        <v>785</v>
      </c>
      <c r="O206" t="s">
        <v>126</v>
      </c>
      <c r="P206" t="s">
        <v>786</v>
      </c>
      <c r="Q206" s="4">
        <v>1133600</v>
      </c>
      <c r="R206" s="4">
        <v>40000</v>
      </c>
      <c r="S206" s="4">
        <v>47000</v>
      </c>
      <c r="T206" s="4">
        <f>Tabla1[[#This Row],[OS-Valor Unitario]]-Tabla1[[#This Row],[costo_antes_iva]]</f>
        <v>7000</v>
      </c>
      <c r="U206" s="4">
        <f>Tabla1[[#This Row],[OS-Valor Unitario]]*Tabla1[[#This Row],[OS-Cantidad]]</f>
        <v>940000</v>
      </c>
      <c r="V206" s="4">
        <f>Tabla1[[#This Row],[costo_antes_iva]]*Tabla1[[#This Row],[OS-Cantidad]]</f>
        <v>800000</v>
      </c>
      <c r="W206" s="4">
        <f>Tabla1[[#This Row],[Valor total OS]]-Tabla1[[#This Row],[valor total op]]</f>
        <v>140000</v>
      </c>
    </row>
    <row r="207" spans="1:23" x14ac:dyDescent="0.3">
      <c r="A207">
        <v>6492</v>
      </c>
      <c r="B207">
        <v>6</v>
      </c>
      <c r="C207" t="s">
        <v>787</v>
      </c>
      <c r="D207" t="s">
        <v>788</v>
      </c>
      <c r="E207" t="s">
        <v>207</v>
      </c>
      <c r="F207" t="s">
        <v>122</v>
      </c>
      <c r="G207" s="2">
        <v>46020</v>
      </c>
      <c r="H207">
        <v>77864585</v>
      </c>
      <c r="I207" t="s">
        <v>789</v>
      </c>
      <c r="J207" t="s">
        <v>767</v>
      </c>
      <c r="K207" t="s">
        <v>60</v>
      </c>
      <c r="L207">
        <v>120</v>
      </c>
      <c r="M207">
        <v>120</v>
      </c>
      <c r="N207" t="s">
        <v>790</v>
      </c>
      <c r="O207" t="s">
        <v>126</v>
      </c>
      <c r="P207" t="s">
        <v>212</v>
      </c>
      <c r="Q207" s="4">
        <v>5799720</v>
      </c>
      <c r="R207" s="4">
        <v>19610</v>
      </c>
      <c r="S207" s="4">
        <v>19600</v>
      </c>
      <c r="T207" s="4">
        <f>Tabla1[[#This Row],[OS-Valor Unitario]]-Tabla1[[#This Row],[costo_antes_iva]]</f>
        <v>-10</v>
      </c>
      <c r="U207" s="4">
        <f>Tabla1[[#This Row],[OS-Valor Unitario]]*Tabla1[[#This Row],[OS-Cantidad]]</f>
        <v>2352000</v>
      </c>
      <c r="V207" s="4">
        <f>Tabla1[[#This Row],[costo_antes_iva]]*Tabla1[[#This Row],[OS-Cantidad]]</f>
        <v>2353200</v>
      </c>
      <c r="W207" s="4">
        <f>Tabla1[[#This Row],[Valor total OS]]-Tabla1[[#This Row],[valor total op]]</f>
        <v>-1200</v>
      </c>
    </row>
    <row r="208" spans="1:23" x14ac:dyDescent="0.3">
      <c r="A208">
        <v>6492</v>
      </c>
      <c r="B208">
        <v>8</v>
      </c>
      <c r="C208" t="s">
        <v>791</v>
      </c>
      <c r="D208" t="s">
        <v>792</v>
      </c>
      <c r="E208" t="s">
        <v>51</v>
      </c>
      <c r="F208" t="s">
        <v>122</v>
      </c>
      <c r="G208" s="2">
        <v>46020</v>
      </c>
      <c r="H208">
        <v>77864591</v>
      </c>
      <c r="I208" t="s">
        <v>793</v>
      </c>
      <c r="J208" t="s">
        <v>767</v>
      </c>
      <c r="K208" t="s">
        <v>25</v>
      </c>
      <c r="L208">
        <v>50</v>
      </c>
      <c r="M208">
        <v>51</v>
      </c>
      <c r="N208" t="s">
        <v>794</v>
      </c>
      <c r="O208" t="s">
        <v>126</v>
      </c>
      <c r="P208" t="s">
        <v>55</v>
      </c>
      <c r="Q208" s="4">
        <v>1983100</v>
      </c>
      <c r="R208" s="4">
        <v>1000</v>
      </c>
      <c r="S208" s="4">
        <v>900</v>
      </c>
      <c r="T208" s="4">
        <f>Tabla1[[#This Row],[OS-Valor Unitario]]-Tabla1[[#This Row],[costo_antes_iva]]</f>
        <v>-100</v>
      </c>
      <c r="U208" s="4">
        <f>Tabla1[[#This Row],[OS-Valor Unitario]]*Tabla1[[#This Row],[OS-Cantidad]]</f>
        <v>45900</v>
      </c>
      <c r="V208" s="4">
        <f>Tabla1[[#This Row],[costo_antes_iva]]*Tabla1[[#This Row],[OS-Cantidad]]</f>
        <v>51000</v>
      </c>
      <c r="W208" s="4">
        <f>Tabla1[[#This Row],[Valor total OS]]-Tabla1[[#This Row],[valor total op]]</f>
        <v>-5100</v>
      </c>
    </row>
    <row r="209" spans="1:23" x14ac:dyDescent="0.3">
      <c r="A209">
        <v>6492</v>
      </c>
      <c r="B209">
        <v>8</v>
      </c>
      <c r="C209" t="s">
        <v>791</v>
      </c>
      <c r="D209" t="s">
        <v>792</v>
      </c>
      <c r="E209" t="s">
        <v>51</v>
      </c>
      <c r="F209" t="s">
        <v>122</v>
      </c>
      <c r="G209" s="2">
        <v>46020</v>
      </c>
      <c r="H209">
        <v>77864591</v>
      </c>
      <c r="I209" t="s">
        <v>793</v>
      </c>
      <c r="J209" t="s">
        <v>767</v>
      </c>
      <c r="K209" t="s">
        <v>60</v>
      </c>
      <c r="L209">
        <v>50</v>
      </c>
      <c r="M209">
        <v>51</v>
      </c>
      <c r="N209" t="s">
        <v>795</v>
      </c>
      <c r="O209" t="s">
        <v>126</v>
      </c>
      <c r="P209" t="s">
        <v>55</v>
      </c>
      <c r="Q209" s="4">
        <v>1983100</v>
      </c>
      <c r="R209" s="4">
        <v>11500</v>
      </c>
      <c r="S209" s="4">
        <v>12000</v>
      </c>
      <c r="T209" s="4">
        <f>Tabla1[[#This Row],[OS-Valor Unitario]]-Tabla1[[#This Row],[costo_antes_iva]]</f>
        <v>500</v>
      </c>
      <c r="U209" s="4">
        <f>Tabla1[[#This Row],[OS-Valor Unitario]]*Tabla1[[#This Row],[OS-Cantidad]]</f>
        <v>612000</v>
      </c>
      <c r="V209" s="4">
        <f>Tabla1[[#This Row],[costo_antes_iva]]*Tabla1[[#This Row],[OS-Cantidad]]</f>
        <v>586500</v>
      </c>
      <c r="W209" s="4">
        <f>Tabla1[[#This Row],[Valor total OS]]-Tabla1[[#This Row],[valor total op]]</f>
        <v>25500</v>
      </c>
    </row>
    <row r="210" spans="1:23" x14ac:dyDescent="0.3">
      <c r="A210">
        <v>6492</v>
      </c>
      <c r="B210">
        <v>9</v>
      </c>
      <c r="C210" t="s">
        <v>796</v>
      </c>
      <c r="D210" t="s">
        <v>797</v>
      </c>
      <c r="E210" t="s">
        <v>79</v>
      </c>
      <c r="F210" t="s">
        <v>122</v>
      </c>
      <c r="G210" s="2">
        <v>46020</v>
      </c>
      <c r="H210">
        <v>77864602</v>
      </c>
      <c r="I210" t="s">
        <v>798</v>
      </c>
      <c r="J210" t="s">
        <v>767</v>
      </c>
      <c r="K210" t="s">
        <v>60</v>
      </c>
      <c r="L210">
        <v>22</v>
      </c>
      <c r="M210">
        <v>22</v>
      </c>
      <c r="N210" t="s">
        <v>799</v>
      </c>
      <c r="O210" t="s">
        <v>126</v>
      </c>
      <c r="P210" t="s">
        <v>85</v>
      </c>
      <c r="Q210" s="4">
        <v>712734</v>
      </c>
      <c r="R210" s="4">
        <v>7000</v>
      </c>
      <c r="S210" s="4">
        <v>8500</v>
      </c>
      <c r="T210" s="4">
        <f>Tabla1[[#This Row],[OS-Valor Unitario]]-Tabla1[[#This Row],[costo_antes_iva]]</f>
        <v>1500</v>
      </c>
      <c r="U210" s="4">
        <f>Tabla1[[#This Row],[OS-Valor Unitario]]*Tabla1[[#This Row],[OS-Cantidad]]</f>
        <v>187000</v>
      </c>
      <c r="V210" s="4">
        <f>Tabla1[[#This Row],[costo_antes_iva]]*Tabla1[[#This Row],[OS-Cantidad]]</f>
        <v>154000</v>
      </c>
      <c r="W210" s="4">
        <f>Tabla1[[#This Row],[Valor total OS]]-Tabla1[[#This Row],[valor total op]]</f>
        <v>33000</v>
      </c>
    </row>
    <row r="211" spans="1:23" x14ac:dyDescent="0.3">
      <c r="A211">
        <v>6492</v>
      </c>
      <c r="B211">
        <v>9</v>
      </c>
      <c r="C211" t="s">
        <v>796</v>
      </c>
      <c r="D211" t="s">
        <v>797</v>
      </c>
      <c r="E211" t="s">
        <v>79</v>
      </c>
      <c r="F211" t="s">
        <v>122</v>
      </c>
      <c r="G211" s="2">
        <v>46020</v>
      </c>
      <c r="H211">
        <v>77864602</v>
      </c>
      <c r="I211" t="s">
        <v>798</v>
      </c>
      <c r="J211" t="s">
        <v>767</v>
      </c>
      <c r="K211" t="s">
        <v>170</v>
      </c>
      <c r="L211">
        <v>22</v>
      </c>
      <c r="M211">
        <v>22</v>
      </c>
      <c r="N211" t="s">
        <v>800</v>
      </c>
      <c r="O211" t="s">
        <v>126</v>
      </c>
      <c r="P211" t="s">
        <v>85</v>
      </c>
      <c r="Q211" s="4">
        <v>712734</v>
      </c>
      <c r="R211" s="4">
        <v>1300</v>
      </c>
      <c r="S211" s="4">
        <v>1600</v>
      </c>
      <c r="T211" s="4">
        <f>Tabla1[[#This Row],[OS-Valor Unitario]]-Tabla1[[#This Row],[costo_antes_iva]]</f>
        <v>300</v>
      </c>
      <c r="U211" s="4">
        <f>Tabla1[[#This Row],[OS-Valor Unitario]]*Tabla1[[#This Row],[OS-Cantidad]]</f>
        <v>35200</v>
      </c>
      <c r="V211" s="4">
        <f>Tabla1[[#This Row],[costo_antes_iva]]*Tabla1[[#This Row],[OS-Cantidad]]</f>
        <v>28600</v>
      </c>
      <c r="W211" s="4">
        <f>Tabla1[[#This Row],[Valor total OS]]-Tabla1[[#This Row],[valor total op]]</f>
        <v>6600</v>
      </c>
    </row>
    <row r="212" spans="1:23" x14ac:dyDescent="0.3">
      <c r="A212">
        <v>6492</v>
      </c>
      <c r="B212">
        <v>10</v>
      </c>
      <c r="C212" t="s">
        <v>801</v>
      </c>
      <c r="D212" t="s">
        <v>802</v>
      </c>
      <c r="E212" t="s">
        <v>676</v>
      </c>
      <c r="F212" t="s">
        <v>122</v>
      </c>
      <c r="G212" s="2">
        <v>46020</v>
      </c>
      <c r="H212">
        <v>77864618</v>
      </c>
      <c r="I212" t="s">
        <v>803</v>
      </c>
      <c r="J212" t="s">
        <v>767</v>
      </c>
      <c r="K212" t="s">
        <v>170</v>
      </c>
      <c r="L212">
        <v>120</v>
      </c>
      <c r="M212">
        <v>120</v>
      </c>
      <c r="N212" t="s">
        <v>804</v>
      </c>
      <c r="O212" t="s">
        <v>126</v>
      </c>
      <c r="P212" t="s">
        <v>169</v>
      </c>
      <c r="Q212" s="4">
        <v>9213840</v>
      </c>
      <c r="R212" s="4">
        <v>800</v>
      </c>
      <c r="S212" s="4">
        <v>1400</v>
      </c>
      <c r="T212" s="4">
        <f>Tabla1[[#This Row],[OS-Valor Unitario]]-Tabla1[[#This Row],[costo_antes_iva]]</f>
        <v>600</v>
      </c>
      <c r="U212" s="4">
        <f>Tabla1[[#This Row],[OS-Valor Unitario]]*Tabla1[[#This Row],[OS-Cantidad]]</f>
        <v>168000</v>
      </c>
      <c r="V212" s="4">
        <f>Tabla1[[#This Row],[costo_antes_iva]]*Tabla1[[#This Row],[OS-Cantidad]]</f>
        <v>96000</v>
      </c>
      <c r="W212" s="4">
        <f>Tabla1[[#This Row],[Valor total OS]]-Tabla1[[#This Row],[valor total op]]</f>
        <v>72000</v>
      </c>
    </row>
    <row r="213" spans="1:23" x14ac:dyDescent="0.3">
      <c r="A213">
        <v>6492</v>
      </c>
      <c r="B213">
        <v>10</v>
      </c>
      <c r="C213" t="s">
        <v>801</v>
      </c>
      <c r="D213" t="s">
        <v>802</v>
      </c>
      <c r="E213" t="s">
        <v>676</v>
      </c>
      <c r="F213" t="s">
        <v>122</v>
      </c>
      <c r="G213" s="2">
        <v>46020</v>
      </c>
      <c r="H213">
        <v>77864618</v>
      </c>
      <c r="I213" t="s">
        <v>803</v>
      </c>
      <c r="J213" t="s">
        <v>767</v>
      </c>
      <c r="K213" t="s">
        <v>60</v>
      </c>
      <c r="L213">
        <v>120</v>
      </c>
      <c r="M213">
        <v>120</v>
      </c>
      <c r="N213" t="s">
        <v>805</v>
      </c>
      <c r="O213" t="s">
        <v>126</v>
      </c>
      <c r="P213" t="s">
        <v>169</v>
      </c>
      <c r="Q213" s="4">
        <v>9213840</v>
      </c>
      <c r="R213" s="4">
        <v>15000</v>
      </c>
      <c r="S213" s="4">
        <v>15500</v>
      </c>
      <c r="T213" s="4">
        <f>Tabla1[[#This Row],[OS-Valor Unitario]]-Tabla1[[#This Row],[costo_antes_iva]]</f>
        <v>500</v>
      </c>
      <c r="U213" s="4">
        <f>Tabla1[[#This Row],[OS-Valor Unitario]]*Tabla1[[#This Row],[OS-Cantidad]]</f>
        <v>1860000</v>
      </c>
      <c r="V213" s="4">
        <f>Tabla1[[#This Row],[costo_antes_iva]]*Tabla1[[#This Row],[OS-Cantidad]]</f>
        <v>1800000</v>
      </c>
      <c r="W213" s="4">
        <f>Tabla1[[#This Row],[Valor total OS]]-Tabla1[[#This Row],[valor total op]]</f>
        <v>60000</v>
      </c>
    </row>
    <row r="214" spans="1:23" x14ac:dyDescent="0.3">
      <c r="A214">
        <v>6492</v>
      </c>
      <c r="B214">
        <v>11</v>
      </c>
      <c r="C214" t="s">
        <v>806</v>
      </c>
      <c r="D214" t="s">
        <v>807</v>
      </c>
      <c r="E214" t="s">
        <v>232</v>
      </c>
      <c r="F214" t="s">
        <v>122</v>
      </c>
      <c r="G214" s="2">
        <v>46020</v>
      </c>
      <c r="H214">
        <v>77864629</v>
      </c>
      <c r="I214" t="s">
        <v>808</v>
      </c>
      <c r="J214" t="s">
        <v>767</v>
      </c>
      <c r="K214" t="s">
        <v>60</v>
      </c>
      <c r="L214">
        <v>200</v>
      </c>
      <c r="M214">
        <v>200</v>
      </c>
      <c r="N214" t="s">
        <v>809</v>
      </c>
      <c r="O214" t="s">
        <v>126</v>
      </c>
      <c r="P214" t="s">
        <v>85</v>
      </c>
      <c r="Q214" s="4">
        <v>8631800</v>
      </c>
      <c r="R214" s="4">
        <v>11500</v>
      </c>
      <c r="S214" s="4">
        <v>12000</v>
      </c>
      <c r="T214" s="4">
        <f>Tabla1[[#This Row],[OS-Valor Unitario]]-Tabla1[[#This Row],[costo_antes_iva]]</f>
        <v>500</v>
      </c>
      <c r="U214" s="4">
        <f>Tabla1[[#This Row],[OS-Valor Unitario]]*Tabla1[[#This Row],[OS-Cantidad]]</f>
        <v>2400000</v>
      </c>
      <c r="V214" s="4">
        <f>Tabla1[[#This Row],[costo_antes_iva]]*Tabla1[[#This Row],[OS-Cantidad]]</f>
        <v>2300000</v>
      </c>
      <c r="W214" s="4">
        <f>Tabla1[[#This Row],[Valor total OS]]-Tabla1[[#This Row],[valor total op]]</f>
        <v>100000</v>
      </c>
    </row>
    <row r="215" spans="1:23" x14ac:dyDescent="0.3">
      <c r="A215">
        <v>6492</v>
      </c>
      <c r="B215">
        <v>12</v>
      </c>
      <c r="C215" t="s">
        <v>810</v>
      </c>
      <c r="D215" t="s">
        <v>811</v>
      </c>
      <c r="E215" t="s">
        <v>396</v>
      </c>
      <c r="F215" t="s">
        <v>122</v>
      </c>
      <c r="G215" s="2">
        <v>46020</v>
      </c>
      <c r="H215">
        <v>77864643</v>
      </c>
      <c r="I215" t="s">
        <v>812</v>
      </c>
      <c r="J215" t="s">
        <v>767</v>
      </c>
      <c r="K215" t="s">
        <v>25</v>
      </c>
      <c r="L215">
        <v>40</v>
      </c>
      <c r="M215">
        <v>40</v>
      </c>
      <c r="N215" t="s">
        <v>813</v>
      </c>
      <c r="O215" t="s">
        <v>126</v>
      </c>
      <c r="P215" t="s">
        <v>72</v>
      </c>
      <c r="Q215" s="4">
        <v>1440560</v>
      </c>
      <c r="R215" s="4">
        <v>1000</v>
      </c>
      <c r="S215" s="4">
        <v>1200</v>
      </c>
      <c r="T215" s="4">
        <f>Tabla1[[#This Row],[OS-Valor Unitario]]-Tabla1[[#This Row],[costo_antes_iva]]</f>
        <v>200</v>
      </c>
      <c r="U215" s="4">
        <f>Tabla1[[#This Row],[OS-Valor Unitario]]*Tabla1[[#This Row],[OS-Cantidad]]</f>
        <v>48000</v>
      </c>
      <c r="V215" s="4">
        <f>Tabla1[[#This Row],[costo_antes_iva]]*Tabla1[[#This Row],[OS-Cantidad]]</f>
        <v>40000</v>
      </c>
      <c r="W215" s="4">
        <f>Tabla1[[#This Row],[Valor total OS]]-Tabla1[[#This Row],[valor total op]]</f>
        <v>8000</v>
      </c>
    </row>
    <row r="216" spans="1:23" x14ac:dyDescent="0.3">
      <c r="A216">
        <v>6492</v>
      </c>
      <c r="B216">
        <v>13</v>
      </c>
      <c r="C216" t="s">
        <v>814</v>
      </c>
      <c r="D216" t="s">
        <v>815</v>
      </c>
      <c r="E216" t="s">
        <v>207</v>
      </c>
      <c r="F216" t="s">
        <v>122</v>
      </c>
      <c r="G216" s="2">
        <v>46020</v>
      </c>
      <c r="H216">
        <v>77869372</v>
      </c>
      <c r="I216" t="s">
        <v>816</v>
      </c>
      <c r="J216" t="s">
        <v>817</v>
      </c>
      <c r="K216" t="s">
        <v>60</v>
      </c>
      <c r="L216">
        <v>60</v>
      </c>
      <c r="M216">
        <v>60</v>
      </c>
      <c r="N216" t="s">
        <v>818</v>
      </c>
      <c r="O216" t="s">
        <v>126</v>
      </c>
      <c r="P216" t="s">
        <v>212</v>
      </c>
      <c r="Q216" s="4">
        <v>4242300</v>
      </c>
      <c r="R216" s="4">
        <v>39220</v>
      </c>
      <c r="S216" s="4">
        <v>39200</v>
      </c>
      <c r="T216" s="4">
        <f>Tabla1[[#This Row],[OS-Valor Unitario]]-Tabla1[[#This Row],[costo_antes_iva]]</f>
        <v>-20</v>
      </c>
      <c r="U216" s="4">
        <f>Tabla1[[#This Row],[OS-Valor Unitario]]*Tabla1[[#This Row],[OS-Cantidad]]</f>
        <v>2352000</v>
      </c>
      <c r="V216" s="4">
        <f>Tabla1[[#This Row],[costo_antes_iva]]*Tabla1[[#This Row],[OS-Cantidad]]</f>
        <v>2353200</v>
      </c>
      <c r="W216" s="4">
        <f>Tabla1[[#This Row],[Valor total OS]]-Tabla1[[#This Row],[valor total op]]</f>
        <v>-1200</v>
      </c>
    </row>
    <row r="217" spans="1:23" x14ac:dyDescent="0.3">
      <c r="A217">
        <v>6492</v>
      </c>
      <c r="B217">
        <v>14</v>
      </c>
      <c r="C217" t="s">
        <v>819</v>
      </c>
      <c r="D217" t="s">
        <v>820</v>
      </c>
      <c r="E217" t="s">
        <v>676</v>
      </c>
      <c r="F217" t="s">
        <v>122</v>
      </c>
      <c r="G217" s="2">
        <v>46020</v>
      </c>
      <c r="H217">
        <v>77864652</v>
      </c>
      <c r="I217" t="s">
        <v>821</v>
      </c>
      <c r="J217" t="s">
        <v>767</v>
      </c>
      <c r="K217" t="s">
        <v>170</v>
      </c>
      <c r="L217">
        <v>10</v>
      </c>
      <c r="M217">
        <v>10</v>
      </c>
      <c r="N217" t="s">
        <v>822</v>
      </c>
      <c r="O217" t="s">
        <v>126</v>
      </c>
      <c r="P217" t="s">
        <v>169</v>
      </c>
      <c r="Q217" s="4">
        <v>523200</v>
      </c>
      <c r="R217" s="4">
        <v>1500</v>
      </c>
      <c r="S217" s="4">
        <v>6000</v>
      </c>
      <c r="T217" s="4">
        <f>Tabla1[[#This Row],[OS-Valor Unitario]]-Tabla1[[#This Row],[costo_antes_iva]]</f>
        <v>4500</v>
      </c>
      <c r="U217" s="4">
        <f>Tabla1[[#This Row],[OS-Valor Unitario]]*Tabla1[[#This Row],[OS-Cantidad]]</f>
        <v>60000</v>
      </c>
      <c r="V217" s="4">
        <f>Tabla1[[#This Row],[costo_antes_iva]]*Tabla1[[#This Row],[OS-Cantidad]]</f>
        <v>15000</v>
      </c>
      <c r="W217" s="4">
        <f>Tabla1[[#This Row],[Valor total OS]]-Tabla1[[#This Row],[valor total op]]</f>
        <v>45000</v>
      </c>
    </row>
    <row r="218" spans="1:23" x14ac:dyDescent="0.3">
      <c r="A218">
        <v>6492</v>
      </c>
      <c r="B218">
        <v>14</v>
      </c>
      <c r="C218" t="s">
        <v>819</v>
      </c>
      <c r="D218" t="s">
        <v>820</v>
      </c>
      <c r="E218" t="s">
        <v>676</v>
      </c>
      <c r="F218" t="s">
        <v>122</v>
      </c>
      <c r="G218" s="2">
        <v>46020</v>
      </c>
      <c r="H218">
        <v>77864652</v>
      </c>
      <c r="I218" t="s">
        <v>821</v>
      </c>
      <c r="J218" t="s">
        <v>767</v>
      </c>
      <c r="K218" t="s">
        <v>60</v>
      </c>
      <c r="L218">
        <v>10</v>
      </c>
      <c r="M218">
        <v>10</v>
      </c>
      <c r="N218" t="s">
        <v>823</v>
      </c>
      <c r="O218" t="s">
        <v>126</v>
      </c>
      <c r="P218" t="s">
        <v>169</v>
      </c>
      <c r="Q218" s="4">
        <v>523200</v>
      </c>
      <c r="R218" s="4">
        <v>13000</v>
      </c>
      <c r="S218" s="4">
        <v>14000</v>
      </c>
      <c r="T218" s="4">
        <f>Tabla1[[#This Row],[OS-Valor Unitario]]-Tabla1[[#This Row],[costo_antes_iva]]</f>
        <v>1000</v>
      </c>
      <c r="U218" s="4">
        <f>Tabla1[[#This Row],[OS-Valor Unitario]]*Tabla1[[#This Row],[OS-Cantidad]]</f>
        <v>140000</v>
      </c>
      <c r="V218" s="4">
        <f>Tabla1[[#This Row],[costo_antes_iva]]*Tabla1[[#This Row],[OS-Cantidad]]</f>
        <v>130000</v>
      </c>
      <c r="W218" s="4">
        <f>Tabla1[[#This Row],[Valor total OS]]-Tabla1[[#This Row],[valor total op]]</f>
        <v>10000</v>
      </c>
    </row>
    <row r="219" spans="1:23" x14ac:dyDescent="0.3">
      <c r="A219">
        <v>6492</v>
      </c>
      <c r="B219">
        <v>15</v>
      </c>
      <c r="C219" t="s">
        <v>824</v>
      </c>
      <c r="D219" t="s">
        <v>825</v>
      </c>
      <c r="E219" t="s">
        <v>826</v>
      </c>
      <c r="F219" t="s">
        <v>122</v>
      </c>
      <c r="G219" s="2">
        <v>46020</v>
      </c>
      <c r="H219">
        <v>77869378</v>
      </c>
      <c r="I219" t="s">
        <v>816</v>
      </c>
      <c r="J219" t="s">
        <v>817</v>
      </c>
      <c r="K219" t="s">
        <v>138</v>
      </c>
      <c r="L219">
        <v>50</v>
      </c>
      <c r="M219">
        <v>50</v>
      </c>
      <c r="N219" t="s">
        <v>827</v>
      </c>
      <c r="O219" t="s">
        <v>126</v>
      </c>
      <c r="P219" t="s">
        <v>253</v>
      </c>
      <c r="Q219" s="4">
        <v>2969150</v>
      </c>
      <c r="R219" s="4">
        <v>6000</v>
      </c>
      <c r="S219" s="4">
        <v>1156</v>
      </c>
      <c r="T219" s="4">
        <f>Tabla1[[#This Row],[OS-Valor Unitario]]-Tabla1[[#This Row],[costo_antes_iva]]</f>
        <v>-4844</v>
      </c>
      <c r="U219" s="4">
        <f>Tabla1[[#This Row],[OS-Valor Unitario]]*Tabla1[[#This Row],[OS-Cantidad]]</f>
        <v>57800</v>
      </c>
      <c r="V219" s="4">
        <f>Tabla1[[#This Row],[costo_antes_iva]]*Tabla1[[#This Row],[OS-Cantidad]]</f>
        <v>300000</v>
      </c>
      <c r="W219" s="4">
        <f>Tabla1[[#This Row],[Valor total OS]]-Tabla1[[#This Row],[valor total op]]</f>
        <v>-242200</v>
      </c>
    </row>
    <row r="220" spans="1:23" x14ac:dyDescent="0.3">
      <c r="A220">
        <v>6492</v>
      </c>
      <c r="B220">
        <v>15</v>
      </c>
      <c r="C220" t="s">
        <v>824</v>
      </c>
      <c r="D220" t="s">
        <v>825</v>
      </c>
      <c r="E220" t="s">
        <v>826</v>
      </c>
      <c r="F220" t="s">
        <v>122</v>
      </c>
      <c r="G220" s="2">
        <v>46020</v>
      </c>
      <c r="H220">
        <v>77869378</v>
      </c>
      <c r="I220" t="s">
        <v>816</v>
      </c>
      <c r="J220" t="s">
        <v>817</v>
      </c>
      <c r="K220" t="s">
        <v>60</v>
      </c>
      <c r="L220">
        <v>50</v>
      </c>
      <c r="M220">
        <v>50</v>
      </c>
      <c r="N220" t="s">
        <v>828</v>
      </c>
      <c r="O220" t="s">
        <v>126</v>
      </c>
      <c r="P220" t="s">
        <v>253</v>
      </c>
      <c r="Q220" s="4">
        <v>2969150</v>
      </c>
      <c r="R220" s="4">
        <v>12500</v>
      </c>
      <c r="S220" s="4">
        <v>9000</v>
      </c>
      <c r="T220" s="4">
        <f>Tabla1[[#This Row],[OS-Valor Unitario]]-Tabla1[[#This Row],[costo_antes_iva]]</f>
        <v>-3500</v>
      </c>
      <c r="U220" s="4">
        <f>Tabla1[[#This Row],[OS-Valor Unitario]]*Tabla1[[#This Row],[OS-Cantidad]]</f>
        <v>450000</v>
      </c>
      <c r="V220" s="4">
        <f>Tabla1[[#This Row],[costo_antes_iva]]*Tabla1[[#This Row],[OS-Cantidad]]</f>
        <v>625000</v>
      </c>
      <c r="W220" s="4">
        <f>Tabla1[[#This Row],[Valor total OS]]-Tabla1[[#This Row],[valor total op]]</f>
        <v>-175000</v>
      </c>
    </row>
    <row r="221" spans="1:23" x14ac:dyDescent="0.3">
      <c r="A221">
        <v>6492</v>
      </c>
      <c r="B221">
        <v>16</v>
      </c>
      <c r="C221" t="s">
        <v>829</v>
      </c>
      <c r="D221" t="s">
        <v>830</v>
      </c>
      <c r="E221" t="s">
        <v>96</v>
      </c>
      <c r="F221" t="s">
        <v>122</v>
      </c>
      <c r="G221" s="2">
        <v>46020</v>
      </c>
      <c r="H221">
        <v>77864662</v>
      </c>
      <c r="I221" t="s">
        <v>831</v>
      </c>
      <c r="J221" t="s">
        <v>767</v>
      </c>
      <c r="K221" t="s">
        <v>60</v>
      </c>
      <c r="L221">
        <v>4</v>
      </c>
      <c r="M221">
        <v>4</v>
      </c>
      <c r="N221" t="s">
        <v>832</v>
      </c>
      <c r="O221" t="s">
        <v>126</v>
      </c>
      <c r="P221" t="s">
        <v>28</v>
      </c>
      <c r="Q221" s="4">
        <v>81800</v>
      </c>
      <c r="R221" s="4">
        <v>3200</v>
      </c>
      <c r="S221" s="4">
        <v>5000</v>
      </c>
      <c r="T221" s="4">
        <f>Tabla1[[#This Row],[OS-Valor Unitario]]-Tabla1[[#This Row],[costo_antes_iva]]</f>
        <v>1800</v>
      </c>
      <c r="U221" s="4">
        <f>Tabla1[[#This Row],[OS-Valor Unitario]]*Tabla1[[#This Row],[OS-Cantidad]]</f>
        <v>20000</v>
      </c>
      <c r="V221" s="4">
        <f>Tabla1[[#This Row],[costo_antes_iva]]*Tabla1[[#This Row],[OS-Cantidad]]</f>
        <v>12800</v>
      </c>
      <c r="W221" s="4">
        <f>Tabla1[[#This Row],[Valor total OS]]-Tabla1[[#This Row],[valor total op]]</f>
        <v>7200</v>
      </c>
    </row>
    <row r="222" spans="1:23" x14ac:dyDescent="0.3">
      <c r="A222">
        <v>6492</v>
      </c>
      <c r="B222">
        <v>16</v>
      </c>
      <c r="C222" t="s">
        <v>829</v>
      </c>
      <c r="D222" t="s">
        <v>830</v>
      </c>
      <c r="E222" t="s">
        <v>96</v>
      </c>
      <c r="F222" t="s">
        <v>122</v>
      </c>
      <c r="G222" s="2">
        <v>46020</v>
      </c>
      <c r="H222">
        <v>77864662</v>
      </c>
      <c r="I222" t="s">
        <v>831</v>
      </c>
      <c r="J222" t="s">
        <v>767</v>
      </c>
      <c r="K222" t="s">
        <v>25</v>
      </c>
      <c r="L222">
        <v>4</v>
      </c>
      <c r="M222">
        <v>4</v>
      </c>
      <c r="N222" t="s">
        <v>833</v>
      </c>
      <c r="O222" t="s">
        <v>126</v>
      </c>
      <c r="P222" t="s">
        <v>28</v>
      </c>
      <c r="Q222" s="4">
        <v>81800</v>
      </c>
      <c r="R222" s="4">
        <v>900</v>
      </c>
      <c r="S222" s="4">
        <v>900</v>
      </c>
      <c r="T222" s="4">
        <f>Tabla1[[#This Row],[OS-Valor Unitario]]-Tabla1[[#This Row],[costo_antes_iva]]</f>
        <v>0</v>
      </c>
      <c r="U222" s="4">
        <f>Tabla1[[#This Row],[OS-Valor Unitario]]*Tabla1[[#This Row],[OS-Cantidad]]</f>
        <v>3600</v>
      </c>
      <c r="V222" s="4">
        <f>Tabla1[[#This Row],[costo_antes_iva]]*Tabla1[[#This Row],[OS-Cantidad]]</f>
        <v>3600</v>
      </c>
      <c r="W222" s="4">
        <f>Tabla1[[#This Row],[Valor total OS]]-Tabla1[[#This Row],[valor total op]]</f>
        <v>0</v>
      </c>
    </row>
    <row r="223" spans="1:23" x14ac:dyDescent="0.3">
      <c r="A223">
        <v>6492</v>
      </c>
      <c r="B223">
        <v>17</v>
      </c>
      <c r="C223" t="s">
        <v>834</v>
      </c>
      <c r="D223" t="s">
        <v>835</v>
      </c>
      <c r="E223" t="s">
        <v>826</v>
      </c>
      <c r="F223" t="s">
        <v>122</v>
      </c>
      <c r="G223" s="2">
        <v>46020</v>
      </c>
      <c r="H223">
        <v>77863990</v>
      </c>
      <c r="I223" t="s">
        <v>836</v>
      </c>
      <c r="J223" t="s">
        <v>817</v>
      </c>
      <c r="K223" t="s">
        <v>170</v>
      </c>
      <c r="L223">
        <v>12</v>
      </c>
      <c r="M223">
        <v>24</v>
      </c>
      <c r="N223" t="s">
        <v>837</v>
      </c>
      <c r="O223" t="s">
        <v>126</v>
      </c>
      <c r="P223" t="s">
        <v>253</v>
      </c>
      <c r="Q223" s="4">
        <v>645924</v>
      </c>
      <c r="R223" s="4">
        <v>800</v>
      </c>
      <c r="S223" s="4">
        <v>1900</v>
      </c>
      <c r="T223" s="4">
        <f>Tabla1[[#This Row],[OS-Valor Unitario]]-Tabla1[[#This Row],[costo_antes_iva]]</f>
        <v>1100</v>
      </c>
      <c r="U223" s="4">
        <f>Tabla1[[#This Row],[OS-Valor Unitario]]*Tabla1[[#This Row],[OS-Cantidad]]</f>
        <v>45600</v>
      </c>
      <c r="V223" s="4">
        <f>Tabla1[[#This Row],[costo_antes_iva]]*Tabla1[[#This Row],[OS-Cantidad]]</f>
        <v>19200</v>
      </c>
      <c r="W223" s="4">
        <f>Tabla1[[#This Row],[Valor total OS]]-Tabla1[[#This Row],[valor total op]]</f>
        <v>26400</v>
      </c>
    </row>
    <row r="224" spans="1:23" x14ac:dyDescent="0.3">
      <c r="A224">
        <v>6492</v>
      </c>
      <c r="B224">
        <v>17</v>
      </c>
      <c r="C224" t="s">
        <v>834</v>
      </c>
      <c r="D224" t="s">
        <v>835</v>
      </c>
      <c r="E224" t="s">
        <v>826</v>
      </c>
      <c r="F224" t="s">
        <v>122</v>
      </c>
      <c r="G224" s="2">
        <v>46020</v>
      </c>
      <c r="H224">
        <v>77863990</v>
      </c>
      <c r="I224" t="s">
        <v>836</v>
      </c>
      <c r="J224" t="s">
        <v>817</v>
      </c>
      <c r="K224" t="s">
        <v>60</v>
      </c>
      <c r="L224">
        <v>12</v>
      </c>
      <c r="M224">
        <v>12</v>
      </c>
      <c r="N224" t="s">
        <v>838</v>
      </c>
      <c r="O224" t="s">
        <v>126</v>
      </c>
      <c r="P224" t="s">
        <v>253</v>
      </c>
      <c r="Q224" s="4">
        <v>645924</v>
      </c>
      <c r="R224" s="4">
        <v>12500</v>
      </c>
      <c r="S224" s="4">
        <v>12000</v>
      </c>
      <c r="T224" s="4">
        <f>Tabla1[[#This Row],[OS-Valor Unitario]]-Tabla1[[#This Row],[costo_antes_iva]]</f>
        <v>-500</v>
      </c>
      <c r="U224" s="4">
        <f>Tabla1[[#This Row],[OS-Valor Unitario]]*Tabla1[[#This Row],[OS-Cantidad]]</f>
        <v>144000</v>
      </c>
      <c r="V224" s="4">
        <f>Tabla1[[#This Row],[costo_antes_iva]]*Tabla1[[#This Row],[OS-Cantidad]]</f>
        <v>150000</v>
      </c>
      <c r="W224" s="4">
        <f>Tabla1[[#This Row],[Valor total OS]]-Tabla1[[#This Row],[valor total op]]</f>
        <v>-6000</v>
      </c>
    </row>
    <row r="225" spans="1:23" x14ac:dyDescent="0.3">
      <c r="A225">
        <v>6492</v>
      </c>
      <c r="B225">
        <v>18</v>
      </c>
      <c r="C225" t="s">
        <v>839</v>
      </c>
      <c r="D225" t="s">
        <v>840</v>
      </c>
      <c r="E225" t="s">
        <v>396</v>
      </c>
      <c r="F225" t="s">
        <v>122</v>
      </c>
      <c r="G225" s="2">
        <v>46020</v>
      </c>
      <c r="H225">
        <v>77864668</v>
      </c>
      <c r="I225" t="s">
        <v>841</v>
      </c>
      <c r="J225" t="s">
        <v>767</v>
      </c>
      <c r="K225" t="s">
        <v>60</v>
      </c>
      <c r="L225">
        <v>140</v>
      </c>
      <c r="M225">
        <v>140</v>
      </c>
      <c r="N225" t="s">
        <v>842</v>
      </c>
      <c r="O225" t="s">
        <v>126</v>
      </c>
      <c r="P225" t="s">
        <v>72</v>
      </c>
      <c r="Q225" s="4">
        <v>4264400</v>
      </c>
      <c r="R225" s="4">
        <v>7500</v>
      </c>
      <c r="S225" s="4">
        <v>12000</v>
      </c>
      <c r="T225" s="4">
        <f>Tabla1[[#This Row],[OS-Valor Unitario]]-Tabla1[[#This Row],[costo_antes_iva]]</f>
        <v>4500</v>
      </c>
      <c r="U225" s="4">
        <f>Tabla1[[#This Row],[OS-Valor Unitario]]*Tabla1[[#This Row],[OS-Cantidad]]</f>
        <v>1680000</v>
      </c>
      <c r="V225" s="4">
        <f>Tabla1[[#This Row],[costo_antes_iva]]*Tabla1[[#This Row],[OS-Cantidad]]</f>
        <v>1050000</v>
      </c>
      <c r="W225" s="4">
        <f>Tabla1[[#This Row],[Valor total OS]]-Tabla1[[#This Row],[valor total op]]</f>
        <v>630000</v>
      </c>
    </row>
    <row r="226" spans="1:23" x14ac:dyDescent="0.3">
      <c r="A226">
        <v>6492</v>
      </c>
      <c r="B226">
        <v>19</v>
      </c>
      <c r="C226" t="s">
        <v>843</v>
      </c>
      <c r="D226" t="s">
        <v>844</v>
      </c>
      <c r="E226" t="s">
        <v>845</v>
      </c>
      <c r="F226" t="s">
        <v>122</v>
      </c>
      <c r="G226" s="2">
        <v>46020</v>
      </c>
      <c r="H226">
        <v>77869427</v>
      </c>
      <c r="I226" t="s">
        <v>846</v>
      </c>
      <c r="J226" t="s">
        <v>817</v>
      </c>
      <c r="K226" t="s">
        <v>25</v>
      </c>
      <c r="L226">
        <v>30</v>
      </c>
      <c r="M226">
        <v>30</v>
      </c>
      <c r="N226" t="s">
        <v>847</v>
      </c>
      <c r="O226" t="s">
        <v>126</v>
      </c>
      <c r="P226" t="s">
        <v>85</v>
      </c>
      <c r="Q226" s="4">
        <v>997560</v>
      </c>
      <c r="R226" s="4">
        <v>1000</v>
      </c>
      <c r="S226" s="4">
        <v>900</v>
      </c>
      <c r="T226" s="4">
        <f>Tabla1[[#This Row],[OS-Valor Unitario]]-Tabla1[[#This Row],[costo_antes_iva]]</f>
        <v>-100</v>
      </c>
      <c r="U226" s="4">
        <f>Tabla1[[#This Row],[OS-Valor Unitario]]*Tabla1[[#This Row],[OS-Cantidad]]</f>
        <v>27000</v>
      </c>
      <c r="V226" s="4">
        <f>Tabla1[[#This Row],[costo_antes_iva]]*Tabla1[[#This Row],[OS-Cantidad]]</f>
        <v>30000</v>
      </c>
      <c r="W226" s="4">
        <f>Tabla1[[#This Row],[Valor total OS]]-Tabla1[[#This Row],[valor total op]]</f>
        <v>-3000</v>
      </c>
    </row>
    <row r="227" spans="1:23" x14ac:dyDescent="0.3">
      <c r="A227">
        <v>6492</v>
      </c>
      <c r="B227">
        <v>19</v>
      </c>
      <c r="C227" t="s">
        <v>843</v>
      </c>
      <c r="D227" t="s">
        <v>844</v>
      </c>
      <c r="E227" t="s">
        <v>845</v>
      </c>
      <c r="F227" t="s">
        <v>122</v>
      </c>
      <c r="G227" s="2">
        <v>46020</v>
      </c>
      <c r="H227">
        <v>77869427</v>
      </c>
      <c r="I227" t="s">
        <v>846</v>
      </c>
      <c r="J227" t="s">
        <v>817</v>
      </c>
      <c r="K227" t="s">
        <v>60</v>
      </c>
      <c r="L227">
        <v>30</v>
      </c>
      <c r="M227">
        <v>30</v>
      </c>
      <c r="N227" t="s">
        <v>848</v>
      </c>
      <c r="O227" t="s">
        <v>126</v>
      </c>
      <c r="P227" t="s">
        <v>85</v>
      </c>
      <c r="Q227" s="4">
        <v>997560</v>
      </c>
      <c r="R227" s="4">
        <v>11500</v>
      </c>
      <c r="S227" s="4">
        <v>13000</v>
      </c>
      <c r="T227" s="4">
        <f>Tabla1[[#This Row],[OS-Valor Unitario]]-Tabla1[[#This Row],[costo_antes_iva]]</f>
        <v>1500</v>
      </c>
      <c r="U227" s="4">
        <f>Tabla1[[#This Row],[OS-Valor Unitario]]*Tabla1[[#This Row],[OS-Cantidad]]</f>
        <v>390000</v>
      </c>
      <c r="V227" s="4">
        <f>Tabla1[[#This Row],[costo_antes_iva]]*Tabla1[[#This Row],[OS-Cantidad]]</f>
        <v>345000</v>
      </c>
      <c r="W227" s="4">
        <f>Tabla1[[#This Row],[Valor total OS]]-Tabla1[[#This Row],[valor total op]]</f>
        <v>45000</v>
      </c>
    </row>
    <row r="228" spans="1:23" x14ac:dyDescent="0.3">
      <c r="A228">
        <v>6492</v>
      </c>
      <c r="B228">
        <v>20</v>
      </c>
      <c r="C228" t="s">
        <v>849</v>
      </c>
      <c r="D228" t="s">
        <v>850</v>
      </c>
      <c r="E228" t="s">
        <v>826</v>
      </c>
      <c r="F228" t="s">
        <v>122</v>
      </c>
      <c r="G228" s="2">
        <v>46020</v>
      </c>
      <c r="H228">
        <v>77869273</v>
      </c>
      <c r="I228" t="s">
        <v>846</v>
      </c>
      <c r="J228" t="s">
        <v>817</v>
      </c>
      <c r="K228" t="s">
        <v>170</v>
      </c>
      <c r="L228">
        <v>6</v>
      </c>
      <c r="M228">
        <v>12</v>
      </c>
      <c r="N228" t="s">
        <v>851</v>
      </c>
      <c r="O228" t="s">
        <v>126</v>
      </c>
      <c r="P228" t="s">
        <v>253</v>
      </c>
      <c r="Q228" s="4">
        <v>322476</v>
      </c>
      <c r="R228" s="4">
        <v>800</v>
      </c>
      <c r="S228" s="4">
        <v>2450</v>
      </c>
      <c r="T228" s="4">
        <f>Tabla1[[#This Row],[OS-Valor Unitario]]-Tabla1[[#This Row],[costo_antes_iva]]</f>
        <v>1650</v>
      </c>
      <c r="U228" s="4">
        <f>Tabla1[[#This Row],[OS-Valor Unitario]]*Tabla1[[#This Row],[OS-Cantidad]]</f>
        <v>29400</v>
      </c>
      <c r="V228" s="4">
        <f>Tabla1[[#This Row],[costo_antes_iva]]*Tabla1[[#This Row],[OS-Cantidad]]</f>
        <v>9600</v>
      </c>
      <c r="W228" s="4">
        <f>Tabla1[[#This Row],[Valor total OS]]-Tabla1[[#This Row],[valor total op]]</f>
        <v>19800</v>
      </c>
    </row>
    <row r="229" spans="1:23" x14ac:dyDescent="0.3">
      <c r="A229">
        <v>6492</v>
      </c>
      <c r="B229">
        <v>20</v>
      </c>
      <c r="C229" t="s">
        <v>849</v>
      </c>
      <c r="D229" t="s">
        <v>850</v>
      </c>
      <c r="E229" t="s">
        <v>826</v>
      </c>
      <c r="F229" t="s">
        <v>122</v>
      </c>
      <c r="G229" s="2">
        <v>46020</v>
      </c>
      <c r="H229">
        <v>77869273</v>
      </c>
      <c r="I229" t="s">
        <v>846</v>
      </c>
      <c r="J229" t="s">
        <v>817</v>
      </c>
      <c r="K229" t="s">
        <v>60</v>
      </c>
      <c r="L229">
        <v>6</v>
      </c>
      <c r="M229">
        <v>6</v>
      </c>
      <c r="N229" t="s">
        <v>852</v>
      </c>
      <c r="O229" t="s">
        <v>126</v>
      </c>
      <c r="P229" t="s">
        <v>253</v>
      </c>
      <c r="Q229" s="4">
        <v>322476</v>
      </c>
      <c r="R229" s="4">
        <v>12500</v>
      </c>
      <c r="S229" s="4">
        <v>12000</v>
      </c>
      <c r="T229" s="4">
        <f>Tabla1[[#This Row],[OS-Valor Unitario]]-Tabla1[[#This Row],[costo_antes_iva]]</f>
        <v>-500</v>
      </c>
      <c r="U229" s="4">
        <f>Tabla1[[#This Row],[OS-Valor Unitario]]*Tabla1[[#This Row],[OS-Cantidad]]</f>
        <v>72000</v>
      </c>
      <c r="V229" s="4">
        <f>Tabla1[[#This Row],[costo_antes_iva]]*Tabla1[[#This Row],[OS-Cantidad]]</f>
        <v>75000</v>
      </c>
      <c r="W229" s="4">
        <f>Tabla1[[#This Row],[Valor total OS]]-Tabla1[[#This Row],[valor total op]]</f>
        <v>-3000</v>
      </c>
    </row>
    <row r="230" spans="1:23" x14ac:dyDescent="0.3">
      <c r="A230">
        <v>6492</v>
      </c>
      <c r="B230">
        <v>21</v>
      </c>
      <c r="C230" t="s">
        <v>853</v>
      </c>
      <c r="D230" t="s">
        <v>854</v>
      </c>
      <c r="E230" t="s">
        <v>845</v>
      </c>
      <c r="F230" t="s">
        <v>122</v>
      </c>
      <c r="G230" s="2">
        <v>46020</v>
      </c>
      <c r="H230">
        <v>77869395</v>
      </c>
      <c r="I230" t="s">
        <v>747</v>
      </c>
      <c r="J230" t="s">
        <v>748</v>
      </c>
      <c r="K230" t="s">
        <v>60</v>
      </c>
      <c r="L230">
        <v>50</v>
      </c>
      <c r="M230">
        <v>50</v>
      </c>
      <c r="N230" t="s">
        <v>855</v>
      </c>
      <c r="O230" t="s">
        <v>126</v>
      </c>
      <c r="P230" t="s">
        <v>85</v>
      </c>
      <c r="Q230" s="4">
        <v>2341350</v>
      </c>
      <c r="R230" s="4">
        <v>11500</v>
      </c>
      <c r="S230" s="4">
        <v>13000</v>
      </c>
      <c r="T230" s="4">
        <f>Tabla1[[#This Row],[OS-Valor Unitario]]-Tabla1[[#This Row],[costo_antes_iva]]</f>
        <v>1500</v>
      </c>
      <c r="U230" s="4">
        <f>Tabla1[[#This Row],[OS-Valor Unitario]]*Tabla1[[#This Row],[OS-Cantidad]]</f>
        <v>650000</v>
      </c>
      <c r="V230" s="4">
        <f>Tabla1[[#This Row],[costo_antes_iva]]*Tabla1[[#This Row],[OS-Cantidad]]</f>
        <v>575000</v>
      </c>
      <c r="W230" s="4">
        <f>Tabla1[[#This Row],[Valor total OS]]-Tabla1[[#This Row],[valor total op]]</f>
        <v>75000</v>
      </c>
    </row>
    <row r="231" spans="1:23" x14ac:dyDescent="0.3">
      <c r="A231">
        <v>6492</v>
      </c>
      <c r="B231">
        <v>22</v>
      </c>
      <c r="C231" t="s">
        <v>856</v>
      </c>
      <c r="D231" t="s">
        <v>857</v>
      </c>
      <c r="E231" t="s">
        <v>51</v>
      </c>
      <c r="F231" t="s">
        <v>122</v>
      </c>
      <c r="G231" s="2">
        <v>46020</v>
      </c>
      <c r="H231">
        <v>77864131</v>
      </c>
      <c r="I231" t="s">
        <v>858</v>
      </c>
      <c r="J231" t="s">
        <v>859</v>
      </c>
      <c r="K231" t="s">
        <v>25</v>
      </c>
      <c r="L231">
        <v>12</v>
      </c>
      <c r="M231">
        <v>12</v>
      </c>
      <c r="N231" t="s">
        <v>860</v>
      </c>
      <c r="O231" t="s">
        <v>126</v>
      </c>
      <c r="P231" t="s">
        <v>55</v>
      </c>
      <c r="Q231" s="4">
        <v>722052</v>
      </c>
      <c r="R231" s="4">
        <v>1000</v>
      </c>
      <c r="S231" s="4">
        <v>900</v>
      </c>
      <c r="T231" s="4">
        <f>Tabla1[[#This Row],[OS-Valor Unitario]]-Tabla1[[#This Row],[costo_antes_iva]]</f>
        <v>-100</v>
      </c>
      <c r="U231" s="4">
        <f>Tabla1[[#This Row],[OS-Valor Unitario]]*Tabla1[[#This Row],[OS-Cantidad]]</f>
        <v>10800</v>
      </c>
      <c r="V231" s="4">
        <f>Tabla1[[#This Row],[costo_antes_iva]]*Tabla1[[#This Row],[OS-Cantidad]]</f>
        <v>12000</v>
      </c>
      <c r="W231" s="4">
        <f>Tabla1[[#This Row],[Valor total OS]]-Tabla1[[#This Row],[valor total op]]</f>
        <v>-1200</v>
      </c>
    </row>
    <row r="232" spans="1:23" x14ac:dyDescent="0.3">
      <c r="A232">
        <v>6492</v>
      </c>
      <c r="B232">
        <v>22</v>
      </c>
      <c r="C232" t="s">
        <v>856</v>
      </c>
      <c r="D232" t="s">
        <v>857</v>
      </c>
      <c r="E232" t="s">
        <v>51</v>
      </c>
      <c r="F232" t="s">
        <v>122</v>
      </c>
      <c r="G232" s="2">
        <v>46020</v>
      </c>
      <c r="H232">
        <v>77864131</v>
      </c>
      <c r="I232" t="s">
        <v>858</v>
      </c>
      <c r="J232" t="s">
        <v>859</v>
      </c>
      <c r="K232" t="s">
        <v>60</v>
      </c>
      <c r="L232">
        <v>12</v>
      </c>
      <c r="M232">
        <v>12</v>
      </c>
      <c r="N232" t="s">
        <v>861</v>
      </c>
      <c r="O232" t="s">
        <v>126</v>
      </c>
      <c r="P232" t="s">
        <v>55</v>
      </c>
      <c r="Q232" s="4">
        <v>722052</v>
      </c>
      <c r="R232" s="4">
        <v>11500</v>
      </c>
      <c r="S232" s="4">
        <v>11500</v>
      </c>
      <c r="T232" s="4">
        <f>Tabla1[[#This Row],[OS-Valor Unitario]]-Tabla1[[#This Row],[costo_antes_iva]]</f>
        <v>0</v>
      </c>
      <c r="U232" s="4">
        <f>Tabla1[[#This Row],[OS-Valor Unitario]]*Tabla1[[#This Row],[OS-Cantidad]]</f>
        <v>138000</v>
      </c>
      <c r="V232" s="4">
        <f>Tabla1[[#This Row],[costo_antes_iva]]*Tabla1[[#This Row],[OS-Cantidad]]</f>
        <v>138000</v>
      </c>
      <c r="W232" s="4">
        <f>Tabla1[[#This Row],[Valor total OS]]-Tabla1[[#This Row],[valor total op]]</f>
        <v>0</v>
      </c>
    </row>
    <row r="233" spans="1:23" x14ac:dyDescent="0.3">
      <c r="A233">
        <v>6492</v>
      </c>
      <c r="B233">
        <v>23</v>
      </c>
      <c r="C233" t="s">
        <v>862</v>
      </c>
      <c r="D233" t="s">
        <v>863</v>
      </c>
      <c r="E233" t="s">
        <v>864</v>
      </c>
      <c r="F233" t="s">
        <v>122</v>
      </c>
      <c r="G233" s="2">
        <v>46020</v>
      </c>
      <c r="H233">
        <v>77864470</v>
      </c>
      <c r="I233" t="s">
        <v>865</v>
      </c>
      <c r="J233" t="s">
        <v>859</v>
      </c>
      <c r="K233" t="s">
        <v>25</v>
      </c>
      <c r="L233">
        <v>7</v>
      </c>
      <c r="M233">
        <v>7</v>
      </c>
      <c r="N233" t="s">
        <v>866</v>
      </c>
      <c r="O233" t="s">
        <v>126</v>
      </c>
      <c r="P233" t="s">
        <v>867</v>
      </c>
      <c r="Q233" s="4">
        <v>578795</v>
      </c>
      <c r="R233" s="4">
        <v>900</v>
      </c>
      <c r="S233" s="4">
        <v>900</v>
      </c>
      <c r="T233" s="4">
        <f>Tabla1[[#This Row],[OS-Valor Unitario]]-Tabla1[[#This Row],[costo_antes_iva]]</f>
        <v>0</v>
      </c>
      <c r="U233" s="4">
        <f>Tabla1[[#This Row],[OS-Valor Unitario]]*Tabla1[[#This Row],[OS-Cantidad]]</f>
        <v>6300</v>
      </c>
      <c r="V233" s="4">
        <f>Tabla1[[#This Row],[costo_antes_iva]]*Tabla1[[#This Row],[OS-Cantidad]]</f>
        <v>6300</v>
      </c>
      <c r="W233" s="4">
        <f>Tabla1[[#This Row],[Valor total OS]]-Tabla1[[#This Row],[valor total op]]</f>
        <v>0</v>
      </c>
    </row>
    <row r="234" spans="1:23" x14ac:dyDescent="0.3">
      <c r="A234">
        <v>6492</v>
      </c>
      <c r="B234">
        <v>23</v>
      </c>
      <c r="C234" t="s">
        <v>862</v>
      </c>
      <c r="D234" t="s">
        <v>863</v>
      </c>
      <c r="E234" t="s">
        <v>864</v>
      </c>
      <c r="F234" t="s">
        <v>122</v>
      </c>
      <c r="G234" s="2">
        <v>46020</v>
      </c>
      <c r="H234">
        <v>77864470</v>
      </c>
      <c r="I234" t="s">
        <v>865</v>
      </c>
      <c r="J234" t="s">
        <v>859</v>
      </c>
      <c r="K234" t="s">
        <v>60</v>
      </c>
      <c r="L234">
        <v>7</v>
      </c>
      <c r="M234">
        <v>7</v>
      </c>
      <c r="N234" t="s">
        <v>868</v>
      </c>
      <c r="O234" t="s">
        <v>126</v>
      </c>
      <c r="P234" t="s">
        <v>867</v>
      </c>
      <c r="Q234" s="4">
        <v>578795</v>
      </c>
      <c r="R234" s="4">
        <v>13000</v>
      </c>
      <c r="S234" s="4">
        <v>12000</v>
      </c>
      <c r="T234" s="4">
        <f>Tabla1[[#This Row],[OS-Valor Unitario]]-Tabla1[[#This Row],[costo_antes_iva]]</f>
        <v>-1000</v>
      </c>
      <c r="U234" s="4">
        <f>Tabla1[[#This Row],[OS-Valor Unitario]]*Tabla1[[#This Row],[OS-Cantidad]]</f>
        <v>84000</v>
      </c>
      <c r="V234" s="4">
        <f>Tabla1[[#This Row],[costo_antes_iva]]*Tabla1[[#This Row],[OS-Cantidad]]</f>
        <v>91000</v>
      </c>
      <c r="W234" s="4">
        <f>Tabla1[[#This Row],[Valor total OS]]-Tabla1[[#This Row],[valor total op]]</f>
        <v>-7000</v>
      </c>
    </row>
    <row r="235" spans="1:23" x14ac:dyDescent="0.3">
      <c r="A235">
        <v>6491</v>
      </c>
      <c r="B235">
        <v>1</v>
      </c>
      <c r="C235" t="s">
        <v>869</v>
      </c>
      <c r="D235" t="s">
        <v>870</v>
      </c>
      <c r="E235" t="s">
        <v>578</v>
      </c>
      <c r="F235" t="s">
        <v>871</v>
      </c>
      <c r="G235" s="2">
        <v>46020</v>
      </c>
      <c r="H235">
        <v>77868928</v>
      </c>
      <c r="I235" t="s">
        <v>872</v>
      </c>
      <c r="J235" t="s">
        <v>873</v>
      </c>
      <c r="K235" t="s">
        <v>60</v>
      </c>
      <c r="L235">
        <v>50</v>
      </c>
      <c r="M235">
        <v>100</v>
      </c>
      <c r="N235" t="s">
        <v>874</v>
      </c>
      <c r="O235" t="s">
        <v>84</v>
      </c>
      <c r="P235" t="s">
        <v>28</v>
      </c>
      <c r="Q235" s="4">
        <v>1619600</v>
      </c>
      <c r="R235" s="4">
        <v>7500</v>
      </c>
      <c r="S235" s="4">
        <v>4500</v>
      </c>
      <c r="T235" s="4">
        <f>Tabla1[[#This Row],[OS-Valor Unitario]]-Tabla1[[#This Row],[costo_antes_iva]]</f>
        <v>-3000</v>
      </c>
      <c r="U235" s="4">
        <f>Tabla1[[#This Row],[OS-Valor Unitario]]*Tabla1[[#This Row],[OS-Cantidad]]</f>
        <v>450000</v>
      </c>
      <c r="V235" s="4">
        <f>Tabla1[[#This Row],[costo_antes_iva]]*Tabla1[[#This Row],[OS-Cantidad]]</f>
        <v>750000</v>
      </c>
      <c r="W235" s="4">
        <f>Tabla1[[#This Row],[Valor total OS]]-Tabla1[[#This Row],[valor total op]]</f>
        <v>-300000</v>
      </c>
    </row>
    <row r="236" spans="1:23" x14ac:dyDescent="0.3">
      <c r="A236">
        <v>6491</v>
      </c>
      <c r="B236">
        <v>3</v>
      </c>
      <c r="C236" t="s">
        <v>875</v>
      </c>
      <c r="D236" t="s">
        <v>876</v>
      </c>
      <c r="E236" t="s">
        <v>34</v>
      </c>
      <c r="F236" t="s">
        <v>871</v>
      </c>
      <c r="G236" s="2">
        <v>46020</v>
      </c>
      <c r="H236">
        <v>77869118</v>
      </c>
      <c r="I236" t="s">
        <v>877</v>
      </c>
      <c r="J236" t="s">
        <v>873</v>
      </c>
      <c r="K236" t="s">
        <v>86</v>
      </c>
      <c r="L236">
        <v>50</v>
      </c>
      <c r="M236">
        <v>50</v>
      </c>
      <c r="N236" t="s">
        <v>878</v>
      </c>
      <c r="O236" t="s">
        <v>84</v>
      </c>
      <c r="P236" t="s">
        <v>40</v>
      </c>
      <c r="Q236" s="4">
        <v>808300</v>
      </c>
      <c r="R236" s="4">
        <v>4600</v>
      </c>
      <c r="S236" s="4">
        <v>6700</v>
      </c>
      <c r="T236" s="4">
        <f>Tabla1[[#This Row],[OS-Valor Unitario]]-Tabla1[[#This Row],[costo_antes_iva]]</f>
        <v>2100</v>
      </c>
      <c r="U236" s="4">
        <f>Tabla1[[#This Row],[OS-Valor Unitario]]*Tabla1[[#This Row],[OS-Cantidad]]</f>
        <v>335000</v>
      </c>
      <c r="V236" s="4">
        <f>Tabla1[[#This Row],[costo_antes_iva]]*Tabla1[[#This Row],[OS-Cantidad]]</f>
        <v>230000</v>
      </c>
      <c r="W236" s="4">
        <f>Tabla1[[#This Row],[Valor total OS]]-Tabla1[[#This Row],[valor total op]]</f>
        <v>105000</v>
      </c>
    </row>
    <row r="237" spans="1:23" x14ac:dyDescent="0.3">
      <c r="A237">
        <v>6489</v>
      </c>
      <c r="B237">
        <v>1</v>
      </c>
      <c r="C237" t="s">
        <v>879</v>
      </c>
      <c r="D237" t="s">
        <v>880</v>
      </c>
      <c r="E237" t="s">
        <v>881</v>
      </c>
      <c r="F237" t="s">
        <v>882</v>
      </c>
      <c r="G237" s="2">
        <v>46019</v>
      </c>
      <c r="H237">
        <v>77820904</v>
      </c>
      <c r="I237" t="s">
        <v>883</v>
      </c>
      <c r="J237" t="s">
        <v>884</v>
      </c>
      <c r="K237" t="s">
        <v>25</v>
      </c>
      <c r="L237">
        <v>344</v>
      </c>
      <c r="M237">
        <v>344</v>
      </c>
      <c r="N237" t="s">
        <v>885</v>
      </c>
      <c r="O237" t="s">
        <v>886</v>
      </c>
      <c r="P237" t="s">
        <v>169</v>
      </c>
      <c r="Q237" s="4">
        <v>25721568</v>
      </c>
      <c r="R237" s="4">
        <v>5000</v>
      </c>
      <c r="S237" s="4">
        <v>5000</v>
      </c>
      <c r="T237" s="4">
        <f>Tabla1[[#This Row],[OS-Valor Unitario]]-Tabla1[[#This Row],[costo_antes_iva]]</f>
        <v>0</v>
      </c>
      <c r="U237" s="4">
        <f>Tabla1[[#This Row],[OS-Valor Unitario]]*Tabla1[[#This Row],[OS-Cantidad]]</f>
        <v>1720000</v>
      </c>
      <c r="V237" s="4">
        <f>Tabla1[[#This Row],[costo_antes_iva]]*Tabla1[[#This Row],[OS-Cantidad]]</f>
        <v>1720000</v>
      </c>
      <c r="W237" s="4">
        <f>Tabla1[[#This Row],[Valor total OS]]-Tabla1[[#This Row],[valor total op]]</f>
        <v>0</v>
      </c>
    </row>
    <row r="238" spans="1:23" x14ac:dyDescent="0.3">
      <c r="A238">
        <v>6489</v>
      </c>
      <c r="B238">
        <v>1</v>
      </c>
      <c r="C238" t="s">
        <v>879</v>
      </c>
      <c r="D238" t="s">
        <v>880</v>
      </c>
      <c r="E238" t="s">
        <v>881</v>
      </c>
      <c r="F238" t="s">
        <v>882</v>
      </c>
      <c r="G238" s="2">
        <v>46019</v>
      </c>
      <c r="H238">
        <v>77820904</v>
      </c>
      <c r="I238" t="s">
        <v>883</v>
      </c>
      <c r="J238" t="s">
        <v>884</v>
      </c>
      <c r="K238" t="s">
        <v>60</v>
      </c>
      <c r="L238">
        <v>344</v>
      </c>
      <c r="M238">
        <v>344</v>
      </c>
      <c r="N238" t="s">
        <v>887</v>
      </c>
      <c r="O238" t="s">
        <v>886</v>
      </c>
      <c r="P238" t="s">
        <v>169</v>
      </c>
      <c r="Q238" s="4">
        <v>25721568</v>
      </c>
      <c r="R238" s="4">
        <v>20000</v>
      </c>
      <c r="S238" s="4">
        <v>20000</v>
      </c>
      <c r="T238" s="4">
        <f>Tabla1[[#This Row],[OS-Valor Unitario]]-Tabla1[[#This Row],[costo_antes_iva]]</f>
        <v>0</v>
      </c>
      <c r="U238" s="4">
        <f>Tabla1[[#This Row],[OS-Valor Unitario]]*Tabla1[[#This Row],[OS-Cantidad]]</f>
        <v>6880000</v>
      </c>
      <c r="V238" s="4">
        <f>Tabla1[[#This Row],[costo_antes_iva]]*Tabla1[[#This Row],[OS-Cantidad]]</f>
        <v>6880000</v>
      </c>
      <c r="W238" s="4">
        <f>Tabla1[[#This Row],[Valor total OS]]-Tabla1[[#This Row],[valor total op]]</f>
        <v>0</v>
      </c>
    </row>
    <row r="239" spans="1:23" x14ac:dyDescent="0.3">
      <c r="A239">
        <v>6488</v>
      </c>
      <c r="B239">
        <v>1</v>
      </c>
      <c r="C239" t="s">
        <v>888</v>
      </c>
      <c r="D239" t="s">
        <v>889</v>
      </c>
      <c r="E239" t="s">
        <v>890</v>
      </c>
      <c r="F239" t="s">
        <v>891</v>
      </c>
      <c r="G239" s="2">
        <v>46015</v>
      </c>
      <c r="H239">
        <v>77702997</v>
      </c>
      <c r="I239" t="s">
        <v>892</v>
      </c>
      <c r="J239" t="s">
        <v>893</v>
      </c>
      <c r="K239" t="s">
        <v>60</v>
      </c>
      <c r="L239">
        <v>8</v>
      </c>
      <c r="M239">
        <v>8</v>
      </c>
      <c r="N239" t="s">
        <v>894</v>
      </c>
      <c r="O239" t="s">
        <v>660</v>
      </c>
      <c r="P239" t="s">
        <v>169</v>
      </c>
      <c r="Q239" s="4">
        <v>1082248</v>
      </c>
      <c r="R239" s="4">
        <v>23500</v>
      </c>
      <c r="S239" s="4">
        <v>23500</v>
      </c>
      <c r="T239" s="4">
        <f>Tabla1[[#This Row],[OS-Valor Unitario]]-Tabla1[[#This Row],[costo_antes_iva]]</f>
        <v>0</v>
      </c>
      <c r="U239" s="4">
        <f>Tabla1[[#This Row],[OS-Valor Unitario]]*Tabla1[[#This Row],[OS-Cantidad]]</f>
        <v>188000</v>
      </c>
      <c r="V239" s="4">
        <f>Tabla1[[#This Row],[costo_antes_iva]]*Tabla1[[#This Row],[OS-Cantidad]]</f>
        <v>188000</v>
      </c>
      <c r="W239" s="4">
        <f>Tabla1[[#This Row],[Valor total OS]]-Tabla1[[#This Row],[valor total op]]</f>
        <v>0</v>
      </c>
    </row>
    <row r="240" spans="1:23" x14ac:dyDescent="0.3">
      <c r="A240">
        <v>6487</v>
      </c>
      <c r="B240">
        <v>1</v>
      </c>
      <c r="C240" t="s">
        <v>895</v>
      </c>
      <c r="D240" t="s">
        <v>896</v>
      </c>
      <c r="E240" t="s">
        <v>96</v>
      </c>
      <c r="F240" t="s">
        <v>35</v>
      </c>
      <c r="G240" s="2">
        <v>46014</v>
      </c>
      <c r="H240">
        <v>77670324</v>
      </c>
      <c r="I240" t="s">
        <v>897</v>
      </c>
      <c r="J240" t="s">
        <v>898</v>
      </c>
      <c r="K240" t="s">
        <v>60</v>
      </c>
      <c r="L240">
        <v>50</v>
      </c>
      <c r="M240">
        <v>50</v>
      </c>
      <c r="N240" t="s">
        <v>899</v>
      </c>
      <c r="O240" t="s">
        <v>39</v>
      </c>
      <c r="P240" t="s">
        <v>28</v>
      </c>
      <c r="Q240" s="4">
        <v>1429750</v>
      </c>
      <c r="R240" s="4">
        <v>4500</v>
      </c>
      <c r="S240" s="4">
        <v>5000</v>
      </c>
      <c r="T240" s="4">
        <f>Tabla1[[#This Row],[OS-Valor Unitario]]-Tabla1[[#This Row],[costo_antes_iva]]</f>
        <v>500</v>
      </c>
      <c r="U240" s="4">
        <f>Tabla1[[#This Row],[OS-Valor Unitario]]*Tabla1[[#This Row],[OS-Cantidad]]</f>
        <v>250000</v>
      </c>
      <c r="V240" s="4">
        <f>Tabla1[[#This Row],[costo_antes_iva]]*Tabla1[[#This Row],[OS-Cantidad]]</f>
        <v>225000</v>
      </c>
      <c r="W240" s="4">
        <f>Tabla1[[#This Row],[Valor total OS]]-Tabla1[[#This Row],[valor total op]]</f>
        <v>25000</v>
      </c>
    </row>
    <row r="241" spans="1:23" x14ac:dyDescent="0.3">
      <c r="A241">
        <v>6487</v>
      </c>
      <c r="B241">
        <v>2</v>
      </c>
      <c r="C241" t="s">
        <v>900</v>
      </c>
      <c r="D241" t="s">
        <v>901</v>
      </c>
      <c r="E241" t="s">
        <v>96</v>
      </c>
      <c r="F241" t="s">
        <v>35</v>
      </c>
      <c r="G241" s="2">
        <v>46014</v>
      </c>
      <c r="H241">
        <v>77670332</v>
      </c>
      <c r="I241" t="s">
        <v>902</v>
      </c>
      <c r="J241" t="s">
        <v>898</v>
      </c>
      <c r="K241" t="s">
        <v>60</v>
      </c>
      <c r="L241">
        <v>40</v>
      </c>
      <c r="M241">
        <v>40</v>
      </c>
      <c r="N241" t="s">
        <v>903</v>
      </c>
      <c r="O241" t="s">
        <v>39</v>
      </c>
      <c r="P241" t="s">
        <v>28</v>
      </c>
      <c r="Q241" s="4">
        <v>1143800</v>
      </c>
      <c r="R241" s="4">
        <v>4500</v>
      </c>
      <c r="S241" s="4">
        <v>5000</v>
      </c>
      <c r="T241" s="4">
        <f>Tabla1[[#This Row],[OS-Valor Unitario]]-Tabla1[[#This Row],[costo_antes_iva]]</f>
        <v>500</v>
      </c>
      <c r="U241" s="4">
        <f>Tabla1[[#This Row],[OS-Valor Unitario]]*Tabla1[[#This Row],[OS-Cantidad]]</f>
        <v>200000</v>
      </c>
      <c r="V241" s="4">
        <f>Tabla1[[#This Row],[costo_antes_iva]]*Tabla1[[#This Row],[OS-Cantidad]]</f>
        <v>180000</v>
      </c>
      <c r="W241" s="4">
        <f>Tabla1[[#This Row],[Valor total OS]]-Tabla1[[#This Row],[valor total op]]</f>
        <v>20000</v>
      </c>
    </row>
    <row r="242" spans="1:23" x14ac:dyDescent="0.3">
      <c r="A242">
        <v>6487</v>
      </c>
      <c r="B242">
        <v>3</v>
      </c>
      <c r="C242" t="s">
        <v>904</v>
      </c>
      <c r="D242" t="s">
        <v>905</v>
      </c>
      <c r="E242" t="s">
        <v>96</v>
      </c>
      <c r="F242" t="s">
        <v>35</v>
      </c>
      <c r="G242" s="2">
        <v>46014</v>
      </c>
      <c r="H242">
        <v>77670340</v>
      </c>
      <c r="I242" t="s">
        <v>906</v>
      </c>
      <c r="J242" t="s">
        <v>898</v>
      </c>
      <c r="K242" t="s">
        <v>60</v>
      </c>
      <c r="L242">
        <v>125</v>
      </c>
      <c r="M242">
        <v>125</v>
      </c>
      <c r="N242" t="s">
        <v>907</v>
      </c>
      <c r="O242" t="s">
        <v>39</v>
      </c>
      <c r="P242" t="s">
        <v>28</v>
      </c>
      <c r="Q242" s="4">
        <v>3233000</v>
      </c>
      <c r="R242" s="4">
        <v>4500</v>
      </c>
      <c r="S242" s="4">
        <v>5000</v>
      </c>
      <c r="T242" s="4">
        <f>Tabla1[[#This Row],[OS-Valor Unitario]]-Tabla1[[#This Row],[costo_antes_iva]]</f>
        <v>500</v>
      </c>
      <c r="U242" s="4">
        <f>Tabla1[[#This Row],[OS-Valor Unitario]]*Tabla1[[#This Row],[OS-Cantidad]]</f>
        <v>625000</v>
      </c>
      <c r="V242" s="4">
        <f>Tabla1[[#This Row],[costo_antes_iva]]*Tabla1[[#This Row],[OS-Cantidad]]</f>
        <v>562500</v>
      </c>
      <c r="W242" s="4">
        <f>Tabla1[[#This Row],[Valor total OS]]-Tabla1[[#This Row],[valor total op]]</f>
        <v>62500</v>
      </c>
    </row>
    <row r="243" spans="1:23" x14ac:dyDescent="0.3">
      <c r="A243">
        <v>6487</v>
      </c>
      <c r="B243">
        <v>3</v>
      </c>
      <c r="C243" t="s">
        <v>904</v>
      </c>
      <c r="D243" t="s">
        <v>905</v>
      </c>
      <c r="E243" t="s">
        <v>96</v>
      </c>
      <c r="F243" t="s">
        <v>35</v>
      </c>
      <c r="G243" s="2">
        <v>46014</v>
      </c>
      <c r="H243">
        <v>77670340</v>
      </c>
      <c r="I243" t="s">
        <v>906</v>
      </c>
      <c r="J243" t="s">
        <v>898</v>
      </c>
      <c r="K243" t="s">
        <v>25</v>
      </c>
      <c r="L243">
        <v>125</v>
      </c>
      <c r="M243">
        <v>125</v>
      </c>
      <c r="N243" t="s">
        <v>908</v>
      </c>
      <c r="O243" t="s">
        <v>39</v>
      </c>
      <c r="P243" t="s">
        <v>28</v>
      </c>
      <c r="Q243" s="4">
        <v>3233000</v>
      </c>
      <c r="R243" s="4">
        <v>1500</v>
      </c>
      <c r="S243" s="4">
        <v>1500</v>
      </c>
      <c r="T243" s="4">
        <f>Tabla1[[#This Row],[OS-Valor Unitario]]-Tabla1[[#This Row],[costo_antes_iva]]</f>
        <v>0</v>
      </c>
      <c r="U243" s="4">
        <f>Tabla1[[#This Row],[OS-Valor Unitario]]*Tabla1[[#This Row],[OS-Cantidad]]</f>
        <v>187500</v>
      </c>
      <c r="V243" s="4">
        <f>Tabla1[[#This Row],[costo_antes_iva]]*Tabla1[[#This Row],[OS-Cantidad]]</f>
        <v>187500</v>
      </c>
      <c r="W243" s="4">
        <f>Tabla1[[#This Row],[Valor total OS]]-Tabla1[[#This Row],[valor total op]]</f>
        <v>0</v>
      </c>
    </row>
    <row r="244" spans="1:23" x14ac:dyDescent="0.3">
      <c r="A244">
        <v>6487</v>
      </c>
      <c r="B244">
        <v>4</v>
      </c>
      <c r="C244" t="s">
        <v>909</v>
      </c>
      <c r="D244" t="s">
        <v>910</v>
      </c>
      <c r="E244" t="s">
        <v>96</v>
      </c>
      <c r="F244" t="s">
        <v>35</v>
      </c>
      <c r="G244" s="2">
        <v>46014</v>
      </c>
      <c r="H244">
        <v>77670348</v>
      </c>
      <c r="I244" t="s">
        <v>911</v>
      </c>
      <c r="J244" t="s">
        <v>898</v>
      </c>
      <c r="K244" t="s">
        <v>60</v>
      </c>
      <c r="L244">
        <v>105</v>
      </c>
      <c r="M244">
        <v>105</v>
      </c>
      <c r="N244" t="s">
        <v>912</v>
      </c>
      <c r="O244" t="s">
        <v>39</v>
      </c>
      <c r="P244" t="s">
        <v>28</v>
      </c>
      <c r="Q244" s="4">
        <v>2260965</v>
      </c>
      <c r="R244" s="4">
        <v>4500</v>
      </c>
      <c r="S244" s="4">
        <v>5000</v>
      </c>
      <c r="T244" s="4">
        <f>Tabla1[[#This Row],[OS-Valor Unitario]]-Tabla1[[#This Row],[costo_antes_iva]]</f>
        <v>500</v>
      </c>
      <c r="U244" s="4">
        <f>Tabla1[[#This Row],[OS-Valor Unitario]]*Tabla1[[#This Row],[OS-Cantidad]]</f>
        <v>525000</v>
      </c>
      <c r="V244" s="4">
        <f>Tabla1[[#This Row],[costo_antes_iva]]*Tabla1[[#This Row],[OS-Cantidad]]</f>
        <v>472500</v>
      </c>
      <c r="W244" s="4">
        <f>Tabla1[[#This Row],[Valor total OS]]-Tabla1[[#This Row],[valor total op]]</f>
        <v>52500</v>
      </c>
    </row>
    <row r="245" spans="1:23" x14ac:dyDescent="0.3">
      <c r="A245">
        <v>6487</v>
      </c>
      <c r="B245">
        <v>4</v>
      </c>
      <c r="C245" t="s">
        <v>909</v>
      </c>
      <c r="D245" t="s">
        <v>910</v>
      </c>
      <c r="E245" t="s">
        <v>96</v>
      </c>
      <c r="F245" t="s">
        <v>35</v>
      </c>
      <c r="G245" s="2">
        <v>46014</v>
      </c>
      <c r="H245">
        <v>77670348</v>
      </c>
      <c r="I245" t="s">
        <v>911</v>
      </c>
      <c r="J245" t="s">
        <v>898</v>
      </c>
      <c r="K245" t="s">
        <v>25</v>
      </c>
      <c r="L245">
        <v>105</v>
      </c>
      <c r="M245">
        <v>105</v>
      </c>
      <c r="N245" t="s">
        <v>913</v>
      </c>
      <c r="O245" t="s">
        <v>39</v>
      </c>
      <c r="P245" t="s">
        <v>28</v>
      </c>
      <c r="Q245" s="4">
        <v>2260965</v>
      </c>
      <c r="R245" s="4">
        <v>1500</v>
      </c>
      <c r="S245" s="4">
        <v>1500</v>
      </c>
      <c r="T245" s="4">
        <f>Tabla1[[#This Row],[OS-Valor Unitario]]-Tabla1[[#This Row],[costo_antes_iva]]</f>
        <v>0</v>
      </c>
      <c r="U245" s="4">
        <f>Tabla1[[#This Row],[OS-Valor Unitario]]*Tabla1[[#This Row],[OS-Cantidad]]</f>
        <v>157500</v>
      </c>
      <c r="V245" s="4">
        <f>Tabla1[[#This Row],[costo_antes_iva]]*Tabla1[[#This Row],[OS-Cantidad]]</f>
        <v>157500</v>
      </c>
      <c r="W245" s="4">
        <f>Tabla1[[#This Row],[Valor total OS]]-Tabla1[[#This Row],[valor total op]]</f>
        <v>0</v>
      </c>
    </row>
    <row r="246" spans="1:23" x14ac:dyDescent="0.3">
      <c r="A246">
        <v>6487</v>
      </c>
      <c r="B246">
        <v>5</v>
      </c>
      <c r="C246" t="s">
        <v>914</v>
      </c>
      <c r="D246" t="s">
        <v>915</v>
      </c>
      <c r="E246" t="s">
        <v>96</v>
      </c>
      <c r="F246" t="s">
        <v>35</v>
      </c>
      <c r="G246" s="2">
        <v>46014</v>
      </c>
      <c r="H246">
        <v>77670356</v>
      </c>
      <c r="I246" t="s">
        <v>916</v>
      </c>
      <c r="J246" t="s">
        <v>898</v>
      </c>
      <c r="K246" t="s">
        <v>60</v>
      </c>
      <c r="L246">
        <v>12</v>
      </c>
      <c r="M246">
        <v>12</v>
      </c>
      <c r="N246" t="s">
        <v>917</v>
      </c>
      <c r="O246" t="s">
        <v>39</v>
      </c>
      <c r="P246" t="s">
        <v>28</v>
      </c>
      <c r="Q246" s="4">
        <v>324804</v>
      </c>
      <c r="R246" s="4">
        <v>4500</v>
      </c>
      <c r="S246" s="4">
        <v>6000</v>
      </c>
      <c r="T246" s="4">
        <f>Tabla1[[#This Row],[OS-Valor Unitario]]-Tabla1[[#This Row],[costo_antes_iva]]</f>
        <v>1500</v>
      </c>
      <c r="U246" s="4">
        <f>Tabla1[[#This Row],[OS-Valor Unitario]]*Tabla1[[#This Row],[OS-Cantidad]]</f>
        <v>72000</v>
      </c>
      <c r="V246" s="4">
        <f>Tabla1[[#This Row],[costo_antes_iva]]*Tabla1[[#This Row],[OS-Cantidad]]</f>
        <v>54000</v>
      </c>
      <c r="W246" s="4">
        <f>Tabla1[[#This Row],[Valor total OS]]-Tabla1[[#This Row],[valor total op]]</f>
        <v>18000</v>
      </c>
    </row>
    <row r="247" spans="1:23" x14ac:dyDescent="0.3">
      <c r="A247">
        <v>6487</v>
      </c>
      <c r="B247">
        <v>5</v>
      </c>
      <c r="C247" t="s">
        <v>914</v>
      </c>
      <c r="D247" t="s">
        <v>915</v>
      </c>
      <c r="E247" t="s">
        <v>96</v>
      </c>
      <c r="F247" t="s">
        <v>35</v>
      </c>
      <c r="G247" s="2">
        <v>46014</v>
      </c>
      <c r="H247">
        <v>77670356</v>
      </c>
      <c r="I247" t="s">
        <v>916</v>
      </c>
      <c r="J247" t="s">
        <v>898</v>
      </c>
      <c r="K247" t="s">
        <v>25</v>
      </c>
      <c r="L247">
        <v>12</v>
      </c>
      <c r="M247">
        <v>12</v>
      </c>
      <c r="N247" t="s">
        <v>918</v>
      </c>
      <c r="O247" t="s">
        <v>39</v>
      </c>
      <c r="P247" t="s">
        <v>28</v>
      </c>
      <c r="Q247" s="4">
        <v>324804</v>
      </c>
      <c r="R247" s="4">
        <v>1500</v>
      </c>
      <c r="S247" s="4">
        <v>1500</v>
      </c>
      <c r="T247" s="4">
        <f>Tabla1[[#This Row],[OS-Valor Unitario]]-Tabla1[[#This Row],[costo_antes_iva]]</f>
        <v>0</v>
      </c>
      <c r="U247" s="4">
        <f>Tabla1[[#This Row],[OS-Valor Unitario]]*Tabla1[[#This Row],[OS-Cantidad]]</f>
        <v>18000</v>
      </c>
      <c r="V247" s="4">
        <f>Tabla1[[#This Row],[costo_antes_iva]]*Tabla1[[#This Row],[OS-Cantidad]]</f>
        <v>18000</v>
      </c>
      <c r="W247" s="4">
        <f>Tabla1[[#This Row],[Valor total OS]]-Tabla1[[#This Row],[valor total op]]</f>
        <v>0</v>
      </c>
    </row>
    <row r="248" spans="1:23" x14ac:dyDescent="0.3">
      <c r="A248">
        <v>6487</v>
      </c>
      <c r="B248">
        <v>6</v>
      </c>
      <c r="C248" t="s">
        <v>919</v>
      </c>
      <c r="D248" t="s">
        <v>920</v>
      </c>
      <c r="E248" t="s">
        <v>921</v>
      </c>
      <c r="F248" t="s">
        <v>35</v>
      </c>
      <c r="G248" s="2">
        <v>46014</v>
      </c>
      <c r="H248">
        <v>77670375</v>
      </c>
      <c r="I248" t="s">
        <v>922</v>
      </c>
      <c r="J248" t="s">
        <v>898</v>
      </c>
      <c r="K248" t="s">
        <v>60</v>
      </c>
      <c r="L248">
        <v>230</v>
      </c>
      <c r="M248">
        <v>232</v>
      </c>
      <c r="N248" t="s">
        <v>923</v>
      </c>
      <c r="O248" t="s">
        <v>39</v>
      </c>
      <c r="P248" t="s">
        <v>62</v>
      </c>
      <c r="Q248" s="4">
        <v>5885240</v>
      </c>
      <c r="R248" s="4">
        <v>3000</v>
      </c>
      <c r="S248" s="4">
        <v>4000</v>
      </c>
      <c r="T248" s="4">
        <f>Tabla1[[#This Row],[OS-Valor Unitario]]-Tabla1[[#This Row],[costo_antes_iva]]</f>
        <v>1000</v>
      </c>
      <c r="U248" s="4">
        <f>Tabla1[[#This Row],[OS-Valor Unitario]]*Tabla1[[#This Row],[OS-Cantidad]]</f>
        <v>928000</v>
      </c>
      <c r="V248" s="4">
        <f>Tabla1[[#This Row],[costo_antes_iva]]*Tabla1[[#This Row],[OS-Cantidad]]</f>
        <v>696000</v>
      </c>
      <c r="W248" s="4">
        <f>Tabla1[[#This Row],[Valor total OS]]-Tabla1[[#This Row],[valor total op]]</f>
        <v>232000</v>
      </c>
    </row>
    <row r="249" spans="1:23" x14ac:dyDescent="0.3">
      <c r="A249">
        <v>6487</v>
      </c>
      <c r="B249">
        <v>6</v>
      </c>
      <c r="C249" t="s">
        <v>919</v>
      </c>
      <c r="D249" t="s">
        <v>920</v>
      </c>
      <c r="E249" t="s">
        <v>921</v>
      </c>
      <c r="F249" t="s">
        <v>35</v>
      </c>
      <c r="G249" s="2">
        <v>46014</v>
      </c>
      <c r="H249">
        <v>77670375</v>
      </c>
      <c r="I249" t="s">
        <v>922</v>
      </c>
      <c r="J249" t="s">
        <v>898</v>
      </c>
      <c r="K249" t="s">
        <v>25</v>
      </c>
      <c r="L249">
        <v>230</v>
      </c>
      <c r="M249">
        <v>232</v>
      </c>
      <c r="N249" t="s">
        <v>924</v>
      </c>
      <c r="O249" t="s">
        <v>39</v>
      </c>
      <c r="P249" t="s">
        <v>62</v>
      </c>
      <c r="Q249" s="4">
        <v>5885240</v>
      </c>
      <c r="R249" s="4">
        <v>1800</v>
      </c>
      <c r="S249" s="4">
        <v>2500</v>
      </c>
      <c r="T249" s="4">
        <f>Tabla1[[#This Row],[OS-Valor Unitario]]-Tabla1[[#This Row],[costo_antes_iva]]</f>
        <v>700</v>
      </c>
      <c r="U249" s="4">
        <f>Tabla1[[#This Row],[OS-Valor Unitario]]*Tabla1[[#This Row],[OS-Cantidad]]</f>
        <v>580000</v>
      </c>
      <c r="V249" s="4">
        <f>Tabla1[[#This Row],[costo_antes_iva]]*Tabla1[[#This Row],[OS-Cantidad]]</f>
        <v>417600</v>
      </c>
      <c r="W249" s="4">
        <f>Tabla1[[#This Row],[Valor total OS]]-Tabla1[[#This Row],[valor total op]]</f>
        <v>162400</v>
      </c>
    </row>
    <row r="250" spans="1:23" x14ac:dyDescent="0.3">
      <c r="A250">
        <v>6487</v>
      </c>
      <c r="B250">
        <v>6</v>
      </c>
      <c r="C250" t="s">
        <v>919</v>
      </c>
      <c r="D250" t="s">
        <v>920</v>
      </c>
      <c r="E250" t="s">
        <v>921</v>
      </c>
      <c r="F250" t="s">
        <v>35</v>
      </c>
      <c r="G250" s="2">
        <v>46014</v>
      </c>
      <c r="H250">
        <v>77670375</v>
      </c>
      <c r="I250" t="s">
        <v>922</v>
      </c>
      <c r="J250" t="s">
        <v>898</v>
      </c>
      <c r="K250" t="s">
        <v>138</v>
      </c>
      <c r="L250">
        <v>230</v>
      </c>
      <c r="M250">
        <v>232</v>
      </c>
      <c r="N250" t="s">
        <v>925</v>
      </c>
      <c r="O250" t="s">
        <v>39</v>
      </c>
      <c r="P250" t="s">
        <v>62</v>
      </c>
      <c r="Q250" s="4">
        <v>5885240</v>
      </c>
      <c r="R250" s="4">
        <v>10000</v>
      </c>
      <c r="S250" s="4">
        <v>3800</v>
      </c>
      <c r="T250" s="4">
        <f>Tabla1[[#This Row],[OS-Valor Unitario]]-Tabla1[[#This Row],[costo_antes_iva]]</f>
        <v>-6200</v>
      </c>
      <c r="U250" s="4">
        <f>Tabla1[[#This Row],[OS-Valor Unitario]]*Tabla1[[#This Row],[OS-Cantidad]]</f>
        <v>881600</v>
      </c>
      <c r="V250" s="4">
        <f>Tabla1[[#This Row],[costo_antes_iva]]*Tabla1[[#This Row],[OS-Cantidad]]</f>
        <v>2320000</v>
      </c>
      <c r="W250" s="4">
        <f>Tabla1[[#This Row],[Valor total OS]]-Tabla1[[#This Row],[valor total op]]</f>
        <v>-1438400</v>
      </c>
    </row>
    <row r="251" spans="1:23" x14ac:dyDescent="0.3">
      <c r="A251">
        <v>6487</v>
      </c>
      <c r="B251">
        <v>7</v>
      </c>
      <c r="C251" t="s">
        <v>926</v>
      </c>
      <c r="D251" t="s">
        <v>927</v>
      </c>
      <c r="E251" t="s">
        <v>928</v>
      </c>
      <c r="F251" t="s">
        <v>35</v>
      </c>
      <c r="G251" s="2">
        <v>46014</v>
      </c>
      <c r="H251">
        <v>77670425</v>
      </c>
      <c r="I251" t="s">
        <v>929</v>
      </c>
      <c r="J251" t="s">
        <v>898</v>
      </c>
      <c r="K251" t="s">
        <v>60</v>
      </c>
      <c r="L251">
        <v>35</v>
      </c>
      <c r="M251">
        <v>35</v>
      </c>
      <c r="N251" t="s">
        <v>930</v>
      </c>
      <c r="O251" t="s">
        <v>39</v>
      </c>
      <c r="P251" t="s">
        <v>169</v>
      </c>
      <c r="Q251" s="4">
        <v>3334205</v>
      </c>
      <c r="R251" s="4">
        <v>19500</v>
      </c>
      <c r="S251" s="4">
        <v>20000</v>
      </c>
      <c r="T251" s="4">
        <f>Tabla1[[#This Row],[OS-Valor Unitario]]-Tabla1[[#This Row],[costo_antes_iva]]</f>
        <v>500</v>
      </c>
      <c r="U251" s="4">
        <f>Tabla1[[#This Row],[OS-Valor Unitario]]*Tabla1[[#This Row],[OS-Cantidad]]</f>
        <v>700000</v>
      </c>
      <c r="V251" s="4">
        <f>Tabla1[[#This Row],[costo_antes_iva]]*Tabla1[[#This Row],[OS-Cantidad]]</f>
        <v>682500</v>
      </c>
      <c r="W251" s="4">
        <f>Tabla1[[#This Row],[Valor total OS]]-Tabla1[[#This Row],[valor total op]]</f>
        <v>17500</v>
      </c>
    </row>
    <row r="252" spans="1:23" x14ac:dyDescent="0.3">
      <c r="A252">
        <v>6487</v>
      </c>
      <c r="B252">
        <v>7</v>
      </c>
      <c r="C252" t="s">
        <v>926</v>
      </c>
      <c r="D252" t="s">
        <v>927</v>
      </c>
      <c r="E252" t="s">
        <v>928</v>
      </c>
      <c r="F252" t="s">
        <v>35</v>
      </c>
      <c r="G252" s="2">
        <v>46014</v>
      </c>
      <c r="H252">
        <v>77670425</v>
      </c>
      <c r="I252" t="s">
        <v>929</v>
      </c>
      <c r="J252" t="s">
        <v>898</v>
      </c>
      <c r="K252" t="s">
        <v>25</v>
      </c>
      <c r="L252">
        <v>35</v>
      </c>
      <c r="M252">
        <v>35</v>
      </c>
      <c r="N252" t="s">
        <v>931</v>
      </c>
      <c r="O252" t="s">
        <v>39</v>
      </c>
      <c r="P252" t="s">
        <v>169</v>
      </c>
      <c r="Q252" s="4">
        <v>3334205</v>
      </c>
      <c r="R252" s="4">
        <v>7300</v>
      </c>
      <c r="S252" s="4">
        <v>7300</v>
      </c>
      <c r="T252" s="4">
        <f>Tabla1[[#This Row],[OS-Valor Unitario]]-Tabla1[[#This Row],[costo_antes_iva]]</f>
        <v>0</v>
      </c>
      <c r="U252" s="4">
        <f>Tabla1[[#This Row],[OS-Valor Unitario]]*Tabla1[[#This Row],[OS-Cantidad]]</f>
        <v>255500</v>
      </c>
      <c r="V252" s="4">
        <f>Tabla1[[#This Row],[costo_antes_iva]]*Tabla1[[#This Row],[OS-Cantidad]]</f>
        <v>255500</v>
      </c>
      <c r="W252" s="4">
        <f>Tabla1[[#This Row],[Valor total OS]]-Tabla1[[#This Row],[valor total op]]</f>
        <v>0</v>
      </c>
    </row>
    <row r="253" spans="1:23" x14ac:dyDescent="0.3">
      <c r="A253">
        <v>6487</v>
      </c>
      <c r="B253">
        <v>8</v>
      </c>
      <c r="C253" t="s">
        <v>932</v>
      </c>
      <c r="D253" t="s">
        <v>933</v>
      </c>
      <c r="E253" t="s">
        <v>174</v>
      </c>
      <c r="F253" t="s">
        <v>35</v>
      </c>
      <c r="G253" s="2">
        <v>46014</v>
      </c>
      <c r="H253">
        <v>77670440</v>
      </c>
      <c r="I253" t="s">
        <v>934</v>
      </c>
      <c r="J253" t="s">
        <v>898</v>
      </c>
      <c r="K253" t="s">
        <v>60</v>
      </c>
      <c r="L253">
        <v>18</v>
      </c>
      <c r="M253">
        <v>18</v>
      </c>
      <c r="N253" t="s">
        <v>935</v>
      </c>
      <c r="O253" t="s">
        <v>39</v>
      </c>
      <c r="P253" t="s">
        <v>177</v>
      </c>
      <c r="Q253" s="4">
        <v>1364202</v>
      </c>
      <c r="R253" s="4">
        <v>15000</v>
      </c>
      <c r="S253" s="4">
        <v>15000</v>
      </c>
      <c r="T253" s="4">
        <f>Tabla1[[#This Row],[OS-Valor Unitario]]-Tabla1[[#This Row],[costo_antes_iva]]</f>
        <v>0</v>
      </c>
      <c r="U253" s="4">
        <f>Tabla1[[#This Row],[OS-Valor Unitario]]*Tabla1[[#This Row],[OS-Cantidad]]</f>
        <v>270000</v>
      </c>
      <c r="V253" s="4">
        <f>Tabla1[[#This Row],[costo_antes_iva]]*Tabla1[[#This Row],[OS-Cantidad]]</f>
        <v>270000</v>
      </c>
      <c r="W253" s="4">
        <f>Tabla1[[#This Row],[Valor total OS]]-Tabla1[[#This Row],[valor total op]]</f>
        <v>0</v>
      </c>
    </row>
    <row r="254" spans="1:23" x14ac:dyDescent="0.3">
      <c r="A254">
        <v>6486</v>
      </c>
      <c r="B254">
        <v>1</v>
      </c>
      <c r="C254" t="s">
        <v>936</v>
      </c>
      <c r="D254" t="s">
        <v>937</v>
      </c>
      <c r="E254" t="s">
        <v>96</v>
      </c>
      <c r="F254" t="s">
        <v>35</v>
      </c>
      <c r="G254" s="2">
        <v>46014</v>
      </c>
      <c r="H254">
        <v>77667975</v>
      </c>
      <c r="I254" t="s">
        <v>938</v>
      </c>
      <c r="J254" t="s">
        <v>939</v>
      </c>
      <c r="K254" t="s">
        <v>60</v>
      </c>
      <c r="L254">
        <v>30</v>
      </c>
      <c r="M254">
        <v>30</v>
      </c>
      <c r="N254" t="s">
        <v>940</v>
      </c>
      <c r="O254" t="s">
        <v>39</v>
      </c>
      <c r="P254" t="s">
        <v>28</v>
      </c>
      <c r="Q254" s="4">
        <v>726750</v>
      </c>
      <c r="R254" s="4">
        <v>4500</v>
      </c>
      <c r="S254" s="4">
        <v>5000</v>
      </c>
      <c r="T254" s="4">
        <f>Tabla1[[#This Row],[OS-Valor Unitario]]-Tabla1[[#This Row],[costo_antes_iva]]</f>
        <v>500</v>
      </c>
      <c r="U254" s="4">
        <f>Tabla1[[#This Row],[OS-Valor Unitario]]*Tabla1[[#This Row],[OS-Cantidad]]</f>
        <v>150000</v>
      </c>
      <c r="V254" s="4">
        <f>Tabla1[[#This Row],[costo_antes_iva]]*Tabla1[[#This Row],[OS-Cantidad]]</f>
        <v>135000</v>
      </c>
      <c r="W254" s="4">
        <f>Tabla1[[#This Row],[Valor total OS]]-Tabla1[[#This Row],[valor total op]]</f>
        <v>15000</v>
      </c>
    </row>
    <row r="255" spans="1:23" x14ac:dyDescent="0.3">
      <c r="A255">
        <v>6486</v>
      </c>
      <c r="B255">
        <v>1</v>
      </c>
      <c r="C255" t="s">
        <v>936</v>
      </c>
      <c r="D255" t="s">
        <v>937</v>
      </c>
      <c r="E255" t="s">
        <v>96</v>
      </c>
      <c r="F255" t="s">
        <v>35</v>
      </c>
      <c r="G255" s="2">
        <v>46014</v>
      </c>
      <c r="H255">
        <v>77667975</v>
      </c>
      <c r="I255" t="s">
        <v>938</v>
      </c>
      <c r="J255" t="s">
        <v>939</v>
      </c>
      <c r="K255" t="s">
        <v>25</v>
      </c>
      <c r="L255">
        <v>30</v>
      </c>
      <c r="M255">
        <v>30</v>
      </c>
      <c r="N255" t="s">
        <v>941</v>
      </c>
      <c r="O255" t="s">
        <v>39</v>
      </c>
      <c r="P255" t="s">
        <v>28</v>
      </c>
      <c r="Q255" s="4">
        <v>726750</v>
      </c>
      <c r="R255" s="4">
        <v>1600</v>
      </c>
      <c r="S255" s="4">
        <v>3200</v>
      </c>
      <c r="T255" s="4">
        <f>Tabla1[[#This Row],[OS-Valor Unitario]]-Tabla1[[#This Row],[costo_antes_iva]]</f>
        <v>1600</v>
      </c>
      <c r="U255" s="4">
        <f>Tabla1[[#This Row],[OS-Valor Unitario]]*Tabla1[[#This Row],[OS-Cantidad]]</f>
        <v>96000</v>
      </c>
      <c r="V255" s="4">
        <f>Tabla1[[#This Row],[costo_antes_iva]]*Tabla1[[#This Row],[OS-Cantidad]]</f>
        <v>48000</v>
      </c>
      <c r="W255" s="4">
        <f>Tabla1[[#This Row],[Valor total OS]]-Tabla1[[#This Row],[valor total op]]</f>
        <v>48000</v>
      </c>
    </row>
    <row r="256" spans="1:23" x14ac:dyDescent="0.3">
      <c r="A256">
        <v>6486</v>
      </c>
      <c r="B256">
        <v>2</v>
      </c>
      <c r="C256" t="s">
        <v>942</v>
      </c>
      <c r="D256" t="s">
        <v>943</v>
      </c>
      <c r="E256" t="s">
        <v>96</v>
      </c>
      <c r="F256" t="s">
        <v>35</v>
      </c>
      <c r="G256" s="2">
        <v>46014</v>
      </c>
      <c r="H256">
        <v>77667982</v>
      </c>
      <c r="I256" t="s">
        <v>944</v>
      </c>
      <c r="J256" t="s">
        <v>939</v>
      </c>
      <c r="K256" t="s">
        <v>60</v>
      </c>
      <c r="L256">
        <v>15</v>
      </c>
      <c r="M256">
        <v>15</v>
      </c>
      <c r="N256" t="s">
        <v>945</v>
      </c>
      <c r="O256" t="s">
        <v>39</v>
      </c>
      <c r="P256" t="s">
        <v>28</v>
      </c>
      <c r="Q256" s="4">
        <v>358065</v>
      </c>
      <c r="R256" s="4">
        <v>4500</v>
      </c>
      <c r="S256" s="4">
        <v>5000</v>
      </c>
      <c r="T256" s="4">
        <f>Tabla1[[#This Row],[OS-Valor Unitario]]-Tabla1[[#This Row],[costo_antes_iva]]</f>
        <v>500</v>
      </c>
      <c r="U256" s="4">
        <f>Tabla1[[#This Row],[OS-Valor Unitario]]*Tabla1[[#This Row],[OS-Cantidad]]</f>
        <v>75000</v>
      </c>
      <c r="V256" s="4">
        <f>Tabla1[[#This Row],[costo_antes_iva]]*Tabla1[[#This Row],[OS-Cantidad]]</f>
        <v>67500</v>
      </c>
      <c r="W256" s="4">
        <f>Tabla1[[#This Row],[Valor total OS]]-Tabla1[[#This Row],[valor total op]]</f>
        <v>7500</v>
      </c>
    </row>
    <row r="257" spans="1:23" x14ac:dyDescent="0.3">
      <c r="A257">
        <v>6486</v>
      </c>
      <c r="B257">
        <v>2</v>
      </c>
      <c r="C257" t="s">
        <v>942</v>
      </c>
      <c r="D257" t="s">
        <v>943</v>
      </c>
      <c r="E257" t="s">
        <v>96</v>
      </c>
      <c r="F257" t="s">
        <v>35</v>
      </c>
      <c r="G257" s="2">
        <v>46014</v>
      </c>
      <c r="H257">
        <v>77667982</v>
      </c>
      <c r="I257" t="s">
        <v>944</v>
      </c>
      <c r="J257" t="s">
        <v>939</v>
      </c>
      <c r="K257" t="s">
        <v>25</v>
      </c>
      <c r="L257">
        <v>15</v>
      </c>
      <c r="M257">
        <v>15</v>
      </c>
      <c r="N257" t="s">
        <v>946</v>
      </c>
      <c r="O257" t="s">
        <v>39</v>
      </c>
      <c r="P257" t="s">
        <v>28</v>
      </c>
      <c r="Q257" s="4">
        <v>358065</v>
      </c>
      <c r="R257" s="4">
        <v>1600</v>
      </c>
      <c r="S257" s="4">
        <v>3200</v>
      </c>
      <c r="T257" s="4">
        <f>Tabla1[[#This Row],[OS-Valor Unitario]]-Tabla1[[#This Row],[costo_antes_iva]]</f>
        <v>1600</v>
      </c>
      <c r="U257" s="4">
        <f>Tabla1[[#This Row],[OS-Valor Unitario]]*Tabla1[[#This Row],[OS-Cantidad]]</f>
        <v>48000</v>
      </c>
      <c r="V257" s="4">
        <f>Tabla1[[#This Row],[costo_antes_iva]]*Tabla1[[#This Row],[OS-Cantidad]]</f>
        <v>24000</v>
      </c>
      <c r="W257" s="4">
        <f>Tabla1[[#This Row],[Valor total OS]]-Tabla1[[#This Row],[valor total op]]</f>
        <v>24000</v>
      </c>
    </row>
    <row r="258" spans="1:23" x14ac:dyDescent="0.3">
      <c r="A258">
        <v>6486</v>
      </c>
      <c r="B258">
        <v>3</v>
      </c>
      <c r="C258" t="s">
        <v>947</v>
      </c>
      <c r="D258" t="s">
        <v>948</v>
      </c>
      <c r="E258" t="s">
        <v>949</v>
      </c>
      <c r="F258" t="s">
        <v>35</v>
      </c>
      <c r="G258" s="2">
        <v>46014</v>
      </c>
      <c r="H258">
        <v>77668013</v>
      </c>
      <c r="I258" t="s">
        <v>950</v>
      </c>
      <c r="J258" t="s">
        <v>939</v>
      </c>
      <c r="K258" t="s">
        <v>60</v>
      </c>
      <c r="L258">
        <v>60</v>
      </c>
      <c r="M258">
        <v>60</v>
      </c>
      <c r="N258" t="s">
        <v>951</v>
      </c>
      <c r="O258" t="s">
        <v>39</v>
      </c>
      <c r="P258" t="s">
        <v>62</v>
      </c>
      <c r="Q258" s="4">
        <v>533400</v>
      </c>
      <c r="R258" s="4">
        <v>2500</v>
      </c>
      <c r="S258" s="4">
        <v>2500</v>
      </c>
      <c r="T258" s="4">
        <f>Tabla1[[#This Row],[OS-Valor Unitario]]-Tabla1[[#This Row],[costo_antes_iva]]</f>
        <v>0</v>
      </c>
      <c r="U258" s="4">
        <f>Tabla1[[#This Row],[OS-Valor Unitario]]*Tabla1[[#This Row],[OS-Cantidad]]</f>
        <v>150000</v>
      </c>
      <c r="V258" s="4">
        <f>Tabla1[[#This Row],[costo_antes_iva]]*Tabla1[[#This Row],[OS-Cantidad]]</f>
        <v>150000</v>
      </c>
      <c r="W258" s="4">
        <f>Tabla1[[#This Row],[Valor total OS]]-Tabla1[[#This Row],[valor total op]]</f>
        <v>0</v>
      </c>
    </row>
    <row r="259" spans="1:23" x14ac:dyDescent="0.3">
      <c r="A259">
        <v>6486</v>
      </c>
      <c r="B259">
        <v>4</v>
      </c>
      <c r="C259" t="s">
        <v>952</v>
      </c>
      <c r="D259" t="s">
        <v>953</v>
      </c>
      <c r="E259" t="s">
        <v>949</v>
      </c>
      <c r="F259" t="s">
        <v>35</v>
      </c>
      <c r="G259" s="2">
        <v>46014</v>
      </c>
      <c r="H259">
        <v>77668018</v>
      </c>
      <c r="I259" t="s">
        <v>954</v>
      </c>
      <c r="J259" t="s">
        <v>939</v>
      </c>
      <c r="K259" t="s">
        <v>25</v>
      </c>
      <c r="L259">
        <v>10</v>
      </c>
      <c r="M259">
        <v>11</v>
      </c>
      <c r="N259" t="s">
        <v>955</v>
      </c>
      <c r="O259" t="s">
        <v>39</v>
      </c>
      <c r="P259" t="s">
        <v>62</v>
      </c>
      <c r="Q259" s="4">
        <v>271140</v>
      </c>
      <c r="R259" s="4">
        <v>1800</v>
      </c>
      <c r="S259" s="4">
        <v>3400</v>
      </c>
      <c r="T259" s="4">
        <f>Tabla1[[#This Row],[OS-Valor Unitario]]-Tabla1[[#This Row],[costo_antes_iva]]</f>
        <v>1600</v>
      </c>
      <c r="U259" s="4">
        <f>Tabla1[[#This Row],[OS-Valor Unitario]]*Tabla1[[#This Row],[OS-Cantidad]]</f>
        <v>37400</v>
      </c>
      <c r="V259" s="4">
        <f>Tabla1[[#This Row],[costo_antes_iva]]*Tabla1[[#This Row],[OS-Cantidad]]</f>
        <v>19800</v>
      </c>
      <c r="W259" s="4">
        <f>Tabla1[[#This Row],[Valor total OS]]-Tabla1[[#This Row],[valor total op]]</f>
        <v>17600</v>
      </c>
    </row>
    <row r="260" spans="1:23" x14ac:dyDescent="0.3">
      <c r="A260">
        <v>6486</v>
      </c>
      <c r="B260">
        <v>5</v>
      </c>
      <c r="C260" t="s">
        <v>956</v>
      </c>
      <c r="D260" t="s">
        <v>957</v>
      </c>
      <c r="E260" t="s">
        <v>949</v>
      </c>
      <c r="F260" t="s">
        <v>35</v>
      </c>
      <c r="G260" s="2">
        <v>46014</v>
      </c>
      <c r="H260">
        <v>77668024</v>
      </c>
      <c r="I260" t="s">
        <v>958</v>
      </c>
      <c r="J260" t="s">
        <v>939</v>
      </c>
      <c r="K260" t="s">
        <v>25</v>
      </c>
      <c r="L260">
        <v>60</v>
      </c>
      <c r="M260">
        <v>60</v>
      </c>
      <c r="N260" t="s">
        <v>959</v>
      </c>
      <c r="O260" t="s">
        <v>39</v>
      </c>
      <c r="P260" t="s">
        <v>62</v>
      </c>
      <c r="Q260" s="4">
        <v>1626840</v>
      </c>
      <c r="R260" s="4">
        <v>1800</v>
      </c>
      <c r="S260" s="4">
        <v>3400</v>
      </c>
      <c r="T260" s="4">
        <f>Tabla1[[#This Row],[OS-Valor Unitario]]-Tabla1[[#This Row],[costo_antes_iva]]</f>
        <v>1600</v>
      </c>
      <c r="U260" s="4">
        <f>Tabla1[[#This Row],[OS-Valor Unitario]]*Tabla1[[#This Row],[OS-Cantidad]]</f>
        <v>204000</v>
      </c>
      <c r="V260" s="4">
        <f>Tabla1[[#This Row],[costo_antes_iva]]*Tabla1[[#This Row],[OS-Cantidad]]</f>
        <v>108000</v>
      </c>
      <c r="W260" s="4">
        <f>Tabla1[[#This Row],[Valor total OS]]-Tabla1[[#This Row],[valor total op]]</f>
        <v>96000</v>
      </c>
    </row>
    <row r="261" spans="1:23" x14ac:dyDescent="0.3">
      <c r="A261">
        <v>6486</v>
      </c>
      <c r="B261">
        <v>6</v>
      </c>
      <c r="C261" t="s">
        <v>960</v>
      </c>
      <c r="D261" t="s">
        <v>961</v>
      </c>
      <c r="E261" t="s">
        <v>197</v>
      </c>
      <c r="F261" t="s">
        <v>35</v>
      </c>
      <c r="G261" s="2">
        <v>46014</v>
      </c>
      <c r="H261">
        <v>77668029</v>
      </c>
      <c r="I261" t="s">
        <v>962</v>
      </c>
      <c r="J261" t="s">
        <v>939</v>
      </c>
      <c r="K261" t="s">
        <v>60</v>
      </c>
      <c r="L261">
        <v>50</v>
      </c>
      <c r="M261">
        <v>50</v>
      </c>
      <c r="N261" t="s">
        <v>963</v>
      </c>
      <c r="O261" t="s">
        <v>39</v>
      </c>
      <c r="P261" t="s">
        <v>197</v>
      </c>
      <c r="Q261" s="4">
        <v>599450</v>
      </c>
      <c r="R261" s="4">
        <v>2500</v>
      </c>
      <c r="S261" s="4">
        <v>3000</v>
      </c>
      <c r="T261" s="4">
        <f>Tabla1[[#This Row],[OS-Valor Unitario]]-Tabla1[[#This Row],[costo_antes_iva]]</f>
        <v>500</v>
      </c>
      <c r="U261" s="4">
        <f>Tabla1[[#This Row],[OS-Valor Unitario]]*Tabla1[[#This Row],[OS-Cantidad]]</f>
        <v>150000</v>
      </c>
      <c r="V261" s="4">
        <f>Tabla1[[#This Row],[costo_antes_iva]]*Tabla1[[#This Row],[OS-Cantidad]]</f>
        <v>125000</v>
      </c>
      <c r="W261" s="4">
        <f>Tabla1[[#This Row],[Valor total OS]]-Tabla1[[#This Row],[valor total op]]</f>
        <v>25000</v>
      </c>
    </row>
    <row r="262" spans="1:23" x14ac:dyDescent="0.3">
      <c r="A262">
        <v>6486</v>
      </c>
      <c r="B262">
        <v>6</v>
      </c>
      <c r="C262" t="s">
        <v>960</v>
      </c>
      <c r="D262" t="s">
        <v>961</v>
      </c>
      <c r="E262" t="s">
        <v>197</v>
      </c>
      <c r="F262" t="s">
        <v>35</v>
      </c>
      <c r="G262" s="2">
        <v>46014</v>
      </c>
      <c r="H262">
        <v>77668029</v>
      </c>
      <c r="I262" t="s">
        <v>962</v>
      </c>
      <c r="J262" t="s">
        <v>939</v>
      </c>
      <c r="K262" t="s">
        <v>25</v>
      </c>
      <c r="L262">
        <v>50</v>
      </c>
      <c r="M262">
        <v>50</v>
      </c>
      <c r="N262" t="s">
        <v>964</v>
      </c>
      <c r="O262" t="s">
        <v>39</v>
      </c>
      <c r="P262" t="s">
        <v>197</v>
      </c>
      <c r="Q262" s="4">
        <v>599450</v>
      </c>
      <c r="R262" s="4">
        <v>1800</v>
      </c>
      <c r="S262" s="4">
        <v>2400</v>
      </c>
      <c r="T262" s="4">
        <f>Tabla1[[#This Row],[OS-Valor Unitario]]-Tabla1[[#This Row],[costo_antes_iva]]</f>
        <v>600</v>
      </c>
      <c r="U262" s="4">
        <f>Tabla1[[#This Row],[OS-Valor Unitario]]*Tabla1[[#This Row],[OS-Cantidad]]</f>
        <v>120000</v>
      </c>
      <c r="V262" s="4">
        <f>Tabla1[[#This Row],[costo_antes_iva]]*Tabla1[[#This Row],[OS-Cantidad]]</f>
        <v>90000</v>
      </c>
      <c r="W262" s="4">
        <f>Tabla1[[#This Row],[Valor total OS]]-Tabla1[[#This Row],[valor total op]]</f>
        <v>30000</v>
      </c>
    </row>
    <row r="263" spans="1:23" x14ac:dyDescent="0.3">
      <c r="A263">
        <v>6486</v>
      </c>
      <c r="B263">
        <v>7</v>
      </c>
      <c r="C263" t="s">
        <v>965</v>
      </c>
      <c r="D263" t="s">
        <v>966</v>
      </c>
      <c r="E263" t="s">
        <v>142</v>
      </c>
      <c r="F263" t="s">
        <v>35</v>
      </c>
      <c r="G263" s="2">
        <v>46014</v>
      </c>
      <c r="H263">
        <v>77668035</v>
      </c>
      <c r="I263" t="s">
        <v>967</v>
      </c>
      <c r="J263" t="s">
        <v>939</v>
      </c>
      <c r="K263" t="s">
        <v>60</v>
      </c>
      <c r="L263">
        <v>50</v>
      </c>
      <c r="M263">
        <v>34</v>
      </c>
      <c r="N263" t="s">
        <v>968</v>
      </c>
      <c r="O263" t="s">
        <v>39</v>
      </c>
      <c r="P263" t="s">
        <v>72</v>
      </c>
      <c r="Q263" s="4">
        <v>2050550</v>
      </c>
      <c r="R263" s="4">
        <v>11000</v>
      </c>
      <c r="S263" s="4">
        <v>9000</v>
      </c>
      <c r="T263" s="4">
        <f>Tabla1[[#This Row],[OS-Valor Unitario]]-Tabla1[[#This Row],[costo_antes_iva]]</f>
        <v>-2000</v>
      </c>
      <c r="U263" s="4">
        <f>Tabla1[[#This Row],[OS-Valor Unitario]]*Tabla1[[#This Row],[OS-Cantidad]]</f>
        <v>306000</v>
      </c>
      <c r="V263" s="4">
        <f>Tabla1[[#This Row],[costo_antes_iva]]*Tabla1[[#This Row],[OS-Cantidad]]</f>
        <v>374000</v>
      </c>
      <c r="W263" s="4">
        <f>Tabla1[[#This Row],[Valor total OS]]-Tabla1[[#This Row],[valor total op]]</f>
        <v>-68000</v>
      </c>
    </row>
    <row r="264" spans="1:23" x14ac:dyDescent="0.3">
      <c r="A264">
        <v>6486</v>
      </c>
      <c r="B264">
        <v>8</v>
      </c>
      <c r="C264" t="s">
        <v>969</v>
      </c>
      <c r="D264" t="s">
        <v>970</v>
      </c>
      <c r="E264" t="s">
        <v>69</v>
      </c>
      <c r="F264" t="s">
        <v>35</v>
      </c>
      <c r="G264" s="2">
        <v>46014</v>
      </c>
      <c r="H264">
        <v>77668043</v>
      </c>
      <c r="I264" t="s">
        <v>971</v>
      </c>
      <c r="J264" t="s">
        <v>939</v>
      </c>
      <c r="K264" t="s">
        <v>60</v>
      </c>
      <c r="L264">
        <v>70</v>
      </c>
      <c r="M264">
        <v>70</v>
      </c>
      <c r="N264" t="s">
        <v>972</v>
      </c>
      <c r="O264" t="s">
        <v>39</v>
      </c>
      <c r="P264" t="s">
        <v>72</v>
      </c>
      <c r="Q264" s="4">
        <v>1864660</v>
      </c>
      <c r="R264" s="4">
        <v>4500</v>
      </c>
      <c r="S264" s="4">
        <v>5000</v>
      </c>
      <c r="T264" s="4">
        <f>Tabla1[[#This Row],[OS-Valor Unitario]]-Tabla1[[#This Row],[costo_antes_iva]]</f>
        <v>500</v>
      </c>
      <c r="U264" s="4">
        <f>Tabla1[[#This Row],[OS-Valor Unitario]]*Tabla1[[#This Row],[OS-Cantidad]]</f>
        <v>350000</v>
      </c>
      <c r="V264" s="4">
        <f>Tabla1[[#This Row],[costo_antes_iva]]*Tabla1[[#This Row],[OS-Cantidad]]</f>
        <v>315000</v>
      </c>
      <c r="W264" s="4">
        <f>Tabla1[[#This Row],[Valor total OS]]-Tabla1[[#This Row],[valor total op]]</f>
        <v>35000</v>
      </c>
    </row>
    <row r="265" spans="1:23" x14ac:dyDescent="0.3">
      <c r="A265">
        <v>6486</v>
      </c>
      <c r="B265">
        <v>9</v>
      </c>
      <c r="C265" t="s">
        <v>973</v>
      </c>
      <c r="D265" t="s">
        <v>974</v>
      </c>
      <c r="E265" t="s">
        <v>149</v>
      </c>
      <c r="F265" t="s">
        <v>35</v>
      </c>
      <c r="G265" s="2">
        <v>46014</v>
      </c>
      <c r="H265">
        <v>77668056</v>
      </c>
      <c r="I265" t="s">
        <v>975</v>
      </c>
      <c r="J265" t="s">
        <v>939</v>
      </c>
      <c r="K265" t="s">
        <v>60</v>
      </c>
      <c r="L265">
        <v>60</v>
      </c>
      <c r="M265">
        <v>60</v>
      </c>
      <c r="N265" t="s">
        <v>976</v>
      </c>
      <c r="O265" t="s">
        <v>39</v>
      </c>
      <c r="P265" t="s">
        <v>72</v>
      </c>
      <c r="Q265" s="4">
        <v>2764380</v>
      </c>
      <c r="R265" s="4">
        <v>11000</v>
      </c>
      <c r="S265" s="4">
        <v>9000</v>
      </c>
      <c r="T265" s="4">
        <f>Tabla1[[#This Row],[OS-Valor Unitario]]-Tabla1[[#This Row],[costo_antes_iva]]</f>
        <v>-2000</v>
      </c>
      <c r="U265" s="4">
        <f>Tabla1[[#This Row],[OS-Valor Unitario]]*Tabla1[[#This Row],[OS-Cantidad]]</f>
        <v>540000</v>
      </c>
      <c r="V265" s="4">
        <f>Tabla1[[#This Row],[costo_antes_iva]]*Tabla1[[#This Row],[OS-Cantidad]]</f>
        <v>660000</v>
      </c>
      <c r="W265" s="4">
        <f>Tabla1[[#This Row],[Valor total OS]]-Tabla1[[#This Row],[valor total op]]</f>
        <v>-120000</v>
      </c>
    </row>
    <row r="266" spans="1:23" x14ac:dyDescent="0.3">
      <c r="A266">
        <v>6485</v>
      </c>
      <c r="B266">
        <v>1</v>
      </c>
      <c r="C266" t="s">
        <v>977</v>
      </c>
      <c r="D266" t="s">
        <v>978</v>
      </c>
      <c r="E266" t="s">
        <v>845</v>
      </c>
      <c r="F266" t="s">
        <v>35</v>
      </c>
      <c r="G266" s="2">
        <v>46014</v>
      </c>
      <c r="H266">
        <v>77662375</v>
      </c>
      <c r="I266" t="s">
        <v>979</v>
      </c>
      <c r="J266" t="s">
        <v>980</v>
      </c>
      <c r="K266" t="s">
        <v>25</v>
      </c>
      <c r="L266">
        <v>155</v>
      </c>
      <c r="M266">
        <v>172</v>
      </c>
      <c r="N266" t="s">
        <v>981</v>
      </c>
      <c r="O266" t="s">
        <v>39</v>
      </c>
      <c r="P266" t="s">
        <v>85</v>
      </c>
      <c r="Q266" s="4">
        <v>7076060</v>
      </c>
      <c r="R266" s="4">
        <v>1600</v>
      </c>
      <c r="S266" s="4">
        <v>2400</v>
      </c>
      <c r="T266" s="4">
        <f>Tabla1[[#This Row],[OS-Valor Unitario]]-Tabla1[[#This Row],[costo_antes_iva]]</f>
        <v>800</v>
      </c>
      <c r="U266" s="4">
        <f>Tabla1[[#This Row],[OS-Valor Unitario]]*Tabla1[[#This Row],[OS-Cantidad]]</f>
        <v>412800</v>
      </c>
      <c r="V266" s="4">
        <f>Tabla1[[#This Row],[costo_antes_iva]]*Tabla1[[#This Row],[OS-Cantidad]]</f>
        <v>275200</v>
      </c>
      <c r="W266" s="4">
        <f>Tabla1[[#This Row],[Valor total OS]]-Tabla1[[#This Row],[valor total op]]</f>
        <v>137600</v>
      </c>
    </row>
    <row r="267" spans="1:23" x14ac:dyDescent="0.3">
      <c r="A267">
        <v>6485</v>
      </c>
      <c r="B267">
        <v>2</v>
      </c>
      <c r="C267" t="s">
        <v>982</v>
      </c>
      <c r="D267" t="s">
        <v>983</v>
      </c>
      <c r="E267" t="s">
        <v>79</v>
      </c>
      <c r="F267" t="s">
        <v>35</v>
      </c>
      <c r="G267" s="2">
        <v>46014</v>
      </c>
      <c r="H267">
        <v>77662382</v>
      </c>
      <c r="I267" t="s">
        <v>984</v>
      </c>
      <c r="J267" t="s">
        <v>980</v>
      </c>
      <c r="K267" t="s">
        <v>25</v>
      </c>
      <c r="L267">
        <v>30</v>
      </c>
      <c r="M267">
        <v>30</v>
      </c>
      <c r="N267" t="s">
        <v>985</v>
      </c>
      <c r="O267" t="s">
        <v>39</v>
      </c>
      <c r="P267" t="s">
        <v>85</v>
      </c>
      <c r="Q267" s="4">
        <v>1437390</v>
      </c>
      <c r="R267" s="4">
        <v>1600</v>
      </c>
      <c r="S267" s="4">
        <v>2400</v>
      </c>
      <c r="T267" s="4">
        <f>Tabla1[[#This Row],[OS-Valor Unitario]]-Tabla1[[#This Row],[costo_antes_iva]]</f>
        <v>800</v>
      </c>
      <c r="U267" s="4">
        <f>Tabla1[[#This Row],[OS-Valor Unitario]]*Tabla1[[#This Row],[OS-Cantidad]]</f>
        <v>72000</v>
      </c>
      <c r="V267" s="4">
        <f>Tabla1[[#This Row],[costo_antes_iva]]*Tabla1[[#This Row],[OS-Cantidad]]</f>
        <v>48000</v>
      </c>
      <c r="W267" s="4">
        <f>Tabla1[[#This Row],[Valor total OS]]-Tabla1[[#This Row],[valor total op]]</f>
        <v>24000</v>
      </c>
    </row>
    <row r="268" spans="1:23" x14ac:dyDescent="0.3">
      <c r="A268">
        <v>6485</v>
      </c>
      <c r="B268">
        <v>3</v>
      </c>
      <c r="C268" t="s">
        <v>986</v>
      </c>
      <c r="D268" t="s">
        <v>987</v>
      </c>
      <c r="E268" t="s">
        <v>79</v>
      </c>
      <c r="F268" t="s">
        <v>35</v>
      </c>
      <c r="G268" s="2">
        <v>46014</v>
      </c>
      <c r="H268">
        <v>77662399</v>
      </c>
      <c r="I268" t="s">
        <v>988</v>
      </c>
      <c r="J268" t="s">
        <v>980</v>
      </c>
      <c r="K268" t="s">
        <v>60</v>
      </c>
      <c r="L268">
        <v>50</v>
      </c>
      <c r="M268">
        <v>50</v>
      </c>
      <c r="N268" t="s">
        <v>989</v>
      </c>
      <c r="O268" t="s">
        <v>39</v>
      </c>
      <c r="P268" t="s">
        <v>85</v>
      </c>
      <c r="Q268" s="4">
        <v>1314550</v>
      </c>
      <c r="R268" s="4">
        <v>5500</v>
      </c>
      <c r="S268" s="4">
        <v>5500</v>
      </c>
      <c r="T268" s="4">
        <f>Tabla1[[#This Row],[OS-Valor Unitario]]-Tabla1[[#This Row],[costo_antes_iva]]</f>
        <v>0</v>
      </c>
      <c r="U268" s="4">
        <f>Tabla1[[#This Row],[OS-Valor Unitario]]*Tabla1[[#This Row],[OS-Cantidad]]</f>
        <v>275000</v>
      </c>
      <c r="V268" s="4">
        <f>Tabla1[[#This Row],[costo_antes_iva]]*Tabla1[[#This Row],[OS-Cantidad]]</f>
        <v>275000</v>
      </c>
      <c r="W268" s="4">
        <f>Tabla1[[#This Row],[Valor total OS]]-Tabla1[[#This Row],[valor total op]]</f>
        <v>0</v>
      </c>
    </row>
    <row r="269" spans="1:23" x14ac:dyDescent="0.3">
      <c r="A269">
        <v>6485</v>
      </c>
      <c r="B269">
        <v>3</v>
      </c>
      <c r="C269" t="s">
        <v>986</v>
      </c>
      <c r="D269" t="s">
        <v>987</v>
      </c>
      <c r="E269" t="s">
        <v>79</v>
      </c>
      <c r="F269" t="s">
        <v>35</v>
      </c>
      <c r="G269" s="2">
        <v>46014</v>
      </c>
      <c r="H269">
        <v>77662399</v>
      </c>
      <c r="I269" t="s">
        <v>988</v>
      </c>
      <c r="J269" t="s">
        <v>980</v>
      </c>
      <c r="K269" t="s">
        <v>25</v>
      </c>
      <c r="L269">
        <v>50</v>
      </c>
      <c r="M269">
        <v>50</v>
      </c>
      <c r="N269" t="s">
        <v>990</v>
      </c>
      <c r="O269" t="s">
        <v>39</v>
      </c>
      <c r="P269" t="s">
        <v>85</v>
      </c>
      <c r="Q269" s="4">
        <v>1314550</v>
      </c>
      <c r="R269" s="4">
        <v>1800</v>
      </c>
      <c r="S269" s="4">
        <v>1100</v>
      </c>
      <c r="T269" s="4">
        <f>Tabla1[[#This Row],[OS-Valor Unitario]]-Tabla1[[#This Row],[costo_antes_iva]]</f>
        <v>-700</v>
      </c>
      <c r="U269" s="4">
        <f>Tabla1[[#This Row],[OS-Valor Unitario]]*Tabla1[[#This Row],[OS-Cantidad]]</f>
        <v>55000</v>
      </c>
      <c r="V269" s="4">
        <f>Tabla1[[#This Row],[costo_antes_iva]]*Tabla1[[#This Row],[OS-Cantidad]]</f>
        <v>90000</v>
      </c>
      <c r="W269" s="4">
        <f>Tabla1[[#This Row],[Valor total OS]]-Tabla1[[#This Row],[valor total op]]</f>
        <v>-35000</v>
      </c>
    </row>
    <row r="270" spans="1:23" x14ac:dyDescent="0.3">
      <c r="A270">
        <v>6485</v>
      </c>
      <c r="B270">
        <v>4</v>
      </c>
      <c r="C270" t="s">
        <v>991</v>
      </c>
      <c r="D270" t="s">
        <v>992</v>
      </c>
      <c r="E270" t="s">
        <v>232</v>
      </c>
      <c r="F270" t="s">
        <v>35</v>
      </c>
      <c r="G270" s="2">
        <v>46014</v>
      </c>
      <c r="H270">
        <v>77662467</v>
      </c>
      <c r="I270" t="s">
        <v>993</v>
      </c>
      <c r="J270" t="s">
        <v>980</v>
      </c>
      <c r="K270" t="s">
        <v>60</v>
      </c>
      <c r="L270">
        <v>35</v>
      </c>
      <c r="M270">
        <v>35</v>
      </c>
      <c r="N270" t="s">
        <v>994</v>
      </c>
      <c r="O270" t="s">
        <v>39</v>
      </c>
      <c r="P270" t="s">
        <v>85</v>
      </c>
      <c r="Q270" s="4">
        <v>1633625</v>
      </c>
      <c r="R270" s="4">
        <v>12000</v>
      </c>
      <c r="S270" s="4">
        <v>2400</v>
      </c>
      <c r="T270" s="4">
        <f>Tabla1[[#This Row],[OS-Valor Unitario]]-Tabla1[[#This Row],[costo_antes_iva]]</f>
        <v>-9600</v>
      </c>
      <c r="U270" s="4">
        <f>Tabla1[[#This Row],[OS-Valor Unitario]]*Tabla1[[#This Row],[OS-Cantidad]]</f>
        <v>84000</v>
      </c>
      <c r="V270" s="4">
        <f>Tabla1[[#This Row],[costo_antes_iva]]*Tabla1[[#This Row],[OS-Cantidad]]</f>
        <v>420000</v>
      </c>
      <c r="W270" s="4">
        <f>Tabla1[[#This Row],[Valor total OS]]-Tabla1[[#This Row],[valor total op]]</f>
        <v>-336000</v>
      </c>
    </row>
    <row r="271" spans="1:23" x14ac:dyDescent="0.3">
      <c r="A271">
        <v>6485</v>
      </c>
      <c r="B271">
        <v>5</v>
      </c>
      <c r="C271" t="s">
        <v>995</v>
      </c>
      <c r="D271" t="s">
        <v>996</v>
      </c>
      <c r="E271" t="s">
        <v>51</v>
      </c>
      <c r="F271" t="s">
        <v>35</v>
      </c>
      <c r="G271" s="2">
        <v>46014</v>
      </c>
      <c r="H271">
        <v>77662475</v>
      </c>
      <c r="I271" t="s">
        <v>997</v>
      </c>
      <c r="J271" t="s">
        <v>980</v>
      </c>
      <c r="K271" t="s">
        <v>60</v>
      </c>
      <c r="L271">
        <v>195</v>
      </c>
      <c r="M271">
        <v>195</v>
      </c>
      <c r="N271" t="s">
        <v>998</v>
      </c>
      <c r="O271" t="s">
        <v>39</v>
      </c>
      <c r="P271" t="s">
        <v>55</v>
      </c>
      <c r="Q271" s="4">
        <v>8604570</v>
      </c>
      <c r="R271" s="4">
        <v>12000</v>
      </c>
      <c r="S271" s="4">
        <v>2400</v>
      </c>
      <c r="T271" s="4">
        <f>Tabla1[[#This Row],[OS-Valor Unitario]]-Tabla1[[#This Row],[costo_antes_iva]]</f>
        <v>-9600</v>
      </c>
      <c r="U271" s="4">
        <f>Tabla1[[#This Row],[OS-Valor Unitario]]*Tabla1[[#This Row],[OS-Cantidad]]</f>
        <v>468000</v>
      </c>
      <c r="V271" s="4">
        <f>Tabla1[[#This Row],[costo_antes_iva]]*Tabla1[[#This Row],[OS-Cantidad]]</f>
        <v>2340000</v>
      </c>
      <c r="W271" s="4">
        <f>Tabla1[[#This Row],[Valor total OS]]-Tabla1[[#This Row],[valor total op]]</f>
        <v>-1872000</v>
      </c>
    </row>
    <row r="272" spans="1:23" x14ac:dyDescent="0.3">
      <c r="A272">
        <v>6485</v>
      </c>
      <c r="B272">
        <v>6</v>
      </c>
      <c r="C272" t="s">
        <v>999</v>
      </c>
      <c r="D272" t="s">
        <v>1000</v>
      </c>
      <c r="E272" t="s">
        <v>51</v>
      </c>
      <c r="F272" t="s">
        <v>35</v>
      </c>
      <c r="G272" s="2">
        <v>46014</v>
      </c>
      <c r="H272">
        <v>77662497</v>
      </c>
      <c r="I272" t="s">
        <v>1001</v>
      </c>
      <c r="J272" t="s">
        <v>980</v>
      </c>
      <c r="K272" t="s">
        <v>60</v>
      </c>
      <c r="L272">
        <v>50</v>
      </c>
      <c r="M272">
        <v>50</v>
      </c>
      <c r="N272" t="s">
        <v>1002</v>
      </c>
      <c r="O272" t="s">
        <v>39</v>
      </c>
      <c r="P272" t="s">
        <v>55</v>
      </c>
      <c r="Q272" s="4">
        <v>1256100</v>
      </c>
      <c r="R272" s="4">
        <v>5500</v>
      </c>
      <c r="S272" s="4">
        <v>5500</v>
      </c>
      <c r="T272" s="4">
        <f>Tabla1[[#This Row],[OS-Valor Unitario]]-Tabla1[[#This Row],[costo_antes_iva]]</f>
        <v>0</v>
      </c>
      <c r="U272" s="4">
        <f>Tabla1[[#This Row],[OS-Valor Unitario]]*Tabla1[[#This Row],[OS-Cantidad]]</f>
        <v>275000</v>
      </c>
      <c r="V272" s="4">
        <f>Tabla1[[#This Row],[costo_antes_iva]]*Tabla1[[#This Row],[OS-Cantidad]]</f>
        <v>275000</v>
      </c>
      <c r="W272" s="4">
        <f>Tabla1[[#This Row],[Valor total OS]]-Tabla1[[#This Row],[valor total op]]</f>
        <v>0</v>
      </c>
    </row>
    <row r="273" spans="1:23" x14ac:dyDescent="0.3">
      <c r="A273">
        <v>6485</v>
      </c>
      <c r="B273">
        <v>6</v>
      </c>
      <c r="C273" t="s">
        <v>999</v>
      </c>
      <c r="D273" t="s">
        <v>1000</v>
      </c>
      <c r="E273" t="s">
        <v>51</v>
      </c>
      <c r="F273" t="s">
        <v>35</v>
      </c>
      <c r="G273" s="2">
        <v>46014</v>
      </c>
      <c r="H273">
        <v>77662497</v>
      </c>
      <c r="I273" t="s">
        <v>1001</v>
      </c>
      <c r="J273" t="s">
        <v>980</v>
      </c>
      <c r="K273" t="s">
        <v>25</v>
      </c>
      <c r="L273">
        <v>50</v>
      </c>
      <c r="M273">
        <v>50</v>
      </c>
      <c r="N273" t="s">
        <v>1003</v>
      </c>
      <c r="O273" t="s">
        <v>39</v>
      </c>
      <c r="P273" t="s">
        <v>55</v>
      </c>
      <c r="Q273" s="4">
        <v>1256100</v>
      </c>
      <c r="R273" s="4">
        <v>1800</v>
      </c>
      <c r="S273" s="4">
        <v>1100</v>
      </c>
      <c r="T273" s="4">
        <f>Tabla1[[#This Row],[OS-Valor Unitario]]-Tabla1[[#This Row],[costo_antes_iva]]</f>
        <v>-700</v>
      </c>
      <c r="U273" s="4">
        <f>Tabla1[[#This Row],[OS-Valor Unitario]]*Tabla1[[#This Row],[OS-Cantidad]]</f>
        <v>55000</v>
      </c>
      <c r="V273" s="4">
        <f>Tabla1[[#This Row],[costo_antes_iva]]*Tabla1[[#This Row],[OS-Cantidad]]</f>
        <v>90000</v>
      </c>
      <c r="W273" s="4">
        <f>Tabla1[[#This Row],[Valor total OS]]-Tabla1[[#This Row],[valor total op]]</f>
        <v>-35000</v>
      </c>
    </row>
    <row r="274" spans="1:23" x14ac:dyDescent="0.3">
      <c r="A274">
        <v>6485</v>
      </c>
      <c r="B274">
        <v>7</v>
      </c>
      <c r="C274" t="s">
        <v>1004</v>
      </c>
      <c r="D274" t="s">
        <v>1005</v>
      </c>
      <c r="E274" t="s">
        <v>949</v>
      </c>
      <c r="F274" t="s">
        <v>35</v>
      </c>
      <c r="G274" s="2">
        <v>46014</v>
      </c>
      <c r="H274">
        <v>77662677</v>
      </c>
      <c r="I274" t="s">
        <v>1006</v>
      </c>
      <c r="J274" t="s">
        <v>980</v>
      </c>
      <c r="K274" t="s">
        <v>60</v>
      </c>
      <c r="L274">
        <v>160</v>
      </c>
      <c r="M274">
        <v>160</v>
      </c>
      <c r="N274" t="s">
        <v>1007</v>
      </c>
      <c r="O274" t="s">
        <v>39</v>
      </c>
      <c r="P274" t="s">
        <v>62</v>
      </c>
      <c r="Q274" s="4">
        <v>2547520</v>
      </c>
      <c r="R274" s="4">
        <v>3000</v>
      </c>
      <c r="S274" s="4">
        <v>3000</v>
      </c>
      <c r="T274" s="4">
        <f>Tabla1[[#This Row],[OS-Valor Unitario]]-Tabla1[[#This Row],[costo_antes_iva]]</f>
        <v>0</v>
      </c>
      <c r="U274" s="4">
        <f>Tabla1[[#This Row],[OS-Valor Unitario]]*Tabla1[[#This Row],[OS-Cantidad]]</f>
        <v>480000</v>
      </c>
      <c r="V274" s="4">
        <f>Tabla1[[#This Row],[costo_antes_iva]]*Tabla1[[#This Row],[OS-Cantidad]]</f>
        <v>480000</v>
      </c>
      <c r="W274" s="4">
        <f>Tabla1[[#This Row],[Valor total OS]]-Tabla1[[#This Row],[valor total op]]</f>
        <v>0</v>
      </c>
    </row>
    <row r="275" spans="1:23" x14ac:dyDescent="0.3">
      <c r="A275">
        <v>6485</v>
      </c>
      <c r="B275">
        <v>8</v>
      </c>
      <c r="C275" t="s">
        <v>1008</v>
      </c>
      <c r="D275" t="s">
        <v>1009</v>
      </c>
      <c r="E275" t="s">
        <v>58</v>
      </c>
      <c r="F275" t="s">
        <v>35</v>
      </c>
      <c r="G275" s="2">
        <v>46014</v>
      </c>
      <c r="H275">
        <v>77662718</v>
      </c>
      <c r="I275" t="s">
        <v>1010</v>
      </c>
      <c r="J275" t="s">
        <v>980</v>
      </c>
      <c r="K275" t="s">
        <v>60</v>
      </c>
      <c r="L275">
        <v>30</v>
      </c>
      <c r="M275">
        <v>30</v>
      </c>
      <c r="N275" t="s">
        <v>1011</v>
      </c>
      <c r="O275" t="s">
        <v>39</v>
      </c>
      <c r="P275" t="s">
        <v>62</v>
      </c>
      <c r="Q275" s="4">
        <v>403020</v>
      </c>
      <c r="R275" s="4">
        <v>3000</v>
      </c>
      <c r="S275" s="4">
        <v>2500</v>
      </c>
      <c r="T275" s="4">
        <f>Tabla1[[#This Row],[OS-Valor Unitario]]-Tabla1[[#This Row],[costo_antes_iva]]</f>
        <v>-500</v>
      </c>
      <c r="U275" s="4">
        <f>Tabla1[[#This Row],[OS-Valor Unitario]]*Tabla1[[#This Row],[OS-Cantidad]]</f>
        <v>75000</v>
      </c>
      <c r="V275" s="4">
        <f>Tabla1[[#This Row],[costo_antes_iva]]*Tabla1[[#This Row],[OS-Cantidad]]</f>
        <v>90000</v>
      </c>
      <c r="W275" s="4">
        <f>Tabla1[[#This Row],[Valor total OS]]-Tabla1[[#This Row],[valor total op]]</f>
        <v>-15000</v>
      </c>
    </row>
    <row r="276" spans="1:23" x14ac:dyDescent="0.3">
      <c r="A276">
        <v>6485</v>
      </c>
      <c r="B276">
        <v>9</v>
      </c>
      <c r="C276" t="s">
        <v>1012</v>
      </c>
      <c r="D276" t="s">
        <v>1013</v>
      </c>
      <c r="E276" t="s">
        <v>197</v>
      </c>
      <c r="F276" t="s">
        <v>35</v>
      </c>
      <c r="G276" s="2">
        <v>46014</v>
      </c>
      <c r="H276">
        <v>77662811</v>
      </c>
      <c r="I276" t="s">
        <v>1014</v>
      </c>
      <c r="J276" t="s">
        <v>980</v>
      </c>
      <c r="K276" t="s">
        <v>60</v>
      </c>
      <c r="L276">
        <v>40</v>
      </c>
      <c r="M276">
        <v>40</v>
      </c>
      <c r="N276" t="s">
        <v>1015</v>
      </c>
      <c r="O276" t="s">
        <v>39</v>
      </c>
      <c r="P276" t="s">
        <v>197</v>
      </c>
      <c r="Q276" s="4">
        <v>402240</v>
      </c>
      <c r="R276" s="4">
        <v>2500</v>
      </c>
      <c r="S276" s="4">
        <v>2500</v>
      </c>
      <c r="T276" s="4">
        <f>Tabla1[[#This Row],[OS-Valor Unitario]]-Tabla1[[#This Row],[costo_antes_iva]]</f>
        <v>0</v>
      </c>
      <c r="U276" s="4">
        <f>Tabla1[[#This Row],[OS-Valor Unitario]]*Tabla1[[#This Row],[OS-Cantidad]]</f>
        <v>100000</v>
      </c>
      <c r="V276" s="4">
        <f>Tabla1[[#This Row],[costo_antes_iva]]*Tabla1[[#This Row],[OS-Cantidad]]</f>
        <v>100000</v>
      </c>
      <c r="W276" s="4">
        <f>Tabla1[[#This Row],[Valor total OS]]-Tabla1[[#This Row],[valor total op]]</f>
        <v>0</v>
      </c>
    </row>
    <row r="277" spans="1:23" x14ac:dyDescent="0.3">
      <c r="A277">
        <v>6485</v>
      </c>
      <c r="B277">
        <v>10</v>
      </c>
      <c r="C277" t="s">
        <v>1016</v>
      </c>
      <c r="D277" t="s">
        <v>1017</v>
      </c>
      <c r="E277" t="s">
        <v>149</v>
      </c>
      <c r="F277" t="s">
        <v>35</v>
      </c>
      <c r="G277" s="2">
        <v>46014</v>
      </c>
      <c r="H277">
        <v>77662843</v>
      </c>
      <c r="I277" t="s">
        <v>1018</v>
      </c>
      <c r="J277" t="s">
        <v>980</v>
      </c>
      <c r="K277" t="s">
        <v>60</v>
      </c>
      <c r="L277">
        <v>275</v>
      </c>
      <c r="M277">
        <v>271</v>
      </c>
      <c r="N277" t="s">
        <v>1019</v>
      </c>
      <c r="O277" t="s">
        <v>39</v>
      </c>
      <c r="P277" t="s">
        <v>72</v>
      </c>
      <c r="Q277" s="4">
        <v>12686850</v>
      </c>
      <c r="R277" s="4">
        <v>11000</v>
      </c>
      <c r="S277" s="4">
        <v>9000</v>
      </c>
      <c r="T277" s="4">
        <f>Tabla1[[#This Row],[OS-Valor Unitario]]-Tabla1[[#This Row],[costo_antes_iva]]</f>
        <v>-2000</v>
      </c>
      <c r="U277" s="4">
        <f>Tabla1[[#This Row],[OS-Valor Unitario]]*Tabla1[[#This Row],[OS-Cantidad]]</f>
        <v>2439000</v>
      </c>
      <c r="V277" s="4">
        <f>Tabla1[[#This Row],[costo_antes_iva]]*Tabla1[[#This Row],[OS-Cantidad]]</f>
        <v>2981000</v>
      </c>
      <c r="W277" s="4">
        <f>Tabla1[[#This Row],[Valor total OS]]-Tabla1[[#This Row],[valor total op]]</f>
        <v>-542000</v>
      </c>
    </row>
    <row r="278" spans="1:23" x14ac:dyDescent="0.3">
      <c r="A278">
        <v>6485</v>
      </c>
      <c r="B278">
        <v>11</v>
      </c>
      <c r="C278" t="s">
        <v>1020</v>
      </c>
      <c r="D278" t="s">
        <v>1021</v>
      </c>
      <c r="E278" t="s">
        <v>142</v>
      </c>
      <c r="F278" t="s">
        <v>35</v>
      </c>
      <c r="G278" s="2">
        <v>46014</v>
      </c>
      <c r="H278">
        <v>77662859</v>
      </c>
      <c r="I278" t="s">
        <v>1022</v>
      </c>
      <c r="J278" t="s">
        <v>980</v>
      </c>
      <c r="K278" t="s">
        <v>60</v>
      </c>
      <c r="L278">
        <v>145</v>
      </c>
      <c r="M278">
        <v>145</v>
      </c>
      <c r="N278" t="s">
        <v>1023</v>
      </c>
      <c r="O278" t="s">
        <v>39</v>
      </c>
      <c r="P278" t="s">
        <v>72</v>
      </c>
      <c r="Q278" s="4">
        <v>4672480</v>
      </c>
      <c r="R278" s="4">
        <v>0</v>
      </c>
      <c r="S278" s="4">
        <v>9000</v>
      </c>
      <c r="T278" s="4">
        <f>Tabla1[[#This Row],[OS-Valor Unitario]]-Tabla1[[#This Row],[costo_antes_iva]]</f>
        <v>9000</v>
      </c>
      <c r="U278" s="4">
        <f>Tabla1[[#This Row],[OS-Valor Unitario]]*Tabla1[[#This Row],[OS-Cantidad]]</f>
        <v>1305000</v>
      </c>
      <c r="V278" s="4">
        <f>Tabla1[[#This Row],[costo_antes_iva]]*Tabla1[[#This Row],[OS-Cantidad]]</f>
        <v>0</v>
      </c>
      <c r="W278" s="4">
        <f>Tabla1[[#This Row],[Valor total OS]]-Tabla1[[#This Row],[valor total op]]</f>
        <v>1305000</v>
      </c>
    </row>
    <row r="279" spans="1:23" x14ac:dyDescent="0.3">
      <c r="A279">
        <v>6485</v>
      </c>
      <c r="B279">
        <v>13</v>
      </c>
      <c r="C279" t="s">
        <v>1024</v>
      </c>
      <c r="D279" t="s">
        <v>1025</v>
      </c>
      <c r="E279" t="s">
        <v>69</v>
      </c>
      <c r="F279" t="s">
        <v>35</v>
      </c>
      <c r="G279" s="2">
        <v>46014</v>
      </c>
      <c r="H279">
        <v>77662886</v>
      </c>
      <c r="I279" t="s">
        <v>1026</v>
      </c>
      <c r="J279" t="s">
        <v>980</v>
      </c>
      <c r="K279" t="s">
        <v>60</v>
      </c>
      <c r="L279">
        <v>105</v>
      </c>
      <c r="M279">
        <v>105</v>
      </c>
      <c r="N279" t="s">
        <v>1027</v>
      </c>
      <c r="O279" t="s">
        <v>39</v>
      </c>
      <c r="P279" t="s">
        <v>72</v>
      </c>
      <c r="Q279" s="4">
        <v>3184545</v>
      </c>
      <c r="R279" s="4">
        <v>5000</v>
      </c>
      <c r="S279" s="4">
        <v>5000</v>
      </c>
      <c r="T279" s="4">
        <f>Tabla1[[#This Row],[OS-Valor Unitario]]-Tabla1[[#This Row],[costo_antes_iva]]</f>
        <v>0</v>
      </c>
      <c r="U279" s="4">
        <f>Tabla1[[#This Row],[OS-Valor Unitario]]*Tabla1[[#This Row],[OS-Cantidad]]</f>
        <v>525000</v>
      </c>
      <c r="V279" s="4">
        <f>Tabla1[[#This Row],[costo_antes_iva]]*Tabla1[[#This Row],[OS-Cantidad]]</f>
        <v>525000</v>
      </c>
      <c r="W279" s="4">
        <f>Tabla1[[#This Row],[Valor total OS]]-Tabla1[[#This Row],[valor total op]]</f>
        <v>0</v>
      </c>
    </row>
    <row r="280" spans="1:23" x14ac:dyDescent="0.3">
      <c r="A280">
        <v>6485</v>
      </c>
      <c r="B280">
        <v>14</v>
      </c>
      <c r="C280" t="s">
        <v>1028</v>
      </c>
      <c r="D280" t="s">
        <v>1029</v>
      </c>
      <c r="E280" t="s">
        <v>69</v>
      </c>
      <c r="F280" t="s">
        <v>35</v>
      </c>
      <c r="G280" s="2">
        <v>46014</v>
      </c>
      <c r="H280">
        <v>77662897</v>
      </c>
      <c r="I280" t="s">
        <v>1030</v>
      </c>
      <c r="J280" t="s">
        <v>980</v>
      </c>
      <c r="K280" t="s">
        <v>60</v>
      </c>
      <c r="L280">
        <v>160</v>
      </c>
      <c r="M280">
        <v>160</v>
      </c>
      <c r="N280" t="s">
        <v>1031</v>
      </c>
      <c r="O280" t="s">
        <v>39</v>
      </c>
      <c r="P280" t="s">
        <v>72</v>
      </c>
      <c r="Q280" s="4">
        <v>4852640</v>
      </c>
      <c r="R280" s="4">
        <v>5000</v>
      </c>
      <c r="S280" s="4">
        <v>5000</v>
      </c>
      <c r="T280" s="4">
        <f>Tabla1[[#This Row],[OS-Valor Unitario]]-Tabla1[[#This Row],[costo_antes_iva]]</f>
        <v>0</v>
      </c>
      <c r="U280" s="4">
        <f>Tabla1[[#This Row],[OS-Valor Unitario]]*Tabla1[[#This Row],[OS-Cantidad]]</f>
        <v>800000</v>
      </c>
      <c r="V280" s="4">
        <f>Tabla1[[#This Row],[costo_antes_iva]]*Tabla1[[#This Row],[OS-Cantidad]]</f>
        <v>800000</v>
      </c>
      <c r="W280" s="4">
        <f>Tabla1[[#This Row],[Valor total OS]]-Tabla1[[#This Row],[valor total op]]</f>
        <v>0</v>
      </c>
    </row>
    <row r="281" spans="1:23" x14ac:dyDescent="0.3">
      <c r="A281">
        <v>6484</v>
      </c>
      <c r="B281">
        <v>1</v>
      </c>
      <c r="C281" t="s">
        <v>1032</v>
      </c>
      <c r="D281" t="s">
        <v>1033</v>
      </c>
      <c r="E281" t="s">
        <v>845</v>
      </c>
      <c r="F281" t="s">
        <v>35</v>
      </c>
      <c r="G281" s="2">
        <v>46014</v>
      </c>
      <c r="H281">
        <v>77658373</v>
      </c>
      <c r="I281" t="s">
        <v>1034</v>
      </c>
      <c r="J281" t="s">
        <v>1035</v>
      </c>
      <c r="K281" t="s">
        <v>60</v>
      </c>
      <c r="L281">
        <v>80</v>
      </c>
      <c r="M281">
        <v>80</v>
      </c>
      <c r="N281" t="s">
        <v>1036</v>
      </c>
      <c r="O281" t="s">
        <v>39</v>
      </c>
      <c r="P281" t="s">
        <v>85</v>
      </c>
      <c r="Q281" s="4">
        <v>3318560</v>
      </c>
      <c r="R281" s="4">
        <v>12000</v>
      </c>
      <c r="S281" s="4">
        <v>13000</v>
      </c>
      <c r="T281" s="4">
        <f>Tabla1[[#This Row],[OS-Valor Unitario]]-Tabla1[[#This Row],[costo_antes_iva]]</f>
        <v>1000</v>
      </c>
      <c r="U281" s="4">
        <f>Tabla1[[#This Row],[OS-Valor Unitario]]*Tabla1[[#This Row],[OS-Cantidad]]</f>
        <v>1040000</v>
      </c>
      <c r="V281" s="4">
        <f>Tabla1[[#This Row],[costo_antes_iva]]*Tabla1[[#This Row],[OS-Cantidad]]</f>
        <v>960000</v>
      </c>
      <c r="W281" s="4">
        <f>Tabla1[[#This Row],[Valor total OS]]-Tabla1[[#This Row],[valor total op]]</f>
        <v>80000</v>
      </c>
    </row>
    <row r="282" spans="1:23" x14ac:dyDescent="0.3">
      <c r="A282">
        <v>6484</v>
      </c>
      <c r="B282">
        <v>1</v>
      </c>
      <c r="C282" t="s">
        <v>1032</v>
      </c>
      <c r="D282" t="s">
        <v>1033</v>
      </c>
      <c r="E282" t="s">
        <v>845</v>
      </c>
      <c r="F282" t="s">
        <v>35</v>
      </c>
      <c r="G282" s="2">
        <v>46014</v>
      </c>
      <c r="H282">
        <v>77658373</v>
      </c>
      <c r="I282" t="s">
        <v>1034</v>
      </c>
      <c r="J282" t="s">
        <v>1035</v>
      </c>
      <c r="K282" t="s">
        <v>25</v>
      </c>
      <c r="L282">
        <v>80</v>
      </c>
      <c r="M282">
        <v>80</v>
      </c>
      <c r="N282" t="s">
        <v>1037</v>
      </c>
      <c r="O282" t="s">
        <v>39</v>
      </c>
      <c r="P282" t="s">
        <v>85</v>
      </c>
      <c r="Q282" s="4">
        <v>3318560</v>
      </c>
      <c r="R282" s="4">
        <v>2000</v>
      </c>
      <c r="S282" s="4">
        <v>1650</v>
      </c>
      <c r="T282" s="4">
        <f>Tabla1[[#This Row],[OS-Valor Unitario]]-Tabla1[[#This Row],[costo_antes_iva]]</f>
        <v>-350</v>
      </c>
      <c r="U282" s="4">
        <f>Tabla1[[#This Row],[OS-Valor Unitario]]*Tabla1[[#This Row],[OS-Cantidad]]</f>
        <v>132000</v>
      </c>
      <c r="V282" s="4">
        <f>Tabla1[[#This Row],[costo_antes_iva]]*Tabla1[[#This Row],[OS-Cantidad]]</f>
        <v>160000</v>
      </c>
      <c r="W282" s="4">
        <f>Tabla1[[#This Row],[Valor total OS]]-Tabla1[[#This Row],[valor total op]]</f>
        <v>-28000</v>
      </c>
    </row>
    <row r="283" spans="1:23" x14ac:dyDescent="0.3">
      <c r="A283">
        <v>6484</v>
      </c>
      <c r="B283">
        <v>2</v>
      </c>
      <c r="C283" t="s">
        <v>1038</v>
      </c>
      <c r="D283" t="s">
        <v>1039</v>
      </c>
      <c r="E283" t="s">
        <v>79</v>
      </c>
      <c r="F283" t="s">
        <v>35</v>
      </c>
      <c r="G283" s="2">
        <v>46014</v>
      </c>
      <c r="H283">
        <v>77658380</v>
      </c>
      <c r="I283" t="s">
        <v>1040</v>
      </c>
      <c r="J283" t="s">
        <v>1035</v>
      </c>
      <c r="K283" t="s">
        <v>60</v>
      </c>
      <c r="L283">
        <v>45</v>
      </c>
      <c r="M283">
        <v>45</v>
      </c>
      <c r="N283" t="s">
        <v>1041</v>
      </c>
      <c r="O283" t="s">
        <v>39</v>
      </c>
      <c r="P283" t="s">
        <v>85</v>
      </c>
      <c r="Q283" s="4">
        <v>1897020</v>
      </c>
      <c r="R283" s="4">
        <v>12000</v>
      </c>
      <c r="S283" s="4">
        <v>13000</v>
      </c>
      <c r="T283" s="4">
        <f>Tabla1[[#This Row],[OS-Valor Unitario]]-Tabla1[[#This Row],[costo_antes_iva]]</f>
        <v>1000</v>
      </c>
      <c r="U283" s="4">
        <f>Tabla1[[#This Row],[OS-Valor Unitario]]*Tabla1[[#This Row],[OS-Cantidad]]</f>
        <v>585000</v>
      </c>
      <c r="V283" s="4">
        <f>Tabla1[[#This Row],[costo_antes_iva]]*Tabla1[[#This Row],[OS-Cantidad]]</f>
        <v>540000</v>
      </c>
      <c r="W283" s="4">
        <f>Tabla1[[#This Row],[Valor total OS]]-Tabla1[[#This Row],[valor total op]]</f>
        <v>45000</v>
      </c>
    </row>
    <row r="284" spans="1:23" x14ac:dyDescent="0.3">
      <c r="A284">
        <v>6484</v>
      </c>
      <c r="B284">
        <v>2</v>
      </c>
      <c r="C284" t="s">
        <v>1038</v>
      </c>
      <c r="D284" t="s">
        <v>1039</v>
      </c>
      <c r="E284" t="s">
        <v>79</v>
      </c>
      <c r="F284" t="s">
        <v>35</v>
      </c>
      <c r="G284" s="2">
        <v>46014</v>
      </c>
      <c r="H284">
        <v>77658380</v>
      </c>
      <c r="I284" t="s">
        <v>1040</v>
      </c>
      <c r="J284" t="s">
        <v>1035</v>
      </c>
      <c r="K284" t="s">
        <v>25</v>
      </c>
      <c r="L284">
        <v>45</v>
      </c>
      <c r="M284">
        <v>45</v>
      </c>
      <c r="N284" t="s">
        <v>1042</v>
      </c>
      <c r="O284" t="s">
        <v>39</v>
      </c>
      <c r="P284" t="s">
        <v>85</v>
      </c>
      <c r="Q284" s="4">
        <v>1897020</v>
      </c>
      <c r="R284" s="4">
        <v>2000</v>
      </c>
      <c r="S284" s="4">
        <v>1650</v>
      </c>
      <c r="T284" s="4">
        <f>Tabla1[[#This Row],[OS-Valor Unitario]]-Tabla1[[#This Row],[costo_antes_iva]]</f>
        <v>-350</v>
      </c>
      <c r="U284" s="4">
        <f>Tabla1[[#This Row],[OS-Valor Unitario]]*Tabla1[[#This Row],[OS-Cantidad]]</f>
        <v>74250</v>
      </c>
      <c r="V284" s="4">
        <f>Tabla1[[#This Row],[costo_antes_iva]]*Tabla1[[#This Row],[OS-Cantidad]]</f>
        <v>90000</v>
      </c>
      <c r="W284" s="4">
        <f>Tabla1[[#This Row],[Valor total OS]]-Tabla1[[#This Row],[valor total op]]</f>
        <v>-15750</v>
      </c>
    </row>
    <row r="285" spans="1:23" x14ac:dyDescent="0.3">
      <c r="A285">
        <v>6484</v>
      </c>
      <c r="B285">
        <v>3</v>
      </c>
      <c r="C285" t="s">
        <v>1043</v>
      </c>
      <c r="D285" t="s">
        <v>1044</v>
      </c>
      <c r="E285" t="s">
        <v>232</v>
      </c>
      <c r="F285" t="s">
        <v>35</v>
      </c>
      <c r="G285" s="2">
        <v>46014</v>
      </c>
      <c r="H285">
        <v>77658387</v>
      </c>
      <c r="I285" t="s">
        <v>1045</v>
      </c>
      <c r="J285" t="s">
        <v>1035</v>
      </c>
      <c r="K285" t="s">
        <v>60</v>
      </c>
      <c r="L285">
        <v>40</v>
      </c>
      <c r="M285">
        <v>40</v>
      </c>
      <c r="N285" t="s">
        <v>1046</v>
      </c>
      <c r="O285" t="s">
        <v>39</v>
      </c>
      <c r="P285" t="s">
        <v>85</v>
      </c>
      <c r="Q285" s="4">
        <v>1571800</v>
      </c>
      <c r="R285" s="4">
        <v>12000</v>
      </c>
      <c r="S285" s="4">
        <v>12000</v>
      </c>
      <c r="T285" s="4">
        <f>Tabla1[[#This Row],[OS-Valor Unitario]]-Tabla1[[#This Row],[costo_antes_iva]]</f>
        <v>0</v>
      </c>
      <c r="U285" s="4">
        <f>Tabla1[[#This Row],[OS-Valor Unitario]]*Tabla1[[#This Row],[OS-Cantidad]]</f>
        <v>480000</v>
      </c>
      <c r="V285" s="4">
        <f>Tabla1[[#This Row],[costo_antes_iva]]*Tabla1[[#This Row],[OS-Cantidad]]</f>
        <v>480000</v>
      </c>
      <c r="W285" s="4">
        <f>Tabla1[[#This Row],[Valor total OS]]-Tabla1[[#This Row],[valor total op]]</f>
        <v>0</v>
      </c>
    </row>
    <row r="286" spans="1:23" x14ac:dyDescent="0.3">
      <c r="A286">
        <v>6484</v>
      </c>
      <c r="B286">
        <v>3</v>
      </c>
      <c r="C286" t="s">
        <v>1043</v>
      </c>
      <c r="D286" t="s">
        <v>1044</v>
      </c>
      <c r="E286" t="s">
        <v>232</v>
      </c>
      <c r="F286" t="s">
        <v>35</v>
      </c>
      <c r="G286" s="2">
        <v>46014</v>
      </c>
      <c r="H286">
        <v>77658387</v>
      </c>
      <c r="I286" t="s">
        <v>1045</v>
      </c>
      <c r="J286" t="s">
        <v>1035</v>
      </c>
      <c r="K286" t="s">
        <v>25</v>
      </c>
      <c r="L286">
        <v>40</v>
      </c>
      <c r="M286">
        <v>51</v>
      </c>
      <c r="N286" t="s">
        <v>1047</v>
      </c>
      <c r="O286" t="s">
        <v>39</v>
      </c>
      <c r="P286" t="s">
        <v>85</v>
      </c>
      <c r="Q286" s="4">
        <v>1571800</v>
      </c>
      <c r="R286" s="4">
        <v>2000</v>
      </c>
      <c r="S286" s="4">
        <v>1650</v>
      </c>
      <c r="T286" s="4">
        <f>Tabla1[[#This Row],[OS-Valor Unitario]]-Tabla1[[#This Row],[costo_antes_iva]]</f>
        <v>-350</v>
      </c>
      <c r="U286" s="4">
        <f>Tabla1[[#This Row],[OS-Valor Unitario]]*Tabla1[[#This Row],[OS-Cantidad]]</f>
        <v>84150</v>
      </c>
      <c r="V286" s="4">
        <f>Tabla1[[#This Row],[costo_antes_iva]]*Tabla1[[#This Row],[OS-Cantidad]]</f>
        <v>102000</v>
      </c>
      <c r="W286" s="4">
        <f>Tabla1[[#This Row],[Valor total OS]]-Tabla1[[#This Row],[valor total op]]</f>
        <v>-17850</v>
      </c>
    </row>
    <row r="287" spans="1:23" x14ac:dyDescent="0.3">
      <c r="A287">
        <v>6484</v>
      </c>
      <c r="B287">
        <v>4</v>
      </c>
      <c r="C287" t="s">
        <v>1048</v>
      </c>
      <c r="D287" t="s">
        <v>1049</v>
      </c>
      <c r="E287" t="s">
        <v>232</v>
      </c>
      <c r="F287" t="s">
        <v>35</v>
      </c>
      <c r="G287" s="2">
        <v>46014</v>
      </c>
      <c r="H287">
        <v>77658397</v>
      </c>
      <c r="I287" t="s">
        <v>1050</v>
      </c>
      <c r="J287" t="s">
        <v>1035</v>
      </c>
      <c r="K287" t="s">
        <v>60</v>
      </c>
      <c r="L287">
        <v>52</v>
      </c>
      <c r="M287">
        <v>63</v>
      </c>
      <c r="N287" t="s">
        <v>1051</v>
      </c>
      <c r="O287" t="s">
        <v>39</v>
      </c>
      <c r="P287" t="s">
        <v>85</v>
      </c>
      <c r="Q287" s="4">
        <v>1965392</v>
      </c>
      <c r="R287" s="4">
        <v>12000</v>
      </c>
      <c r="S287" s="4">
        <v>12000</v>
      </c>
      <c r="T287" s="4">
        <f>Tabla1[[#This Row],[OS-Valor Unitario]]-Tabla1[[#This Row],[costo_antes_iva]]</f>
        <v>0</v>
      </c>
      <c r="U287" s="4">
        <f>Tabla1[[#This Row],[OS-Valor Unitario]]*Tabla1[[#This Row],[OS-Cantidad]]</f>
        <v>756000</v>
      </c>
      <c r="V287" s="4">
        <f>Tabla1[[#This Row],[costo_antes_iva]]*Tabla1[[#This Row],[OS-Cantidad]]</f>
        <v>756000</v>
      </c>
      <c r="W287" s="4">
        <f>Tabla1[[#This Row],[Valor total OS]]-Tabla1[[#This Row],[valor total op]]</f>
        <v>0</v>
      </c>
    </row>
    <row r="288" spans="1:23" x14ac:dyDescent="0.3">
      <c r="A288">
        <v>6484</v>
      </c>
      <c r="B288">
        <v>4</v>
      </c>
      <c r="C288" t="s">
        <v>1048</v>
      </c>
      <c r="D288" t="s">
        <v>1049</v>
      </c>
      <c r="E288" t="s">
        <v>232</v>
      </c>
      <c r="F288" t="s">
        <v>35</v>
      </c>
      <c r="G288" s="2">
        <v>46014</v>
      </c>
      <c r="H288">
        <v>77658397</v>
      </c>
      <c r="I288" t="s">
        <v>1050</v>
      </c>
      <c r="J288" t="s">
        <v>1035</v>
      </c>
      <c r="K288" t="s">
        <v>25</v>
      </c>
      <c r="L288">
        <v>52</v>
      </c>
      <c r="M288">
        <v>52</v>
      </c>
      <c r="N288" t="s">
        <v>1052</v>
      </c>
      <c r="O288" t="s">
        <v>39</v>
      </c>
      <c r="P288" t="s">
        <v>85</v>
      </c>
      <c r="Q288" s="4">
        <v>1965392</v>
      </c>
      <c r="R288" s="4">
        <v>2000</v>
      </c>
      <c r="S288" s="4">
        <v>1650</v>
      </c>
      <c r="T288" s="4">
        <f>Tabla1[[#This Row],[OS-Valor Unitario]]-Tabla1[[#This Row],[costo_antes_iva]]</f>
        <v>-350</v>
      </c>
      <c r="U288" s="4">
        <f>Tabla1[[#This Row],[OS-Valor Unitario]]*Tabla1[[#This Row],[OS-Cantidad]]</f>
        <v>85800</v>
      </c>
      <c r="V288" s="4">
        <f>Tabla1[[#This Row],[costo_antes_iva]]*Tabla1[[#This Row],[OS-Cantidad]]</f>
        <v>104000</v>
      </c>
      <c r="W288" s="4">
        <f>Tabla1[[#This Row],[Valor total OS]]-Tabla1[[#This Row],[valor total op]]</f>
        <v>-18200</v>
      </c>
    </row>
    <row r="289" spans="1:23" x14ac:dyDescent="0.3">
      <c r="A289">
        <v>6484</v>
      </c>
      <c r="B289">
        <v>5</v>
      </c>
      <c r="C289" t="s">
        <v>1053</v>
      </c>
      <c r="D289" t="s">
        <v>1054</v>
      </c>
      <c r="E289" t="s">
        <v>1055</v>
      </c>
      <c r="F289" t="s">
        <v>35</v>
      </c>
      <c r="G289" s="2">
        <v>46014</v>
      </c>
      <c r="H289">
        <v>77658407</v>
      </c>
      <c r="I289" t="s">
        <v>1056</v>
      </c>
      <c r="J289" t="s">
        <v>1035</v>
      </c>
      <c r="K289" t="s">
        <v>60</v>
      </c>
      <c r="L289">
        <v>12</v>
      </c>
      <c r="M289">
        <v>14</v>
      </c>
      <c r="N289" t="s">
        <v>1057</v>
      </c>
      <c r="O289" t="s">
        <v>39</v>
      </c>
      <c r="P289" t="s">
        <v>55</v>
      </c>
      <c r="Q289" s="4">
        <v>478560</v>
      </c>
      <c r="R289" s="4">
        <v>12000</v>
      </c>
      <c r="S289" s="4">
        <v>13500</v>
      </c>
      <c r="T289" s="4">
        <f>Tabla1[[#This Row],[OS-Valor Unitario]]-Tabla1[[#This Row],[costo_antes_iva]]</f>
        <v>1500</v>
      </c>
      <c r="U289" s="4">
        <f>Tabla1[[#This Row],[OS-Valor Unitario]]*Tabla1[[#This Row],[OS-Cantidad]]</f>
        <v>189000</v>
      </c>
      <c r="V289" s="4">
        <f>Tabla1[[#This Row],[costo_antes_iva]]*Tabla1[[#This Row],[OS-Cantidad]]</f>
        <v>168000</v>
      </c>
      <c r="W289" s="4">
        <f>Tabla1[[#This Row],[Valor total OS]]-Tabla1[[#This Row],[valor total op]]</f>
        <v>21000</v>
      </c>
    </row>
    <row r="290" spans="1:23" x14ac:dyDescent="0.3">
      <c r="A290">
        <v>6484</v>
      </c>
      <c r="B290">
        <v>5</v>
      </c>
      <c r="C290" t="s">
        <v>1053</v>
      </c>
      <c r="D290" t="s">
        <v>1054</v>
      </c>
      <c r="E290" t="s">
        <v>1055</v>
      </c>
      <c r="F290" t="s">
        <v>35</v>
      </c>
      <c r="G290" s="2">
        <v>46014</v>
      </c>
      <c r="H290">
        <v>77658407</v>
      </c>
      <c r="I290" t="s">
        <v>1056</v>
      </c>
      <c r="J290" t="s">
        <v>1035</v>
      </c>
      <c r="K290" t="s">
        <v>25</v>
      </c>
      <c r="L290">
        <v>12</v>
      </c>
      <c r="M290">
        <v>14</v>
      </c>
      <c r="N290" t="s">
        <v>1058</v>
      </c>
      <c r="O290" t="s">
        <v>39</v>
      </c>
      <c r="P290" t="s">
        <v>55</v>
      </c>
      <c r="Q290" s="4">
        <v>478560</v>
      </c>
      <c r="R290" s="4">
        <v>2000</v>
      </c>
      <c r="S290" s="4">
        <v>1650</v>
      </c>
      <c r="T290" s="4">
        <f>Tabla1[[#This Row],[OS-Valor Unitario]]-Tabla1[[#This Row],[costo_antes_iva]]</f>
        <v>-350</v>
      </c>
      <c r="U290" s="4">
        <f>Tabla1[[#This Row],[OS-Valor Unitario]]*Tabla1[[#This Row],[OS-Cantidad]]</f>
        <v>23100</v>
      </c>
      <c r="V290" s="4">
        <f>Tabla1[[#This Row],[costo_antes_iva]]*Tabla1[[#This Row],[OS-Cantidad]]</f>
        <v>28000</v>
      </c>
      <c r="W290" s="4">
        <f>Tabla1[[#This Row],[Valor total OS]]-Tabla1[[#This Row],[valor total op]]</f>
        <v>-4900</v>
      </c>
    </row>
    <row r="291" spans="1:23" x14ac:dyDescent="0.3">
      <c r="A291">
        <v>6439</v>
      </c>
      <c r="B291">
        <v>1</v>
      </c>
      <c r="C291" t="s">
        <v>1067</v>
      </c>
      <c r="D291" t="s">
        <v>1068</v>
      </c>
      <c r="E291" t="s">
        <v>1069</v>
      </c>
      <c r="F291" t="s">
        <v>35</v>
      </c>
      <c r="G291" s="2">
        <v>45989</v>
      </c>
      <c r="H291">
        <v>76369058</v>
      </c>
      <c r="I291" t="s">
        <v>1070</v>
      </c>
      <c r="J291" t="s">
        <v>1071</v>
      </c>
      <c r="K291" t="s">
        <v>60</v>
      </c>
      <c r="L291">
        <v>6</v>
      </c>
      <c r="M291">
        <v>6</v>
      </c>
      <c r="N291" t="s">
        <v>1072</v>
      </c>
      <c r="O291" t="s">
        <v>39</v>
      </c>
      <c r="P291" t="s">
        <v>1073</v>
      </c>
      <c r="Q291" s="4">
        <v>182058</v>
      </c>
      <c r="R291" s="4">
        <v>7000</v>
      </c>
      <c r="S291" s="4">
        <v>8500</v>
      </c>
      <c r="T291" s="4">
        <f>Tabla1[[#This Row],[OS-Valor Unitario]]-Tabla1[[#This Row],[costo_antes_iva]]</f>
        <v>1500</v>
      </c>
      <c r="U291" s="4">
        <f>Tabla1[[#This Row],[OS-Valor Unitario]]*Tabla1[[#This Row],[OS-Cantidad]]</f>
        <v>51000</v>
      </c>
      <c r="V291" s="4">
        <f>Tabla1[[#This Row],[costo_antes_iva]]*Tabla1[[#This Row],[OS-Cantidad]]</f>
        <v>42000</v>
      </c>
      <c r="W291" s="4">
        <f>Tabla1[[#This Row],[Valor total OS]]-Tabla1[[#This Row],[valor total op]]</f>
        <v>9000</v>
      </c>
    </row>
    <row r="292" spans="1:23" x14ac:dyDescent="0.3">
      <c r="A292">
        <v>6439</v>
      </c>
      <c r="B292">
        <v>2</v>
      </c>
      <c r="C292" t="s">
        <v>1074</v>
      </c>
      <c r="D292" t="s">
        <v>1075</v>
      </c>
      <c r="E292" t="s">
        <v>1076</v>
      </c>
      <c r="F292" t="s">
        <v>35</v>
      </c>
      <c r="G292" s="2">
        <v>45989</v>
      </c>
      <c r="H292">
        <v>76369089</v>
      </c>
      <c r="I292" t="s">
        <v>1077</v>
      </c>
      <c r="J292" t="s">
        <v>1071</v>
      </c>
      <c r="K292" t="s">
        <v>60</v>
      </c>
      <c r="L292">
        <v>12</v>
      </c>
      <c r="M292">
        <v>12</v>
      </c>
      <c r="N292" t="s">
        <v>1078</v>
      </c>
      <c r="O292" t="s">
        <v>39</v>
      </c>
      <c r="P292" t="s">
        <v>1079</v>
      </c>
      <c r="Q292" s="4">
        <v>530976</v>
      </c>
      <c r="R292" s="4">
        <v>7000</v>
      </c>
      <c r="S292" s="4">
        <v>5500</v>
      </c>
      <c r="T292" s="4">
        <f>Tabla1[[#This Row],[OS-Valor Unitario]]-Tabla1[[#This Row],[costo_antes_iva]]</f>
        <v>-1500</v>
      </c>
      <c r="U292" s="4">
        <f>Tabla1[[#This Row],[OS-Valor Unitario]]*Tabla1[[#This Row],[OS-Cantidad]]</f>
        <v>66000</v>
      </c>
      <c r="V292" s="4">
        <f>Tabla1[[#This Row],[costo_antes_iva]]*Tabla1[[#This Row],[OS-Cantidad]]</f>
        <v>84000</v>
      </c>
      <c r="W292" s="4">
        <f>Tabla1[[#This Row],[Valor total OS]]-Tabla1[[#This Row],[valor total op]]</f>
        <v>-18000</v>
      </c>
    </row>
    <row r="293" spans="1:23" x14ac:dyDescent="0.3">
      <c r="A293">
        <v>6439</v>
      </c>
      <c r="B293">
        <v>3</v>
      </c>
      <c r="C293" t="s">
        <v>1080</v>
      </c>
      <c r="D293" t="s">
        <v>1081</v>
      </c>
      <c r="E293" t="s">
        <v>683</v>
      </c>
      <c r="F293" t="s">
        <v>35</v>
      </c>
      <c r="G293" s="2">
        <v>45989</v>
      </c>
      <c r="H293">
        <v>76369153</v>
      </c>
      <c r="I293" t="s">
        <v>1082</v>
      </c>
      <c r="J293" t="s">
        <v>1071</v>
      </c>
      <c r="K293" t="s">
        <v>60</v>
      </c>
      <c r="L293">
        <v>18</v>
      </c>
      <c r="M293">
        <v>18</v>
      </c>
      <c r="N293" t="s">
        <v>1083</v>
      </c>
      <c r="O293" t="s">
        <v>39</v>
      </c>
      <c r="P293" t="s">
        <v>28</v>
      </c>
      <c r="Q293" s="4">
        <v>573894</v>
      </c>
      <c r="R293" s="4">
        <v>6000</v>
      </c>
      <c r="S293" s="4">
        <v>5000</v>
      </c>
      <c r="T293" s="4">
        <f>Tabla1[[#This Row],[OS-Valor Unitario]]-Tabla1[[#This Row],[costo_antes_iva]]</f>
        <v>-1000</v>
      </c>
      <c r="U293" s="4">
        <f>Tabla1[[#This Row],[OS-Valor Unitario]]*Tabla1[[#This Row],[OS-Cantidad]]</f>
        <v>90000</v>
      </c>
      <c r="V293" s="4">
        <f>Tabla1[[#This Row],[costo_antes_iva]]*Tabla1[[#This Row],[OS-Cantidad]]</f>
        <v>108000</v>
      </c>
      <c r="W293" s="4">
        <f>Tabla1[[#This Row],[Valor total OS]]-Tabla1[[#This Row],[valor total op]]</f>
        <v>-18000</v>
      </c>
    </row>
    <row r="294" spans="1:23" x14ac:dyDescent="0.3">
      <c r="A294">
        <v>6439</v>
      </c>
      <c r="B294">
        <v>4</v>
      </c>
      <c r="C294" t="s">
        <v>1084</v>
      </c>
      <c r="D294" t="s">
        <v>1085</v>
      </c>
      <c r="E294" t="s">
        <v>1086</v>
      </c>
      <c r="F294" t="s">
        <v>35</v>
      </c>
      <c r="G294" s="2">
        <v>45989</v>
      </c>
      <c r="H294">
        <v>76369204</v>
      </c>
      <c r="I294" t="s">
        <v>1087</v>
      </c>
      <c r="J294" t="s">
        <v>1071</v>
      </c>
      <c r="K294" t="s">
        <v>60</v>
      </c>
      <c r="L294">
        <v>2</v>
      </c>
      <c r="M294">
        <v>2</v>
      </c>
      <c r="N294" t="s">
        <v>1088</v>
      </c>
      <c r="O294" t="s">
        <v>39</v>
      </c>
      <c r="P294" t="s">
        <v>169</v>
      </c>
      <c r="Q294" s="4">
        <v>172016</v>
      </c>
      <c r="R294" s="4">
        <v>17000</v>
      </c>
      <c r="S294" s="4">
        <v>17500</v>
      </c>
      <c r="T294" s="4">
        <f>Tabla1[[#This Row],[OS-Valor Unitario]]-Tabla1[[#This Row],[costo_antes_iva]]</f>
        <v>500</v>
      </c>
      <c r="U294" s="4">
        <f>Tabla1[[#This Row],[OS-Valor Unitario]]*Tabla1[[#This Row],[OS-Cantidad]]</f>
        <v>35000</v>
      </c>
      <c r="V294" s="4">
        <f>Tabla1[[#This Row],[costo_antes_iva]]*Tabla1[[#This Row],[OS-Cantidad]]</f>
        <v>34000</v>
      </c>
      <c r="W294" s="4">
        <f>Tabla1[[#This Row],[Valor total OS]]-Tabla1[[#This Row],[valor total op]]</f>
        <v>1000</v>
      </c>
    </row>
    <row r="295" spans="1:23" x14ac:dyDescent="0.3">
      <c r="A295">
        <v>6439</v>
      </c>
      <c r="B295">
        <v>4</v>
      </c>
      <c r="C295" t="s">
        <v>1084</v>
      </c>
      <c r="D295" t="s">
        <v>1085</v>
      </c>
      <c r="E295" t="s">
        <v>1086</v>
      </c>
      <c r="F295" t="s">
        <v>35</v>
      </c>
      <c r="G295" s="2">
        <v>45989</v>
      </c>
      <c r="H295">
        <v>76369204</v>
      </c>
      <c r="I295" t="s">
        <v>1087</v>
      </c>
      <c r="J295" t="s">
        <v>1071</v>
      </c>
      <c r="K295" t="s">
        <v>25</v>
      </c>
      <c r="L295">
        <v>2</v>
      </c>
      <c r="M295">
        <v>2</v>
      </c>
      <c r="N295" t="s">
        <v>1089</v>
      </c>
      <c r="O295" t="s">
        <v>39</v>
      </c>
      <c r="P295" t="s">
        <v>169</v>
      </c>
      <c r="Q295" s="4">
        <v>172016</v>
      </c>
      <c r="R295" s="4">
        <v>1600</v>
      </c>
      <c r="S295" s="4">
        <v>1400</v>
      </c>
      <c r="T295" s="4">
        <f>Tabla1[[#This Row],[OS-Valor Unitario]]-Tabla1[[#This Row],[costo_antes_iva]]</f>
        <v>-200</v>
      </c>
      <c r="U295" s="4">
        <f>Tabla1[[#This Row],[OS-Valor Unitario]]*Tabla1[[#This Row],[OS-Cantidad]]</f>
        <v>2800</v>
      </c>
      <c r="V295" s="4">
        <f>Tabla1[[#This Row],[costo_antes_iva]]*Tabla1[[#This Row],[OS-Cantidad]]</f>
        <v>3200</v>
      </c>
      <c r="W295" s="4">
        <f>Tabla1[[#This Row],[Valor total OS]]-Tabla1[[#This Row],[valor total op]]</f>
        <v>-400</v>
      </c>
    </row>
    <row r="296" spans="1:23" x14ac:dyDescent="0.3">
      <c r="A296">
        <v>6439</v>
      </c>
      <c r="B296">
        <v>5</v>
      </c>
      <c r="C296" t="s">
        <v>1090</v>
      </c>
      <c r="D296" t="s">
        <v>1091</v>
      </c>
      <c r="E296" t="s">
        <v>1092</v>
      </c>
      <c r="F296" t="s">
        <v>35</v>
      </c>
      <c r="G296" s="2">
        <v>45989</v>
      </c>
      <c r="H296">
        <v>76369395</v>
      </c>
      <c r="I296" t="s">
        <v>1093</v>
      </c>
      <c r="J296" t="s">
        <v>1071</v>
      </c>
      <c r="K296" t="s">
        <v>60</v>
      </c>
      <c r="L296">
        <v>70</v>
      </c>
      <c r="M296">
        <v>72</v>
      </c>
      <c r="N296" t="s">
        <v>1094</v>
      </c>
      <c r="O296" t="s">
        <v>39</v>
      </c>
      <c r="P296" t="s">
        <v>127</v>
      </c>
      <c r="Q296" s="4">
        <v>1089550</v>
      </c>
      <c r="R296" s="4">
        <v>3500</v>
      </c>
      <c r="S296" s="4">
        <v>3000</v>
      </c>
      <c r="T296" s="4">
        <f>Tabla1[[#This Row],[OS-Valor Unitario]]-Tabla1[[#This Row],[costo_antes_iva]]</f>
        <v>-500</v>
      </c>
      <c r="U296" s="4">
        <f>Tabla1[[#This Row],[OS-Valor Unitario]]*Tabla1[[#This Row],[OS-Cantidad]]</f>
        <v>216000</v>
      </c>
      <c r="V296" s="4">
        <f>Tabla1[[#This Row],[costo_antes_iva]]*Tabla1[[#This Row],[OS-Cantidad]]</f>
        <v>252000</v>
      </c>
      <c r="W296" s="4">
        <f>Tabla1[[#This Row],[Valor total OS]]-Tabla1[[#This Row],[valor total op]]</f>
        <v>-36000</v>
      </c>
    </row>
    <row r="297" spans="1:23" x14ac:dyDescent="0.3">
      <c r="A297">
        <v>6439</v>
      </c>
      <c r="B297">
        <v>6</v>
      </c>
      <c r="C297" t="s">
        <v>1095</v>
      </c>
      <c r="D297" t="s">
        <v>1096</v>
      </c>
      <c r="E297" t="s">
        <v>197</v>
      </c>
      <c r="F297" t="s">
        <v>35</v>
      </c>
      <c r="G297" s="2">
        <v>45989</v>
      </c>
      <c r="H297">
        <v>76369423</v>
      </c>
      <c r="I297" t="s">
        <v>1097</v>
      </c>
      <c r="J297" t="s">
        <v>1071</v>
      </c>
      <c r="K297" t="s">
        <v>60</v>
      </c>
      <c r="L297">
        <v>21</v>
      </c>
      <c r="M297">
        <v>23</v>
      </c>
      <c r="N297" t="s">
        <v>1098</v>
      </c>
      <c r="O297" t="s">
        <v>39</v>
      </c>
      <c r="P297" t="s">
        <v>197</v>
      </c>
      <c r="Q297" s="4">
        <v>98994</v>
      </c>
      <c r="R297" s="4">
        <v>1500</v>
      </c>
      <c r="S297" s="4">
        <v>1500</v>
      </c>
      <c r="T297" s="4">
        <f>Tabla1[[#This Row],[OS-Valor Unitario]]-Tabla1[[#This Row],[costo_antes_iva]]</f>
        <v>0</v>
      </c>
      <c r="U297" s="4">
        <f>Tabla1[[#This Row],[OS-Valor Unitario]]*Tabla1[[#This Row],[OS-Cantidad]]</f>
        <v>34500</v>
      </c>
      <c r="V297" s="4">
        <f>Tabla1[[#This Row],[costo_antes_iva]]*Tabla1[[#This Row],[OS-Cantidad]]</f>
        <v>34500</v>
      </c>
      <c r="W297" s="4">
        <f>Tabla1[[#This Row],[Valor total OS]]-Tabla1[[#This Row],[valor total op]]</f>
        <v>0</v>
      </c>
    </row>
    <row r="298" spans="1:23" x14ac:dyDescent="0.3">
      <c r="A298">
        <v>6439</v>
      </c>
      <c r="B298">
        <v>7</v>
      </c>
      <c r="C298" t="s">
        <v>1099</v>
      </c>
      <c r="D298" t="s">
        <v>1100</v>
      </c>
      <c r="E298" t="s">
        <v>1101</v>
      </c>
      <c r="F298" t="s">
        <v>35</v>
      </c>
      <c r="G298" s="2">
        <v>45989</v>
      </c>
      <c r="H298">
        <v>76369464</v>
      </c>
      <c r="I298" t="s">
        <v>1102</v>
      </c>
      <c r="J298" t="s">
        <v>1071</v>
      </c>
      <c r="K298" t="s">
        <v>60</v>
      </c>
      <c r="L298">
        <v>70</v>
      </c>
      <c r="M298">
        <v>80</v>
      </c>
      <c r="N298" t="s">
        <v>1103</v>
      </c>
      <c r="O298" t="s">
        <v>39</v>
      </c>
      <c r="P298" t="s">
        <v>1104</v>
      </c>
      <c r="Q298" s="4">
        <v>673330</v>
      </c>
      <c r="R298" s="4">
        <v>2000</v>
      </c>
      <c r="S298" s="4">
        <v>5500</v>
      </c>
      <c r="T298" s="4">
        <f>Tabla1[[#This Row],[OS-Valor Unitario]]-Tabla1[[#This Row],[costo_antes_iva]]</f>
        <v>3500</v>
      </c>
      <c r="U298" s="4">
        <f>Tabla1[[#This Row],[OS-Valor Unitario]]*Tabla1[[#This Row],[OS-Cantidad]]</f>
        <v>440000</v>
      </c>
      <c r="V298" s="4">
        <f>Tabla1[[#This Row],[costo_antes_iva]]*Tabla1[[#This Row],[OS-Cantidad]]</f>
        <v>160000</v>
      </c>
      <c r="W298" s="4">
        <f>Tabla1[[#This Row],[Valor total OS]]-Tabla1[[#This Row],[valor total op]]</f>
        <v>280000</v>
      </c>
    </row>
    <row r="299" spans="1:23" x14ac:dyDescent="0.3">
      <c r="A299">
        <v>6439</v>
      </c>
      <c r="B299">
        <v>8</v>
      </c>
      <c r="C299" t="s">
        <v>1105</v>
      </c>
      <c r="D299" t="s">
        <v>1106</v>
      </c>
      <c r="E299" t="s">
        <v>528</v>
      </c>
      <c r="F299" t="s">
        <v>35</v>
      </c>
      <c r="G299" s="2">
        <v>45989</v>
      </c>
      <c r="H299">
        <v>76369558</v>
      </c>
      <c r="I299" t="s">
        <v>1107</v>
      </c>
      <c r="J299" t="s">
        <v>1071</v>
      </c>
      <c r="K299" t="s">
        <v>25</v>
      </c>
      <c r="L299">
        <v>18</v>
      </c>
      <c r="M299">
        <v>18</v>
      </c>
      <c r="N299" t="s">
        <v>1108</v>
      </c>
      <c r="O299" t="s">
        <v>39</v>
      </c>
      <c r="P299" t="s">
        <v>72</v>
      </c>
      <c r="Q299" s="4">
        <v>561906</v>
      </c>
      <c r="R299" s="4">
        <v>700</v>
      </c>
      <c r="S299" s="4">
        <v>700</v>
      </c>
      <c r="T299" s="4">
        <f>Tabla1[[#This Row],[OS-Valor Unitario]]-Tabla1[[#This Row],[costo_antes_iva]]</f>
        <v>0</v>
      </c>
      <c r="U299" s="4">
        <f>Tabla1[[#This Row],[OS-Valor Unitario]]*Tabla1[[#This Row],[OS-Cantidad]]</f>
        <v>12600</v>
      </c>
      <c r="V299" s="4">
        <f>Tabla1[[#This Row],[costo_antes_iva]]*Tabla1[[#This Row],[OS-Cantidad]]</f>
        <v>12600</v>
      </c>
      <c r="W299" s="4">
        <f>Tabla1[[#This Row],[Valor total OS]]-Tabla1[[#This Row],[valor total op]]</f>
        <v>0</v>
      </c>
    </row>
    <row r="300" spans="1:23" x14ac:dyDescent="0.3">
      <c r="A300">
        <v>6439</v>
      </c>
      <c r="B300">
        <v>8</v>
      </c>
      <c r="C300" t="s">
        <v>1105</v>
      </c>
      <c r="D300" t="s">
        <v>1106</v>
      </c>
      <c r="E300" t="s">
        <v>528</v>
      </c>
      <c r="F300" t="s">
        <v>35</v>
      </c>
      <c r="G300" s="2">
        <v>45989</v>
      </c>
      <c r="H300">
        <v>76369558</v>
      </c>
      <c r="I300" t="s">
        <v>1107</v>
      </c>
      <c r="J300" t="s">
        <v>1071</v>
      </c>
      <c r="K300" t="s">
        <v>60</v>
      </c>
      <c r="L300">
        <v>18</v>
      </c>
      <c r="M300">
        <v>18</v>
      </c>
      <c r="N300" t="s">
        <v>1109</v>
      </c>
      <c r="O300" t="s">
        <v>39</v>
      </c>
      <c r="P300" t="s">
        <v>72</v>
      </c>
      <c r="Q300" s="4">
        <v>561906</v>
      </c>
      <c r="R300" s="4">
        <v>4500</v>
      </c>
      <c r="S300" s="4">
        <v>5000</v>
      </c>
      <c r="T300" s="4">
        <f>Tabla1[[#This Row],[OS-Valor Unitario]]-Tabla1[[#This Row],[costo_antes_iva]]</f>
        <v>500</v>
      </c>
      <c r="U300" s="4">
        <f>Tabla1[[#This Row],[OS-Valor Unitario]]*Tabla1[[#This Row],[OS-Cantidad]]</f>
        <v>90000</v>
      </c>
      <c r="V300" s="4">
        <f>Tabla1[[#This Row],[costo_antes_iva]]*Tabla1[[#This Row],[OS-Cantidad]]</f>
        <v>81000</v>
      </c>
      <c r="W300" s="4">
        <f>Tabla1[[#This Row],[Valor total OS]]-Tabla1[[#This Row],[valor total op]]</f>
        <v>9000</v>
      </c>
    </row>
    <row r="301" spans="1:23" x14ac:dyDescent="0.3">
      <c r="A301">
        <v>6439</v>
      </c>
      <c r="B301">
        <v>9</v>
      </c>
      <c r="C301" t="s">
        <v>1110</v>
      </c>
      <c r="D301" t="s">
        <v>1111</v>
      </c>
      <c r="E301" t="s">
        <v>396</v>
      </c>
      <c r="F301" t="s">
        <v>35</v>
      </c>
      <c r="G301" s="2">
        <v>45989</v>
      </c>
      <c r="H301">
        <v>76369581</v>
      </c>
      <c r="I301" t="s">
        <v>1112</v>
      </c>
      <c r="J301" t="s">
        <v>1071</v>
      </c>
      <c r="K301" t="s">
        <v>60</v>
      </c>
      <c r="L301">
        <v>35</v>
      </c>
      <c r="M301">
        <v>35</v>
      </c>
      <c r="N301" t="s">
        <v>1113</v>
      </c>
      <c r="O301" t="s">
        <v>39</v>
      </c>
      <c r="P301" t="s">
        <v>72</v>
      </c>
      <c r="Q301" s="4">
        <v>1124795</v>
      </c>
      <c r="R301" s="4">
        <v>4500</v>
      </c>
      <c r="S301" s="4">
        <v>5500</v>
      </c>
      <c r="T301" s="4">
        <f>Tabla1[[#This Row],[OS-Valor Unitario]]-Tabla1[[#This Row],[costo_antes_iva]]</f>
        <v>1000</v>
      </c>
      <c r="U301" s="4">
        <f>Tabla1[[#This Row],[OS-Valor Unitario]]*Tabla1[[#This Row],[OS-Cantidad]]</f>
        <v>192500</v>
      </c>
      <c r="V301" s="4">
        <f>Tabla1[[#This Row],[costo_antes_iva]]*Tabla1[[#This Row],[OS-Cantidad]]</f>
        <v>157500</v>
      </c>
      <c r="W301" s="4">
        <f>Tabla1[[#This Row],[Valor total OS]]-Tabla1[[#This Row],[valor total op]]</f>
        <v>35000</v>
      </c>
    </row>
    <row r="302" spans="1:23" x14ac:dyDescent="0.3">
      <c r="A302">
        <v>6439</v>
      </c>
      <c r="B302">
        <v>11</v>
      </c>
      <c r="C302" t="s">
        <v>1114</v>
      </c>
      <c r="D302" t="s">
        <v>1115</v>
      </c>
      <c r="E302" t="s">
        <v>1086</v>
      </c>
      <c r="F302" t="s">
        <v>35</v>
      </c>
      <c r="G302" s="2">
        <v>45989</v>
      </c>
      <c r="H302">
        <v>76369814</v>
      </c>
      <c r="I302" t="s">
        <v>1116</v>
      </c>
      <c r="J302" t="s">
        <v>1071</v>
      </c>
      <c r="K302" t="s">
        <v>25</v>
      </c>
      <c r="L302">
        <v>2</v>
      </c>
      <c r="M302">
        <v>2</v>
      </c>
      <c r="N302" t="s">
        <v>1117</v>
      </c>
      <c r="O302" t="s">
        <v>39</v>
      </c>
      <c r="P302" t="s">
        <v>169</v>
      </c>
      <c r="Q302" s="4">
        <v>172016</v>
      </c>
      <c r="R302" s="4">
        <v>1600</v>
      </c>
      <c r="S302" s="4">
        <v>1400</v>
      </c>
      <c r="T302" s="4">
        <f>Tabla1[[#This Row],[OS-Valor Unitario]]-Tabla1[[#This Row],[costo_antes_iva]]</f>
        <v>-200</v>
      </c>
      <c r="U302" s="4">
        <f>Tabla1[[#This Row],[OS-Valor Unitario]]*Tabla1[[#This Row],[OS-Cantidad]]</f>
        <v>2800</v>
      </c>
      <c r="V302" s="4">
        <f>Tabla1[[#This Row],[costo_antes_iva]]*Tabla1[[#This Row],[OS-Cantidad]]</f>
        <v>3200</v>
      </c>
      <c r="W302" s="4">
        <f>Tabla1[[#This Row],[Valor total OS]]-Tabla1[[#This Row],[valor total op]]</f>
        <v>-400</v>
      </c>
    </row>
    <row r="303" spans="1:23" x14ac:dyDescent="0.3">
      <c r="A303">
        <v>6439</v>
      </c>
      <c r="B303">
        <v>12</v>
      </c>
      <c r="C303" t="s">
        <v>1118</v>
      </c>
      <c r="D303" t="s">
        <v>1119</v>
      </c>
      <c r="E303" t="s">
        <v>1086</v>
      </c>
      <c r="F303" t="s">
        <v>35</v>
      </c>
      <c r="G303" s="2">
        <v>45989</v>
      </c>
      <c r="H303">
        <v>76369864</v>
      </c>
      <c r="I303" t="s">
        <v>1120</v>
      </c>
      <c r="J303" t="s">
        <v>1071</v>
      </c>
      <c r="K303" t="s">
        <v>60</v>
      </c>
      <c r="L303">
        <v>2</v>
      </c>
      <c r="M303">
        <v>2</v>
      </c>
      <c r="N303" t="s">
        <v>1121</v>
      </c>
      <c r="O303" t="s">
        <v>39</v>
      </c>
      <c r="P303" t="s">
        <v>169</v>
      </c>
      <c r="Q303" s="4">
        <v>172016</v>
      </c>
      <c r="R303" s="4">
        <v>17000</v>
      </c>
      <c r="S303" s="4">
        <v>17500</v>
      </c>
      <c r="T303" s="4">
        <f>Tabla1[[#This Row],[OS-Valor Unitario]]-Tabla1[[#This Row],[costo_antes_iva]]</f>
        <v>500</v>
      </c>
      <c r="U303" s="4">
        <f>Tabla1[[#This Row],[OS-Valor Unitario]]*Tabla1[[#This Row],[OS-Cantidad]]</f>
        <v>35000</v>
      </c>
      <c r="V303" s="4">
        <f>Tabla1[[#This Row],[costo_antes_iva]]*Tabla1[[#This Row],[OS-Cantidad]]</f>
        <v>34000</v>
      </c>
      <c r="W303" s="4">
        <f>Tabla1[[#This Row],[Valor total OS]]-Tabla1[[#This Row],[valor total op]]</f>
        <v>1000</v>
      </c>
    </row>
    <row r="304" spans="1:23" x14ac:dyDescent="0.3">
      <c r="A304">
        <v>6439</v>
      </c>
      <c r="B304">
        <v>12</v>
      </c>
      <c r="C304" t="s">
        <v>1118</v>
      </c>
      <c r="D304" t="s">
        <v>1119</v>
      </c>
      <c r="E304" t="s">
        <v>1086</v>
      </c>
      <c r="F304" t="s">
        <v>35</v>
      </c>
      <c r="G304" s="2">
        <v>45989</v>
      </c>
      <c r="H304">
        <v>76369864</v>
      </c>
      <c r="I304" t="s">
        <v>1120</v>
      </c>
      <c r="J304" t="s">
        <v>1071</v>
      </c>
      <c r="K304" t="s">
        <v>25</v>
      </c>
      <c r="L304">
        <v>2</v>
      </c>
      <c r="M304">
        <v>2</v>
      </c>
      <c r="N304" t="s">
        <v>1122</v>
      </c>
      <c r="O304" t="s">
        <v>39</v>
      </c>
      <c r="P304" t="s">
        <v>169</v>
      </c>
      <c r="Q304" s="4">
        <v>172016</v>
      </c>
      <c r="R304" s="4">
        <v>1600</v>
      </c>
      <c r="S304" s="4">
        <v>1400</v>
      </c>
      <c r="T304" s="4">
        <f>Tabla1[[#This Row],[OS-Valor Unitario]]-Tabla1[[#This Row],[costo_antes_iva]]</f>
        <v>-200</v>
      </c>
      <c r="U304" s="4">
        <f>Tabla1[[#This Row],[OS-Valor Unitario]]*Tabla1[[#This Row],[OS-Cantidad]]</f>
        <v>2800</v>
      </c>
      <c r="V304" s="4">
        <f>Tabla1[[#This Row],[costo_antes_iva]]*Tabla1[[#This Row],[OS-Cantidad]]</f>
        <v>3200</v>
      </c>
      <c r="W304" s="4">
        <f>Tabla1[[#This Row],[Valor total OS]]-Tabla1[[#This Row],[valor total op]]</f>
        <v>-400</v>
      </c>
    </row>
    <row r="305" spans="1:23" x14ac:dyDescent="0.3">
      <c r="A305">
        <v>6439</v>
      </c>
      <c r="B305">
        <v>13</v>
      </c>
      <c r="C305" t="s">
        <v>1123</v>
      </c>
      <c r="D305" t="s">
        <v>1124</v>
      </c>
      <c r="E305" t="s">
        <v>197</v>
      </c>
      <c r="F305" t="s">
        <v>35</v>
      </c>
      <c r="G305" s="2">
        <v>45989</v>
      </c>
      <c r="H305">
        <v>76369928</v>
      </c>
      <c r="I305" t="s">
        <v>1125</v>
      </c>
      <c r="J305" t="s">
        <v>1071</v>
      </c>
      <c r="K305" t="s">
        <v>60</v>
      </c>
      <c r="L305">
        <v>25</v>
      </c>
      <c r="M305">
        <v>25</v>
      </c>
      <c r="N305" t="s">
        <v>1126</v>
      </c>
      <c r="O305" t="s">
        <v>39</v>
      </c>
      <c r="P305" t="s">
        <v>197</v>
      </c>
      <c r="Q305" s="4">
        <v>191100</v>
      </c>
      <c r="R305" s="4">
        <v>2500</v>
      </c>
      <c r="S305" s="4">
        <v>3000</v>
      </c>
      <c r="T305" s="4">
        <f>Tabla1[[#This Row],[OS-Valor Unitario]]-Tabla1[[#This Row],[costo_antes_iva]]</f>
        <v>500</v>
      </c>
      <c r="U305" s="4">
        <f>Tabla1[[#This Row],[OS-Valor Unitario]]*Tabla1[[#This Row],[OS-Cantidad]]</f>
        <v>75000</v>
      </c>
      <c r="V305" s="4">
        <f>Tabla1[[#This Row],[costo_antes_iva]]*Tabla1[[#This Row],[OS-Cantidad]]</f>
        <v>62500</v>
      </c>
      <c r="W305" s="4">
        <f>Tabla1[[#This Row],[Valor total OS]]-Tabla1[[#This Row],[valor total op]]</f>
        <v>12500</v>
      </c>
    </row>
    <row r="306" spans="1:23" x14ac:dyDescent="0.3">
      <c r="A306">
        <v>6439</v>
      </c>
      <c r="B306">
        <v>14</v>
      </c>
      <c r="C306" t="s">
        <v>1127</v>
      </c>
      <c r="D306" t="s">
        <v>1128</v>
      </c>
      <c r="E306" t="s">
        <v>197</v>
      </c>
      <c r="F306" t="s">
        <v>35</v>
      </c>
      <c r="G306" s="2">
        <v>45989</v>
      </c>
      <c r="H306">
        <v>76369955</v>
      </c>
      <c r="I306" t="s">
        <v>1129</v>
      </c>
      <c r="J306" t="s">
        <v>1071</v>
      </c>
      <c r="K306" t="s">
        <v>60</v>
      </c>
      <c r="L306">
        <v>25</v>
      </c>
      <c r="M306">
        <v>25</v>
      </c>
      <c r="N306" t="s">
        <v>1130</v>
      </c>
      <c r="O306" t="s">
        <v>39</v>
      </c>
      <c r="P306" t="s">
        <v>197</v>
      </c>
      <c r="Q306" s="4">
        <v>191100</v>
      </c>
      <c r="R306" s="4">
        <v>2500</v>
      </c>
      <c r="S306" s="4">
        <v>3000</v>
      </c>
      <c r="T306" s="4">
        <f>Tabla1[[#This Row],[OS-Valor Unitario]]-Tabla1[[#This Row],[costo_antes_iva]]</f>
        <v>500</v>
      </c>
      <c r="U306" s="4">
        <f>Tabla1[[#This Row],[OS-Valor Unitario]]*Tabla1[[#This Row],[OS-Cantidad]]</f>
        <v>75000</v>
      </c>
      <c r="V306" s="4">
        <f>Tabla1[[#This Row],[costo_antes_iva]]*Tabla1[[#This Row],[OS-Cantidad]]</f>
        <v>62500</v>
      </c>
      <c r="W306" s="4">
        <f>Tabla1[[#This Row],[Valor total OS]]-Tabla1[[#This Row],[valor total op]]</f>
        <v>12500</v>
      </c>
    </row>
    <row r="307" spans="1:23" x14ac:dyDescent="0.3">
      <c r="A307">
        <v>6439</v>
      </c>
      <c r="B307">
        <v>15</v>
      </c>
      <c r="C307" t="s">
        <v>1131</v>
      </c>
      <c r="D307" t="s">
        <v>1132</v>
      </c>
      <c r="E307" t="s">
        <v>197</v>
      </c>
      <c r="F307" t="s">
        <v>35</v>
      </c>
      <c r="G307" s="2">
        <v>45989</v>
      </c>
      <c r="H307">
        <v>76369978</v>
      </c>
      <c r="I307" t="s">
        <v>1133</v>
      </c>
      <c r="J307" t="s">
        <v>1071</v>
      </c>
      <c r="K307" t="s">
        <v>60</v>
      </c>
      <c r="L307">
        <v>25</v>
      </c>
      <c r="M307">
        <v>25</v>
      </c>
      <c r="N307" t="s">
        <v>1134</v>
      </c>
      <c r="O307" t="s">
        <v>39</v>
      </c>
      <c r="P307" t="s">
        <v>197</v>
      </c>
      <c r="Q307" s="4">
        <v>191100</v>
      </c>
      <c r="R307" s="4">
        <v>2500</v>
      </c>
      <c r="S307" s="4">
        <v>3000</v>
      </c>
      <c r="T307" s="4">
        <f>Tabla1[[#This Row],[OS-Valor Unitario]]-Tabla1[[#This Row],[costo_antes_iva]]</f>
        <v>500</v>
      </c>
      <c r="U307" s="4">
        <f>Tabla1[[#This Row],[OS-Valor Unitario]]*Tabla1[[#This Row],[OS-Cantidad]]</f>
        <v>75000</v>
      </c>
      <c r="V307" s="4">
        <f>Tabla1[[#This Row],[costo_antes_iva]]*Tabla1[[#This Row],[OS-Cantidad]]</f>
        <v>62500</v>
      </c>
      <c r="W307" s="4">
        <f>Tabla1[[#This Row],[Valor total OS]]-Tabla1[[#This Row],[valor total op]]</f>
        <v>12500</v>
      </c>
    </row>
    <row r="308" spans="1:23" x14ac:dyDescent="0.3">
      <c r="A308">
        <v>6436</v>
      </c>
      <c r="B308">
        <v>1</v>
      </c>
      <c r="C308" t="s">
        <v>1135</v>
      </c>
      <c r="D308" t="s">
        <v>1136</v>
      </c>
      <c r="E308" t="s">
        <v>881</v>
      </c>
      <c r="F308" t="s">
        <v>35</v>
      </c>
      <c r="G308" s="2">
        <v>45989</v>
      </c>
      <c r="H308">
        <v>76366653</v>
      </c>
      <c r="I308" t="s">
        <v>1137</v>
      </c>
      <c r="J308" t="s">
        <v>1138</v>
      </c>
      <c r="K308" t="s">
        <v>60</v>
      </c>
      <c r="L308">
        <v>15</v>
      </c>
      <c r="M308">
        <v>15</v>
      </c>
      <c r="N308" t="s">
        <v>1139</v>
      </c>
      <c r="O308" t="s">
        <v>39</v>
      </c>
      <c r="P308" t="s">
        <v>169</v>
      </c>
      <c r="Q308" s="4">
        <v>868080</v>
      </c>
      <c r="R308" s="4">
        <v>15000</v>
      </c>
      <c r="S308" s="4">
        <v>15000</v>
      </c>
      <c r="T308" s="4">
        <f>Tabla1[[#This Row],[OS-Valor Unitario]]-Tabla1[[#This Row],[costo_antes_iva]]</f>
        <v>0</v>
      </c>
      <c r="U308" s="4">
        <f>Tabla1[[#This Row],[OS-Valor Unitario]]*Tabla1[[#This Row],[OS-Cantidad]]</f>
        <v>225000</v>
      </c>
      <c r="V308" s="4">
        <f>Tabla1[[#This Row],[costo_antes_iva]]*Tabla1[[#This Row],[OS-Cantidad]]</f>
        <v>225000</v>
      </c>
      <c r="W308" s="4">
        <f>Tabla1[[#This Row],[Valor total OS]]-Tabla1[[#This Row],[valor total op]]</f>
        <v>0</v>
      </c>
    </row>
    <row r="309" spans="1:23" x14ac:dyDescent="0.3">
      <c r="A309">
        <v>6436</v>
      </c>
      <c r="B309">
        <v>1</v>
      </c>
      <c r="C309" t="s">
        <v>1135</v>
      </c>
      <c r="D309" t="s">
        <v>1136</v>
      </c>
      <c r="E309" t="s">
        <v>881</v>
      </c>
      <c r="F309" t="s">
        <v>35</v>
      </c>
      <c r="G309" s="2">
        <v>45989</v>
      </c>
      <c r="H309">
        <v>76366653</v>
      </c>
      <c r="I309" t="s">
        <v>1137</v>
      </c>
      <c r="J309" t="s">
        <v>1138</v>
      </c>
      <c r="K309" t="s">
        <v>25</v>
      </c>
      <c r="L309">
        <v>15</v>
      </c>
      <c r="M309">
        <v>15</v>
      </c>
      <c r="N309" t="s">
        <v>1140</v>
      </c>
      <c r="O309" t="s">
        <v>39</v>
      </c>
      <c r="P309" t="s">
        <v>169</v>
      </c>
      <c r="Q309" s="4">
        <v>868080</v>
      </c>
      <c r="R309" s="4">
        <v>1800</v>
      </c>
      <c r="S309" s="4">
        <v>1650</v>
      </c>
      <c r="T309" s="4">
        <f>Tabla1[[#This Row],[OS-Valor Unitario]]-Tabla1[[#This Row],[costo_antes_iva]]</f>
        <v>-150</v>
      </c>
      <c r="U309" s="4">
        <f>Tabla1[[#This Row],[OS-Valor Unitario]]*Tabla1[[#This Row],[OS-Cantidad]]</f>
        <v>24750</v>
      </c>
      <c r="V309" s="4">
        <f>Tabla1[[#This Row],[costo_antes_iva]]*Tabla1[[#This Row],[OS-Cantidad]]</f>
        <v>27000</v>
      </c>
      <c r="W309" s="4">
        <f>Tabla1[[#This Row],[Valor total OS]]-Tabla1[[#This Row],[valor total op]]</f>
        <v>-2250</v>
      </c>
    </row>
    <row r="310" spans="1:23" x14ac:dyDescent="0.3">
      <c r="A310">
        <v>6436</v>
      </c>
      <c r="B310">
        <v>2</v>
      </c>
      <c r="C310" t="s">
        <v>1141</v>
      </c>
      <c r="D310" t="s">
        <v>1142</v>
      </c>
      <c r="E310" t="s">
        <v>881</v>
      </c>
      <c r="F310" t="s">
        <v>35</v>
      </c>
      <c r="G310" s="2">
        <v>45989</v>
      </c>
      <c r="H310">
        <v>76366666</v>
      </c>
      <c r="I310" t="s">
        <v>1143</v>
      </c>
      <c r="J310" t="s">
        <v>1138</v>
      </c>
      <c r="K310" t="s">
        <v>60</v>
      </c>
      <c r="L310">
        <v>50</v>
      </c>
      <c r="M310">
        <v>50</v>
      </c>
      <c r="N310" t="s">
        <v>1144</v>
      </c>
      <c r="O310" t="s">
        <v>39</v>
      </c>
      <c r="P310" t="s">
        <v>169</v>
      </c>
      <c r="Q310" s="4">
        <v>2893600</v>
      </c>
      <c r="R310" s="4">
        <v>15000</v>
      </c>
      <c r="S310" s="4">
        <v>15000</v>
      </c>
      <c r="T310" s="4">
        <f>Tabla1[[#This Row],[OS-Valor Unitario]]-Tabla1[[#This Row],[costo_antes_iva]]</f>
        <v>0</v>
      </c>
      <c r="U310" s="4">
        <f>Tabla1[[#This Row],[OS-Valor Unitario]]*Tabla1[[#This Row],[OS-Cantidad]]</f>
        <v>750000</v>
      </c>
      <c r="V310" s="4">
        <f>Tabla1[[#This Row],[costo_antes_iva]]*Tabla1[[#This Row],[OS-Cantidad]]</f>
        <v>750000</v>
      </c>
      <c r="W310" s="4">
        <f>Tabla1[[#This Row],[Valor total OS]]-Tabla1[[#This Row],[valor total op]]</f>
        <v>0</v>
      </c>
    </row>
    <row r="311" spans="1:23" x14ac:dyDescent="0.3">
      <c r="A311">
        <v>6436</v>
      </c>
      <c r="B311">
        <v>2</v>
      </c>
      <c r="C311" t="s">
        <v>1141</v>
      </c>
      <c r="D311" t="s">
        <v>1142</v>
      </c>
      <c r="E311" t="s">
        <v>881</v>
      </c>
      <c r="F311" t="s">
        <v>35</v>
      </c>
      <c r="G311" s="2">
        <v>45989</v>
      </c>
      <c r="H311">
        <v>76366666</v>
      </c>
      <c r="I311" t="s">
        <v>1143</v>
      </c>
      <c r="J311" t="s">
        <v>1138</v>
      </c>
      <c r="K311" t="s">
        <v>25</v>
      </c>
      <c r="L311">
        <v>50</v>
      </c>
      <c r="M311">
        <v>50</v>
      </c>
      <c r="N311" t="s">
        <v>1145</v>
      </c>
      <c r="O311" t="s">
        <v>39</v>
      </c>
      <c r="P311" t="s">
        <v>169</v>
      </c>
      <c r="Q311" s="4">
        <v>2893600</v>
      </c>
      <c r="R311" s="4">
        <v>1800</v>
      </c>
      <c r="S311" s="4">
        <v>1650</v>
      </c>
      <c r="T311" s="4">
        <f>Tabla1[[#This Row],[OS-Valor Unitario]]-Tabla1[[#This Row],[costo_antes_iva]]</f>
        <v>-150</v>
      </c>
      <c r="U311" s="4">
        <f>Tabla1[[#This Row],[OS-Valor Unitario]]*Tabla1[[#This Row],[OS-Cantidad]]</f>
        <v>82500</v>
      </c>
      <c r="V311" s="4">
        <f>Tabla1[[#This Row],[costo_antes_iva]]*Tabla1[[#This Row],[OS-Cantidad]]</f>
        <v>90000</v>
      </c>
      <c r="W311" s="4">
        <f>Tabla1[[#This Row],[Valor total OS]]-Tabla1[[#This Row],[valor total op]]</f>
        <v>-7500</v>
      </c>
    </row>
    <row r="312" spans="1:23" x14ac:dyDescent="0.3">
      <c r="A312">
        <v>6436</v>
      </c>
      <c r="B312">
        <v>3</v>
      </c>
      <c r="C312" t="s">
        <v>1146</v>
      </c>
      <c r="D312" t="s">
        <v>1147</v>
      </c>
      <c r="E312" t="s">
        <v>881</v>
      </c>
      <c r="F312" t="s">
        <v>35</v>
      </c>
      <c r="G312" s="2">
        <v>45989</v>
      </c>
      <c r="H312">
        <v>76366677</v>
      </c>
      <c r="I312" t="s">
        <v>1148</v>
      </c>
      <c r="J312" t="s">
        <v>1138</v>
      </c>
      <c r="K312" t="s">
        <v>60</v>
      </c>
      <c r="L312">
        <v>35</v>
      </c>
      <c r="M312">
        <v>35</v>
      </c>
      <c r="N312" t="s">
        <v>1149</v>
      </c>
      <c r="O312" t="s">
        <v>39</v>
      </c>
      <c r="P312" t="s">
        <v>169</v>
      </c>
      <c r="Q312" s="4">
        <v>2025520</v>
      </c>
      <c r="R312" s="4">
        <v>15000</v>
      </c>
      <c r="S312" s="4">
        <v>15000</v>
      </c>
      <c r="T312" s="4">
        <f>Tabla1[[#This Row],[OS-Valor Unitario]]-Tabla1[[#This Row],[costo_antes_iva]]</f>
        <v>0</v>
      </c>
      <c r="U312" s="4">
        <f>Tabla1[[#This Row],[OS-Valor Unitario]]*Tabla1[[#This Row],[OS-Cantidad]]</f>
        <v>525000</v>
      </c>
      <c r="V312" s="4">
        <f>Tabla1[[#This Row],[costo_antes_iva]]*Tabla1[[#This Row],[OS-Cantidad]]</f>
        <v>525000</v>
      </c>
      <c r="W312" s="4">
        <f>Tabla1[[#This Row],[Valor total OS]]-Tabla1[[#This Row],[valor total op]]</f>
        <v>0</v>
      </c>
    </row>
    <row r="313" spans="1:23" x14ac:dyDescent="0.3">
      <c r="A313">
        <v>6436</v>
      </c>
      <c r="B313">
        <v>3</v>
      </c>
      <c r="C313" t="s">
        <v>1146</v>
      </c>
      <c r="D313" t="s">
        <v>1147</v>
      </c>
      <c r="E313" t="s">
        <v>881</v>
      </c>
      <c r="F313" t="s">
        <v>35</v>
      </c>
      <c r="G313" s="2">
        <v>45989</v>
      </c>
      <c r="H313">
        <v>76366677</v>
      </c>
      <c r="I313" t="s">
        <v>1148</v>
      </c>
      <c r="J313" t="s">
        <v>1138</v>
      </c>
      <c r="K313" t="s">
        <v>25</v>
      </c>
      <c r="L313">
        <v>35</v>
      </c>
      <c r="M313">
        <v>35</v>
      </c>
      <c r="N313" t="s">
        <v>1150</v>
      </c>
      <c r="O313" t="s">
        <v>39</v>
      </c>
      <c r="P313" t="s">
        <v>169</v>
      </c>
      <c r="Q313" s="4">
        <v>2025520</v>
      </c>
      <c r="R313" s="4">
        <v>1800</v>
      </c>
      <c r="S313" s="4">
        <v>1650</v>
      </c>
      <c r="T313" s="4">
        <f>Tabla1[[#This Row],[OS-Valor Unitario]]-Tabla1[[#This Row],[costo_antes_iva]]</f>
        <v>-150</v>
      </c>
      <c r="U313" s="4">
        <f>Tabla1[[#This Row],[OS-Valor Unitario]]*Tabla1[[#This Row],[OS-Cantidad]]</f>
        <v>57750</v>
      </c>
      <c r="V313" s="4">
        <f>Tabla1[[#This Row],[costo_antes_iva]]*Tabla1[[#This Row],[OS-Cantidad]]</f>
        <v>63000</v>
      </c>
      <c r="W313" s="4">
        <f>Tabla1[[#This Row],[Valor total OS]]-Tabla1[[#This Row],[valor total op]]</f>
        <v>-5250</v>
      </c>
    </row>
    <row r="314" spans="1:23" x14ac:dyDescent="0.3">
      <c r="A314">
        <v>6435</v>
      </c>
      <c r="B314">
        <v>1</v>
      </c>
      <c r="C314" t="s">
        <v>1151</v>
      </c>
      <c r="D314" t="s">
        <v>1152</v>
      </c>
      <c r="E314" t="s">
        <v>1061</v>
      </c>
      <c r="F314" t="s">
        <v>35</v>
      </c>
      <c r="G314" s="2">
        <v>45989</v>
      </c>
      <c r="H314">
        <v>76364635</v>
      </c>
      <c r="I314" t="s">
        <v>1153</v>
      </c>
      <c r="J314" t="s">
        <v>1154</v>
      </c>
      <c r="K314" t="s">
        <v>60</v>
      </c>
      <c r="L314">
        <v>90</v>
      </c>
      <c r="M314">
        <v>90</v>
      </c>
      <c r="N314" t="s">
        <v>1155</v>
      </c>
      <c r="O314" t="s">
        <v>39</v>
      </c>
      <c r="P314" t="s">
        <v>169</v>
      </c>
      <c r="Q314" s="4">
        <v>5413680</v>
      </c>
      <c r="R314" s="4">
        <v>15000</v>
      </c>
      <c r="S314" s="4">
        <v>15000</v>
      </c>
      <c r="T314" s="4">
        <f>Tabla1[[#This Row],[OS-Valor Unitario]]-Tabla1[[#This Row],[costo_antes_iva]]</f>
        <v>0</v>
      </c>
      <c r="U314" s="4">
        <f>Tabla1[[#This Row],[OS-Valor Unitario]]*Tabla1[[#This Row],[OS-Cantidad]]</f>
        <v>1350000</v>
      </c>
      <c r="V314" s="4">
        <f>Tabla1[[#This Row],[costo_antes_iva]]*Tabla1[[#This Row],[OS-Cantidad]]</f>
        <v>1350000</v>
      </c>
      <c r="W314" s="4">
        <f>Tabla1[[#This Row],[Valor total OS]]-Tabla1[[#This Row],[valor total op]]</f>
        <v>0</v>
      </c>
    </row>
    <row r="315" spans="1:23" x14ac:dyDescent="0.3">
      <c r="A315">
        <v>6435</v>
      </c>
      <c r="B315">
        <v>1</v>
      </c>
      <c r="C315" t="s">
        <v>1151</v>
      </c>
      <c r="D315" t="s">
        <v>1152</v>
      </c>
      <c r="E315" t="s">
        <v>1061</v>
      </c>
      <c r="F315" t="s">
        <v>35</v>
      </c>
      <c r="G315" s="2">
        <v>45989</v>
      </c>
      <c r="H315">
        <v>76364635</v>
      </c>
      <c r="I315" t="s">
        <v>1153</v>
      </c>
      <c r="J315" t="s">
        <v>1154</v>
      </c>
      <c r="K315" t="s">
        <v>25</v>
      </c>
      <c r="L315">
        <v>90</v>
      </c>
      <c r="M315">
        <v>90</v>
      </c>
      <c r="N315" t="s">
        <v>1156</v>
      </c>
      <c r="O315" t="s">
        <v>39</v>
      </c>
      <c r="P315" t="s">
        <v>169</v>
      </c>
      <c r="Q315" s="4">
        <v>5413680</v>
      </c>
      <c r="R315" s="4">
        <v>2000</v>
      </c>
      <c r="S315" s="4">
        <v>1650</v>
      </c>
      <c r="T315" s="4">
        <f>Tabla1[[#This Row],[OS-Valor Unitario]]-Tabla1[[#This Row],[costo_antes_iva]]</f>
        <v>-350</v>
      </c>
      <c r="U315" s="4">
        <f>Tabla1[[#This Row],[OS-Valor Unitario]]*Tabla1[[#This Row],[OS-Cantidad]]</f>
        <v>148500</v>
      </c>
      <c r="V315" s="4">
        <f>Tabla1[[#This Row],[costo_antes_iva]]*Tabla1[[#This Row],[OS-Cantidad]]</f>
        <v>180000</v>
      </c>
      <c r="W315" s="4">
        <f>Tabla1[[#This Row],[Valor total OS]]-Tabla1[[#This Row],[valor total op]]</f>
        <v>-31500</v>
      </c>
    </row>
    <row r="316" spans="1:23" x14ac:dyDescent="0.3">
      <c r="A316">
        <v>6433</v>
      </c>
      <c r="B316">
        <v>1</v>
      </c>
      <c r="C316" t="s">
        <v>1157</v>
      </c>
      <c r="D316" t="s">
        <v>1158</v>
      </c>
      <c r="E316" t="s">
        <v>1159</v>
      </c>
      <c r="F316" t="s">
        <v>35</v>
      </c>
      <c r="G316" s="2">
        <v>45988</v>
      </c>
      <c r="H316">
        <v>76289288</v>
      </c>
      <c r="I316" t="s">
        <v>1160</v>
      </c>
      <c r="J316" t="s">
        <v>1161</v>
      </c>
      <c r="K316" t="s">
        <v>60</v>
      </c>
      <c r="L316">
        <v>6</v>
      </c>
      <c r="M316">
        <v>6</v>
      </c>
      <c r="N316" t="s">
        <v>1162</v>
      </c>
      <c r="O316" t="s">
        <v>27</v>
      </c>
      <c r="P316" t="s">
        <v>1073</v>
      </c>
      <c r="Q316" s="4">
        <v>247326</v>
      </c>
      <c r="R316" s="4">
        <v>8500</v>
      </c>
      <c r="S316" s="4">
        <v>8000</v>
      </c>
      <c r="T316" s="4">
        <f>Tabla1[[#This Row],[OS-Valor Unitario]]-Tabla1[[#This Row],[costo_antes_iva]]</f>
        <v>-500</v>
      </c>
      <c r="U316" s="4">
        <f>Tabla1[[#This Row],[OS-Valor Unitario]]*Tabla1[[#This Row],[OS-Cantidad]]</f>
        <v>48000</v>
      </c>
      <c r="V316" s="4">
        <f>Tabla1[[#This Row],[costo_antes_iva]]*Tabla1[[#This Row],[OS-Cantidad]]</f>
        <v>51000</v>
      </c>
      <c r="W316" s="4">
        <f>Tabla1[[#This Row],[Valor total OS]]-Tabla1[[#This Row],[valor total op]]</f>
        <v>-3000</v>
      </c>
    </row>
    <row r="317" spans="1:23" x14ac:dyDescent="0.3">
      <c r="A317">
        <v>6433</v>
      </c>
      <c r="B317">
        <v>2</v>
      </c>
      <c r="C317" t="s">
        <v>1163</v>
      </c>
      <c r="D317" t="s">
        <v>1164</v>
      </c>
      <c r="E317" t="s">
        <v>1159</v>
      </c>
      <c r="F317" t="s">
        <v>35</v>
      </c>
      <c r="G317" s="2">
        <v>45988</v>
      </c>
      <c r="H317">
        <v>76289326</v>
      </c>
      <c r="I317" t="s">
        <v>1165</v>
      </c>
      <c r="J317" t="s">
        <v>1161</v>
      </c>
      <c r="K317" t="s">
        <v>60</v>
      </c>
      <c r="L317">
        <v>6</v>
      </c>
      <c r="M317">
        <v>6</v>
      </c>
      <c r="N317" t="s">
        <v>1166</v>
      </c>
      <c r="O317" t="s">
        <v>27</v>
      </c>
      <c r="P317" t="s">
        <v>1073</v>
      </c>
      <c r="Q317" s="4">
        <v>247326</v>
      </c>
      <c r="R317" s="4">
        <v>8500</v>
      </c>
      <c r="S317" s="4">
        <v>8000</v>
      </c>
      <c r="T317" s="4">
        <f>Tabla1[[#This Row],[OS-Valor Unitario]]-Tabla1[[#This Row],[costo_antes_iva]]</f>
        <v>-500</v>
      </c>
      <c r="U317" s="4">
        <f>Tabla1[[#This Row],[OS-Valor Unitario]]*Tabla1[[#This Row],[OS-Cantidad]]</f>
        <v>48000</v>
      </c>
      <c r="V317" s="4">
        <f>Tabla1[[#This Row],[costo_antes_iva]]*Tabla1[[#This Row],[OS-Cantidad]]</f>
        <v>51000</v>
      </c>
      <c r="W317" s="4">
        <f>Tabla1[[#This Row],[Valor total OS]]-Tabla1[[#This Row],[valor total op]]</f>
        <v>-3000</v>
      </c>
    </row>
    <row r="318" spans="1:23" x14ac:dyDescent="0.3">
      <c r="A318">
        <v>6433</v>
      </c>
      <c r="B318">
        <v>3</v>
      </c>
      <c r="C318" t="s">
        <v>1167</v>
      </c>
      <c r="D318" t="s">
        <v>1168</v>
      </c>
      <c r="E318" t="s">
        <v>1069</v>
      </c>
      <c r="F318" t="s">
        <v>35</v>
      </c>
      <c r="G318" s="2">
        <v>45988</v>
      </c>
      <c r="H318">
        <v>76289370</v>
      </c>
      <c r="I318" t="s">
        <v>1169</v>
      </c>
      <c r="J318" t="s">
        <v>1161</v>
      </c>
      <c r="K318" t="s">
        <v>60</v>
      </c>
      <c r="L318">
        <v>18</v>
      </c>
      <c r="M318">
        <v>18</v>
      </c>
      <c r="N318" t="s">
        <v>1170</v>
      </c>
      <c r="O318" t="s">
        <v>27</v>
      </c>
      <c r="P318" t="s">
        <v>1073</v>
      </c>
      <c r="Q318" s="4">
        <v>546174</v>
      </c>
      <c r="R318" s="4">
        <v>7000</v>
      </c>
      <c r="S318" s="4">
        <v>8500</v>
      </c>
      <c r="T318" s="4">
        <f>Tabla1[[#This Row],[OS-Valor Unitario]]-Tabla1[[#This Row],[costo_antes_iva]]</f>
        <v>1500</v>
      </c>
      <c r="U318" s="4">
        <f>Tabla1[[#This Row],[OS-Valor Unitario]]*Tabla1[[#This Row],[OS-Cantidad]]</f>
        <v>153000</v>
      </c>
      <c r="V318" s="4">
        <f>Tabla1[[#This Row],[costo_antes_iva]]*Tabla1[[#This Row],[OS-Cantidad]]</f>
        <v>126000</v>
      </c>
      <c r="W318" s="4">
        <f>Tabla1[[#This Row],[Valor total OS]]-Tabla1[[#This Row],[valor total op]]</f>
        <v>27000</v>
      </c>
    </row>
    <row r="319" spans="1:23" x14ac:dyDescent="0.3">
      <c r="A319">
        <v>6433</v>
      </c>
      <c r="B319">
        <v>4</v>
      </c>
      <c r="C319" t="s">
        <v>1171</v>
      </c>
      <c r="D319" t="s">
        <v>1172</v>
      </c>
      <c r="E319" t="s">
        <v>1076</v>
      </c>
      <c r="F319" t="s">
        <v>35</v>
      </c>
      <c r="G319" s="2">
        <v>45988</v>
      </c>
      <c r="H319">
        <v>76289390</v>
      </c>
      <c r="I319" t="s">
        <v>1173</v>
      </c>
      <c r="J319" t="s">
        <v>1161</v>
      </c>
      <c r="K319" t="s">
        <v>60</v>
      </c>
      <c r="L319">
        <v>7</v>
      </c>
      <c r="M319">
        <v>7</v>
      </c>
      <c r="N319" t="s">
        <v>1174</v>
      </c>
      <c r="O319" t="s">
        <v>27</v>
      </c>
      <c r="P319" t="s">
        <v>1079</v>
      </c>
      <c r="Q319" s="4">
        <v>309736</v>
      </c>
      <c r="R319" s="4">
        <v>7000</v>
      </c>
      <c r="S319" s="4">
        <v>5500</v>
      </c>
      <c r="T319" s="4">
        <f>Tabla1[[#This Row],[OS-Valor Unitario]]-Tabla1[[#This Row],[costo_antes_iva]]</f>
        <v>-1500</v>
      </c>
      <c r="U319" s="4">
        <f>Tabla1[[#This Row],[OS-Valor Unitario]]*Tabla1[[#This Row],[OS-Cantidad]]</f>
        <v>38500</v>
      </c>
      <c r="V319" s="4">
        <f>Tabla1[[#This Row],[costo_antes_iva]]*Tabla1[[#This Row],[OS-Cantidad]]</f>
        <v>49000</v>
      </c>
      <c r="W319" s="4">
        <f>Tabla1[[#This Row],[Valor total OS]]-Tabla1[[#This Row],[valor total op]]</f>
        <v>-10500</v>
      </c>
    </row>
    <row r="320" spans="1:23" x14ac:dyDescent="0.3">
      <c r="A320">
        <v>6433</v>
      </c>
      <c r="B320">
        <v>4</v>
      </c>
      <c r="C320" t="s">
        <v>1171</v>
      </c>
      <c r="D320" t="s">
        <v>1172</v>
      </c>
      <c r="E320" t="s">
        <v>1076</v>
      </c>
      <c r="F320" t="s">
        <v>35</v>
      </c>
      <c r="G320" s="2">
        <v>45988</v>
      </c>
      <c r="H320">
        <v>76289390</v>
      </c>
      <c r="I320" t="s">
        <v>1173</v>
      </c>
      <c r="J320" t="s">
        <v>1161</v>
      </c>
      <c r="K320" t="s">
        <v>25</v>
      </c>
      <c r="L320">
        <v>7</v>
      </c>
      <c r="M320">
        <v>7</v>
      </c>
      <c r="N320" t="s">
        <v>1175</v>
      </c>
      <c r="O320" t="s">
        <v>27</v>
      </c>
      <c r="P320" t="s">
        <v>1079</v>
      </c>
      <c r="Q320" s="4">
        <v>309736</v>
      </c>
      <c r="R320" s="4">
        <v>1600</v>
      </c>
      <c r="S320" s="4">
        <v>1400</v>
      </c>
      <c r="T320" s="4">
        <f>Tabla1[[#This Row],[OS-Valor Unitario]]-Tabla1[[#This Row],[costo_antes_iva]]</f>
        <v>-200</v>
      </c>
      <c r="U320" s="4">
        <f>Tabla1[[#This Row],[OS-Valor Unitario]]*Tabla1[[#This Row],[OS-Cantidad]]</f>
        <v>9800</v>
      </c>
      <c r="V320" s="4">
        <f>Tabla1[[#This Row],[costo_antes_iva]]*Tabla1[[#This Row],[OS-Cantidad]]</f>
        <v>11200</v>
      </c>
      <c r="W320" s="4">
        <f>Tabla1[[#This Row],[Valor total OS]]-Tabla1[[#This Row],[valor total op]]</f>
        <v>-1400</v>
      </c>
    </row>
    <row r="321" spans="1:23" x14ac:dyDescent="0.3">
      <c r="A321">
        <v>6433</v>
      </c>
      <c r="B321">
        <v>4</v>
      </c>
      <c r="C321" t="s">
        <v>1171</v>
      </c>
      <c r="D321" t="s">
        <v>1172</v>
      </c>
      <c r="E321" t="s">
        <v>1076</v>
      </c>
      <c r="F321" t="s">
        <v>35</v>
      </c>
      <c r="G321" s="2">
        <v>45988</v>
      </c>
      <c r="H321">
        <v>76289390</v>
      </c>
      <c r="I321" t="s">
        <v>1173</v>
      </c>
      <c r="J321" t="s">
        <v>1161</v>
      </c>
      <c r="K321" t="s">
        <v>25</v>
      </c>
      <c r="L321">
        <v>7</v>
      </c>
      <c r="M321">
        <v>7</v>
      </c>
      <c r="N321" t="s">
        <v>1175</v>
      </c>
      <c r="O321" t="s">
        <v>27</v>
      </c>
      <c r="P321" t="s">
        <v>1079</v>
      </c>
      <c r="Q321" s="4">
        <v>309736</v>
      </c>
      <c r="R321" s="4">
        <v>700</v>
      </c>
      <c r="S321" s="4">
        <v>1400</v>
      </c>
      <c r="T321" s="4">
        <f>Tabla1[[#This Row],[OS-Valor Unitario]]-Tabla1[[#This Row],[costo_antes_iva]]</f>
        <v>700</v>
      </c>
      <c r="U321" s="4">
        <f>Tabla1[[#This Row],[OS-Valor Unitario]]*Tabla1[[#This Row],[OS-Cantidad]]</f>
        <v>9800</v>
      </c>
      <c r="V321" s="4">
        <f>Tabla1[[#This Row],[costo_antes_iva]]*Tabla1[[#This Row],[OS-Cantidad]]</f>
        <v>4900</v>
      </c>
      <c r="W321" s="4">
        <f>Tabla1[[#This Row],[Valor total OS]]-Tabla1[[#This Row],[valor total op]]</f>
        <v>4900</v>
      </c>
    </row>
    <row r="322" spans="1:23" x14ac:dyDescent="0.3">
      <c r="A322">
        <v>6433</v>
      </c>
      <c r="B322">
        <v>5</v>
      </c>
      <c r="C322" t="s">
        <v>1176</v>
      </c>
      <c r="D322" t="s">
        <v>1177</v>
      </c>
      <c r="E322" t="s">
        <v>683</v>
      </c>
      <c r="F322" t="s">
        <v>35</v>
      </c>
      <c r="G322" s="2">
        <v>45988</v>
      </c>
      <c r="H322">
        <v>76289435</v>
      </c>
      <c r="I322" t="s">
        <v>1178</v>
      </c>
      <c r="J322" t="s">
        <v>1161</v>
      </c>
      <c r="K322" t="s">
        <v>60</v>
      </c>
      <c r="L322">
        <v>18</v>
      </c>
      <c r="M322">
        <v>18</v>
      </c>
      <c r="N322" t="s">
        <v>1179</v>
      </c>
      <c r="O322" t="s">
        <v>27</v>
      </c>
      <c r="P322" t="s">
        <v>28</v>
      </c>
      <c r="Q322" s="4">
        <v>573894</v>
      </c>
      <c r="R322" s="4">
        <v>6000</v>
      </c>
      <c r="S322" s="4">
        <v>5000</v>
      </c>
      <c r="T322" s="4">
        <f>Tabla1[[#This Row],[OS-Valor Unitario]]-Tabla1[[#This Row],[costo_antes_iva]]</f>
        <v>-1000</v>
      </c>
      <c r="U322" s="4">
        <f>Tabla1[[#This Row],[OS-Valor Unitario]]*Tabla1[[#This Row],[OS-Cantidad]]</f>
        <v>90000</v>
      </c>
      <c r="V322" s="4">
        <f>Tabla1[[#This Row],[costo_antes_iva]]*Tabla1[[#This Row],[OS-Cantidad]]</f>
        <v>108000</v>
      </c>
      <c r="W322" s="4">
        <f>Tabla1[[#This Row],[Valor total OS]]-Tabla1[[#This Row],[valor total op]]</f>
        <v>-18000</v>
      </c>
    </row>
    <row r="323" spans="1:23" x14ac:dyDescent="0.3">
      <c r="A323">
        <v>6433</v>
      </c>
      <c r="B323">
        <v>6</v>
      </c>
      <c r="C323" t="s">
        <v>1180</v>
      </c>
      <c r="D323" t="s">
        <v>1181</v>
      </c>
      <c r="E323" t="s">
        <v>683</v>
      </c>
      <c r="F323" t="s">
        <v>35</v>
      </c>
      <c r="G323" s="2">
        <v>45988</v>
      </c>
      <c r="H323">
        <v>76289454</v>
      </c>
      <c r="I323" t="s">
        <v>1182</v>
      </c>
      <c r="J323" t="s">
        <v>1161</v>
      </c>
      <c r="K323" t="s">
        <v>60</v>
      </c>
      <c r="L323">
        <v>24</v>
      </c>
      <c r="M323">
        <v>24</v>
      </c>
      <c r="N323" t="s">
        <v>1183</v>
      </c>
      <c r="O323" t="s">
        <v>27</v>
      </c>
      <c r="P323" t="s">
        <v>28</v>
      </c>
      <c r="Q323" s="4">
        <v>765192</v>
      </c>
      <c r="R323" s="4">
        <v>6000</v>
      </c>
      <c r="S323" s="4">
        <v>5000</v>
      </c>
      <c r="T323" s="4">
        <f>Tabla1[[#This Row],[OS-Valor Unitario]]-Tabla1[[#This Row],[costo_antes_iva]]</f>
        <v>-1000</v>
      </c>
      <c r="U323" s="4">
        <f>Tabla1[[#This Row],[OS-Valor Unitario]]*Tabla1[[#This Row],[OS-Cantidad]]</f>
        <v>120000</v>
      </c>
      <c r="V323" s="4">
        <f>Tabla1[[#This Row],[costo_antes_iva]]*Tabla1[[#This Row],[OS-Cantidad]]</f>
        <v>144000</v>
      </c>
      <c r="W323" s="4">
        <f>Tabla1[[#This Row],[Valor total OS]]-Tabla1[[#This Row],[valor total op]]</f>
        <v>-24000</v>
      </c>
    </row>
    <row r="324" spans="1:23" x14ac:dyDescent="0.3">
      <c r="A324">
        <v>6433</v>
      </c>
      <c r="B324">
        <v>7</v>
      </c>
      <c r="C324" t="s">
        <v>1184</v>
      </c>
      <c r="D324" t="s">
        <v>1185</v>
      </c>
      <c r="E324" t="s">
        <v>1092</v>
      </c>
      <c r="F324" t="s">
        <v>35</v>
      </c>
      <c r="G324" s="2">
        <v>45988</v>
      </c>
      <c r="H324">
        <v>76289745</v>
      </c>
      <c r="I324" t="s">
        <v>1186</v>
      </c>
      <c r="J324" t="s">
        <v>1161</v>
      </c>
      <c r="K324" t="s">
        <v>60</v>
      </c>
      <c r="L324">
        <v>7</v>
      </c>
      <c r="M324">
        <v>7</v>
      </c>
      <c r="N324" t="s">
        <v>1187</v>
      </c>
      <c r="O324" t="s">
        <v>27</v>
      </c>
      <c r="P324" t="s">
        <v>127</v>
      </c>
      <c r="Q324" s="4">
        <v>108955</v>
      </c>
      <c r="R324" s="4">
        <v>3500</v>
      </c>
      <c r="S324" s="4">
        <v>2500</v>
      </c>
      <c r="T324" s="4">
        <f>Tabla1[[#This Row],[OS-Valor Unitario]]-Tabla1[[#This Row],[costo_antes_iva]]</f>
        <v>-1000</v>
      </c>
      <c r="U324" s="4">
        <f>Tabla1[[#This Row],[OS-Valor Unitario]]*Tabla1[[#This Row],[OS-Cantidad]]</f>
        <v>17500</v>
      </c>
      <c r="V324" s="4">
        <f>Tabla1[[#This Row],[costo_antes_iva]]*Tabla1[[#This Row],[OS-Cantidad]]</f>
        <v>24500</v>
      </c>
      <c r="W324" s="4">
        <f>Tabla1[[#This Row],[Valor total OS]]-Tabla1[[#This Row],[valor total op]]</f>
        <v>-7000</v>
      </c>
    </row>
    <row r="325" spans="1:23" x14ac:dyDescent="0.3">
      <c r="A325">
        <v>6433</v>
      </c>
      <c r="B325">
        <v>8</v>
      </c>
      <c r="C325" t="s">
        <v>1188</v>
      </c>
      <c r="D325" t="s">
        <v>1189</v>
      </c>
      <c r="E325" t="s">
        <v>197</v>
      </c>
      <c r="F325" t="s">
        <v>35</v>
      </c>
      <c r="G325" s="2">
        <v>45988</v>
      </c>
      <c r="H325">
        <v>76289771</v>
      </c>
      <c r="I325" t="s">
        <v>1190</v>
      </c>
      <c r="J325" t="s">
        <v>1161</v>
      </c>
      <c r="K325" t="s">
        <v>60</v>
      </c>
      <c r="L325">
        <v>7</v>
      </c>
      <c r="M325">
        <v>7</v>
      </c>
      <c r="N325" t="s">
        <v>1191</v>
      </c>
      <c r="O325" t="s">
        <v>27</v>
      </c>
      <c r="P325" t="s">
        <v>197</v>
      </c>
      <c r="Q325" s="4">
        <v>32998</v>
      </c>
      <c r="R325" s="4">
        <v>1500</v>
      </c>
      <c r="S325" s="4">
        <v>1500</v>
      </c>
      <c r="T325" s="4">
        <f>Tabla1[[#This Row],[OS-Valor Unitario]]-Tabla1[[#This Row],[costo_antes_iva]]</f>
        <v>0</v>
      </c>
      <c r="U325" s="4">
        <f>Tabla1[[#This Row],[OS-Valor Unitario]]*Tabla1[[#This Row],[OS-Cantidad]]</f>
        <v>10500</v>
      </c>
      <c r="V325" s="4">
        <f>Tabla1[[#This Row],[costo_antes_iva]]*Tabla1[[#This Row],[OS-Cantidad]]</f>
        <v>10500</v>
      </c>
      <c r="W325" s="4">
        <f>Tabla1[[#This Row],[Valor total OS]]-Tabla1[[#This Row],[valor total op]]</f>
        <v>0</v>
      </c>
    </row>
    <row r="326" spans="1:23" x14ac:dyDescent="0.3">
      <c r="A326">
        <v>6433</v>
      </c>
      <c r="B326">
        <v>9</v>
      </c>
      <c r="C326" t="s">
        <v>1192</v>
      </c>
      <c r="D326" t="s">
        <v>1193</v>
      </c>
      <c r="E326" t="s">
        <v>1101</v>
      </c>
      <c r="F326" t="s">
        <v>35</v>
      </c>
      <c r="G326" s="2">
        <v>45988</v>
      </c>
      <c r="H326">
        <v>76289809</v>
      </c>
      <c r="I326" t="s">
        <v>1194</v>
      </c>
      <c r="J326" t="s">
        <v>1161</v>
      </c>
      <c r="K326" t="s">
        <v>60</v>
      </c>
      <c r="L326">
        <v>9</v>
      </c>
      <c r="M326">
        <v>9</v>
      </c>
      <c r="N326" t="s">
        <v>1195</v>
      </c>
      <c r="O326" t="s">
        <v>27</v>
      </c>
      <c r="P326" t="s">
        <v>1104</v>
      </c>
      <c r="Q326" s="4">
        <v>86571</v>
      </c>
      <c r="R326" s="4">
        <v>2000</v>
      </c>
      <c r="S326" s="4">
        <v>5500</v>
      </c>
      <c r="T326" s="4">
        <f>Tabla1[[#This Row],[OS-Valor Unitario]]-Tabla1[[#This Row],[costo_antes_iva]]</f>
        <v>3500</v>
      </c>
      <c r="U326" s="4">
        <f>Tabla1[[#This Row],[OS-Valor Unitario]]*Tabla1[[#This Row],[OS-Cantidad]]</f>
        <v>49500</v>
      </c>
      <c r="V326" s="4">
        <f>Tabla1[[#This Row],[costo_antes_iva]]*Tabla1[[#This Row],[OS-Cantidad]]</f>
        <v>18000</v>
      </c>
      <c r="W326" s="4">
        <f>Tabla1[[#This Row],[Valor total OS]]-Tabla1[[#This Row],[valor total op]]</f>
        <v>31500</v>
      </c>
    </row>
    <row r="327" spans="1:23" x14ac:dyDescent="0.3">
      <c r="A327">
        <v>6433</v>
      </c>
      <c r="B327">
        <v>10</v>
      </c>
      <c r="C327" t="s">
        <v>1196</v>
      </c>
      <c r="D327" t="s">
        <v>1197</v>
      </c>
      <c r="E327" t="s">
        <v>396</v>
      </c>
      <c r="F327" t="s">
        <v>35</v>
      </c>
      <c r="G327" s="2">
        <v>45988</v>
      </c>
      <c r="H327">
        <v>76289933</v>
      </c>
      <c r="I327" t="s">
        <v>1198</v>
      </c>
      <c r="J327" t="s">
        <v>1161</v>
      </c>
      <c r="K327" t="s">
        <v>60</v>
      </c>
      <c r="L327">
        <v>51</v>
      </c>
      <c r="M327">
        <v>51</v>
      </c>
      <c r="N327" t="s">
        <v>1199</v>
      </c>
      <c r="O327" t="s">
        <v>27</v>
      </c>
      <c r="P327" t="s">
        <v>72</v>
      </c>
      <c r="Q327" s="4">
        <v>1638987</v>
      </c>
      <c r="R327" s="4">
        <v>4500</v>
      </c>
      <c r="S327" s="4">
        <v>5500</v>
      </c>
      <c r="T327" s="4">
        <f>Tabla1[[#This Row],[OS-Valor Unitario]]-Tabla1[[#This Row],[costo_antes_iva]]</f>
        <v>1000</v>
      </c>
      <c r="U327" s="4">
        <f>Tabla1[[#This Row],[OS-Valor Unitario]]*Tabla1[[#This Row],[OS-Cantidad]]</f>
        <v>280500</v>
      </c>
      <c r="V327" s="4">
        <f>Tabla1[[#This Row],[costo_antes_iva]]*Tabla1[[#This Row],[OS-Cantidad]]</f>
        <v>229500</v>
      </c>
      <c r="W327" s="4">
        <f>Tabla1[[#This Row],[Valor total OS]]-Tabla1[[#This Row],[valor total op]]</f>
        <v>51000</v>
      </c>
    </row>
    <row r="328" spans="1:23" x14ac:dyDescent="0.3">
      <c r="A328">
        <v>6433</v>
      </c>
      <c r="B328">
        <v>10</v>
      </c>
      <c r="C328" t="s">
        <v>1196</v>
      </c>
      <c r="D328" t="s">
        <v>1197</v>
      </c>
      <c r="E328" t="s">
        <v>396</v>
      </c>
      <c r="F328" t="s">
        <v>35</v>
      </c>
      <c r="G328" s="2">
        <v>45988</v>
      </c>
      <c r="H328">
        <v>76289933</v>
      </c>
      <c r="I328" t="s">
        <v>1198</v>
      </c>
      <c r="J328" t="s">
        <v>1161</v>
      </c>
      <c r="K328" t="s">
        <v>25</v>
      </c>
      <c r="L328">
        <v>51</v>
      </c>
      <c r="M328">
        <v>51</v>
      </c>
      <c r="N328" t="s">
        <v>1200</v>
      </c>
      <c r="O328" t="s">
        <v>27</v>
      </c>
      <c r="P328" t="s">
        <v>72</v>
      </c>
      <c r="Q328" s="4">
        <v>1638987</v>
      </c>
      <c r="R328" s="4">
        <v>700</v>
      </c>
      <c r="S328" s="4">
        <v>700</v>
      </c>
      <c r="T328" s="4">
        <f>Tabla1[[#This Row],[OS-Valor Unitario]]-Tabla1[[#This Row],[costo_antes_iva]]</f>
        <v>0</v>
      </c>
      <c r="U328" s="4">
        <f>Tabla1[[#This Row],[OS-Valor Unitario]]*Tabla1[[#This Row],[OS-Cantidad]]</f>
        <v>35700</v>
      </c>
      <c r="V328" s="4">
        <f>Tabla1[[#This Row],[costo_antes_iva]]*Tabla1[[#This Row],[OS-Cantidad]]</f>
        <v>35700</v>
      </c>
      <c r="W328" s="4">
        <f>Tabla1[[#This Row],[Valor total OS]]-Tabla1[[#This Row],[valor total op]]</f>
        <v>0</v>
      </c>
    </row>
    <row r="329" spans="1:23" x14ac:dyDescent="0.3">
      <c r="A329">
        <v>6433</v>
      </c>
      <c r="B329">
        <v>12</v>
      </c>
      <c r="C329" t="s">
        <v>1201</v>
      </c>
      <c r="D329" t="s">
        <v>1202</v>
      </c>
      <c r="E329" t="s">
        <v>197</v>
      </c>
      <c r="F329" t="s">
        <v>35</v>
      </c>
      <c r="G329" s="2">
        <v>45988</v>
      </c>
      <c r="H329">
        <v>76290295</v>
      </c>
      <c r="I329" t="s">
        <v>1203</v>
      </c>
      <c r="J329" t="s">
        <v>1161</v>
      </c>
      <c r="K329" t="s">
        <v>60</v>
      </c>
      <c r="L329">
        <v>14</v>
      </c>
      <c r="M329">
        <v>15</v>
      </c>
      <c r="N329" t="s">
        <v>1204</v>
      </c>
      <c r="O329" t="s">
        <v>27</v>
      </c>
      <c r="P329" t="s">
        <v>197</v>
      </c>
      <c r="Q329" s="4">
        <v>107016</v>
      </c>
      <c r="R329" s="4">
        <v>2500</v>
      </c>
      <c r="S329" s="4">
        <v>3000</v>
      </c>
      <c r="T329" s="4">
        <f>Tabla1[[#This Row],[OS-Valor Unitario]]-Tabla1[[#This Row],[costo_antes_iva]]</f>
        <v>500</v>
      </c>
      <c r="U329" s="4">
        <f>Tabla1[[#This Row],[OS-Valor Unitario]]*Tabla1[[#This Row],[OS-Cantidad]]</f>
        <v>45000</v>
      </c>
      <c r="V329" s="4">
        <f>Tabla1[[#This Row],[costo_antes_iva]]*Tabla1[[#This Row],[OS-Cantidad]]</f>
        <v>37500</v>
      </c>
      <c r="W329" s="4">
        <f>Tabla1[[#This Row],[Valor total OS]]-Tabla1[[#This Row],[valor total op]]</f>
        <v>7500</v>
      </c>
    </row>
    <row r="330" spans="1:23" x14ac:dyDescent="0.3">
      <c r="A330">
        <v>6433</v>
      </c>
      <c r="B330">
        <v>13</v>
      </c>
      <c r="C330" t="s">
        <v>1205</v>
      </c>
      <c r="D330" t="s">
        <v>1206</v>
      </c>
      <c r="E330" t="s">
        <v>197</v>
      </c>
      <c r="F330" t="s">
        <v>35</v>
      </c>
      <c r="G330" s="2">
        <v>45988</v>
      </c>
      <c r="H330">
        <v>76290326</v>
      </c>
      <c r="I330" t="s">
        <v>1207</v>
      </c>
      <c r="J330" t="s">
        <v>1161</v>
      </c>
      <c r="K330" t="s">
        <v>60</v>
      </c>
      <c r="L330">
        <v>14</v>
      </c>
      <c r="M330">
        <v>15</v>
      </c>
      <c r="N330" t="s">
        <v>1208</v>
      </c>
      <c r="O330" t="s">
        <v>27</v>
      </c>
      <c r="P330" t="s">
        <v>197</v>
      </c>
      <c r="Q330" s="4">
        <v>107016</v>
      </c>
      <c r="R330" s="4">
        <v>2500</v>
      </c>
      <c r="S330" s="4">
        <v>3000</v>
      </c>
      <c r="T330" s="4">
        <f>Tabla1[[#This Row],[OS-Valor Unitario]]-Tabla1[[#This Row],[costo_antes_iva]]</f>
        <v>500</v>
      </c>
      <c r="U330" s="4">
        <f>Tabla1[[#This Row],[OS-Valor Unitario]]*Tabla1[[#This Row],[OS-Cantidad]]</f>
        <v>45000</v>
      </c>
      <c r="V330" s="4">
        <f>Tabla1[[#This Row],[costo_antes_iva]]*Tabla1[[#This Row],[OS-Cantidad]]</f>
        <v>37500</v>
      </c>
      <c r="W330" s="4">
        <f>Tabla1[[#This Row],[Valor total OS]]-Tabla1[[#This Row],[valor total op]]</f>
        <v>7500</v>
      </c>
    </row>
    <row r="331" spans="1:23" x14ac:dyDescent="0.3">
      <c r="A331">
        <v>6433</v>
      </c>
      <c r="B331">
        <v>14</v>
      </c>
      <c r="C331" t="s">
        <v>1209</v>
      </c>
      <c r="D331" t="s">
        <v>1210</v>
      </c>
      <c r="E331" t="s">
        <v>197</v>
      </c>
      <c r="F331" t="s">
        <v>35</v>
      </c>
      <c r="G331" s="2">
        <v>45988</v>
      </c>
      <c r="H331">
        <v>76290364</v>
      </c>
      <c r="I331" t="s">
        <v>1211</v>
      </c>
      <c r="J331" t="s">
        <v>1161</v>
      </c>
      <c r="K331" t="s">
        <v>60</v>
      </c>
      <c r="L331">
        <v>14</v>
      </c>
      <c r="M331">
        <v>15</v>
      </c>
      <c r="N331" t="s">
        <v>1212</v>
      </c>
      <c r="O331" t="s">
        <v>27</v>
      </c>
      <c r="P331" t="s">
        <v>197</v>
      </c>
      <c r="Q331" s="4">
        <v>107016</v>
      </c>
      <c r="R331" s="4">
        <v>2500</v>
      </c>
      <c r="S331" s="4">
        <v>3000</v>
      </c>
      <c r="T331" s="4">
        <f>Tabla1[[#This Row],[OS-Valor Unitario]]-Tabla1[[#This Row],[costo_antes_iva]]</f>
        <v>500</v>
      </c>
      <c r="U331" s="4">
        <f>Tabla1[[#This Row],[OS-Valor Unitario]]*Tabla1[[#This Row],[OS-Cantidad]]</f>
        <v>45000</v>
      </c>
      <c r="V331" s="4">
        <f>Tabla1[[#This Row],[costo_antes_iva]]*Tabla1[[#This Row],[OS-Cantidad]]</f>
        <v>37500</v>
      </c>
      <c r="W331" s="4">
        <f>Tabla1[[#This Row],[Valor total OS]]-Tabla1[[#This Row],[valor total op]]</f>
        <v>7500</v>
      </c>
    </row>
    <row r="332" spans="1:23" x14ac:dyDescent="0.3">
      <c r="A332">
        <v>6430</v>
      </c>
      <c r="B332">
        <v>1</v>
      </c>
      <c r="C332" t="s">
        <v>1213</v>
      </c>
      <c r="D332" t="s">
        <v>1214</v>
      </c>
      <c r="E332" t="s">
        <v>135</v>
      </c>
      <c r="F332" t="s">
        <v>122</v>
      </c>
      <c r="G332" s="2">
        <v>45987</v>
      </c>
      <c r="H332">
        <v>76177272</v>
      </c>
      <c r="I332" t="s">
        <v>747</v>
      </c>
      <c r="J332" t="s">
        <v>748</v>
      </c>
      <c r="K332" t="s">
        <v>138</v>
      </c>
      <c r="L332">
        <v>1310</v>
      </c>
      <c r="M332">
        <v>1310</v>
      </c>
      <c r="N332" t="s">
        <v>1215</v>
      </c>
      <c r="O332" t="s">
        <v>126</v>
      </c>
      <c r="P332" t="s">
        <v>135</v>
      </c>
      <c r="Q332" s="4">
        <v>71505040</v>
      </c>
      <c r="R332" s="4">
        <v>12500</v>
      </c>
      <c r="S332" s="4">
        <v>10400</v>
      </c>
      <c r="T332" s="4">
        <f>Tabla1[[#This Row],[OS-Valor Unitario]]-Tabla1[[#This Row],[costo_antes_iva]]</f>
        <v>-2100</v>
      </c>
      <c r="U332" s="4">
        <f>Tabla1[[#This Row],[OS-Valor Unitario]]*Tabla1[[#This Row],[OS-Cantidad]]</f>
        <v>13624000</v>
      </c>
      <c r="V332" s="4">
        <f>Tabla1[[#This Row],[costo_antes_iva]]*Tabla1[[#This Row],[OS-Cantidad]]</f>
        <v>16375000</v>
      </c>
      <c r="W332" s="4">
        <f>Tabla1[[#This Row],[Valor total OS]]-Tabla1[[#This Row],[valor total op]]</f>
        <v>-2751000</v>
      </c>
    </row>
    <row r="333" spans="1:23" x14ac:dyDescent="0.3">
      <c r="A333">
        <v>6430</v>
      </c>
      <c r="B333">
        <v>1</v>
      </c>
      <c r="C333" t="s">
        <v>1213</v>
      </c>
      <c r="D333" t="s">
        <v>1214</v>
      </c>
      <c r="E333" t="s">
        <v>135</v>
      </c>
      <c r="F333" t="s">
        <v>122</v>
      </c>
      <c r="G333" s="2">
        <v>45987</v>
      </c>
      <c r="H333">
        <v>76177272</v>
      </c>
      <c r="I333" t="s">
        <v>747</v>
      </c>
      <c r="J333" t="s">
        <v>748</v>
      </c>
      <c r="K333" t="s">
        <v>60</v>
      </c>
      <c r="L333">
        <v>1310</v>
      </c>
      <c r="M333">
        <v>1310</v>
      </c>
      <c r="N333" t="s">
        <v>1216</v>
      </c>
      <c r="O333" t="s">
        <v>126</v>
      </c>
      <c r="P333" t="s">
        <v>135</v>
      </c>
      <c r="Q333" s="4">
        <v>71505040</v>
      </c>
      <c r="R333" s="4">
        <v>4500</v>
      </c>
      <c r="S333" s="4">
        <v>5000</v>
      </c>
      <c r="T333" s="4">
        <f>Tabla1[[#This Row],[OS-Valor Unitario]]-Tabla1[[#This Row],[costo_antes_iva]]</f>
        <v>500</v>
      </c>
      <c r="U333" s="4">
        <f>Tabla1[[#This Row],[OS-Valor Unitario]]*Tabla1[[#This Row],[OS-Cantidad]]</f>
        <v>6550000</v>
      </c>
      <c r="V333" s="4">
        <f>Tabla1[[#This Row],[costo_antes_iva]]*Tabla1[[#This Row],[OS-Cantidad]]</f>
        <v>5895000</v>
      </c>
      <c r="W333" s="4">
        <f>Tabla1[[#This Row],[Valor total OS]]-Tabla1[[#This Row],[valor total op]]</f>
        <v>655000</v>
      </c>
    </row>
    <row r="334" spans="1:23" x14ac:dyDescent="0.3">
      <c r="A334">
        <v>6452</v>
      </c>
      <c r="B334">
        <v>1</v>
      </c>
      <c r="C334" t="s">
        <v>1059</v>
      </c>
      <c r="D334" t="s">
        <v>1060</v>
      </c>
      <c r="E334" t="s">
        <v>1061</v>
      </c>
      <c r="F334" t="s">
        <v>1062</v>
      </c>
      <c r="G334" s="2">
        <v>45986</v>
      </c>
      <c r="H334">
        <v>75989815</v>
      </c>
      <c r="I334" t="s">
        <v>1063</v>
      </c>
      <c r="J334" t="s">
        <v>1064</v>
      </c>
      <c r="K334" t="s">
        <v>60</v>
      </c>
      <c r="L334">
        <v>11</v>
      </c>
      <c r="M334">
        <v>11</v>
      </c>
      <c r="N334" t="s">
        <v>1065</v>
      </c>
      <c r="O334" t="s">
        <v>886</v>
      </c>
      <c r="P334" t="s">
        <v>169</v>
      </c>
      <c r="Q334" s="4">
        <v>1112672</v>
      </c>
      <c r="R334" s="4">
        <v>20000</v>
      </c>
      <c r="S334" s="4">
        <v>20000</v>
      </c>
      <c r="T334" s="4">
        <f>Tabla1[[#This Row],[OS-Valor Unitario]]-Tabla1[[#This Row],[costo_antes_iva]]</f>
        <v>0</v>
      </c>
      <c r="U334" s="4">
        <f>Tabla1[[#This Row],[OS-Valor Unitario]]*Tabla1[[#This Row],[OS-Cantidad]]</f>
        <v>220000</v>
      </c>
      <c r="V334" s="4">
        <f>Tabla1[[#This Row],[costo_antes_iva]]*Tabla1[[#This Row],[OS-Cantidad]]</f>
        <v>220000</v>
      </c>
      <c r="W334" s="4">
        <f>Tabla1[[#This Row],[Valor total OS]]-Tabla1[[#This Row],[valor total op]]</f>
        <v>0</v>
      </c>
    </row>
    <row r="335" spans="1:23" x14ac:dyDescent="0.3">
      <c r="A335">
        <v>6452</v>
      </c>
      <c r="B335">
        <v>1</v>
      </c>
      <c r="C335" t="s">
        <v>1059</v>
      </c>
      <c r="D335" t="s">
        <v>1060</v>
      </c>
      <c r="E335" t="s">
        <v>1061</v>
      </c>
      <c r="F335" t="s">
        <v>1062</v>
      </c>
      <c r="G335" s="2">
        <v>45986</v>
      </c>
      <c r="H335">
        <v>75989815</v>
      </c>
      <c r="I335" t="s">
        <v>1063</v>
      </c>
      <c r="J335" t="s">
        <v>1064</v>
      </c>
      <c r="K335" t="s">
        <v>170</v>
      </c>
      <c r="L335">
        <v>11</v>
      </c>
      <c r="M335">
        <v>11</v>
      </c>
      <c r="N335" t="s">
        <v>1066</v>
      </c>
      <c r="O335" t="s">
        <v>886</v>
      </c>
      <c r="P335" t="s">
        <v>169</v>
      </c>
      <c r="Q335" s="4">
        <v>1112672</v>
      </c>
      <c r="R335" s="4">
        <v>7500</v>
      </c>
      <c r="S335" s="4">
        <v>2500</v>
      </c>
      <c r="T335" s="4">
        <f>Tabla1[[#This Row],[OS-Valor Unitario]]-Tabla1[[#This Row],[costo_antes_iva]]</f>
        <v>-5000</v>
      </c>
      <c r="U335" s="4">
        <f>Tabla1[[#This Row],[OS-Valor Unitario]]*Tabla1[[#This Row],[OS-Cantidad]]</f>
        <v>27500</v>
      </c>
      <c r="V335" s="4">
        <f>Tabla1[[#This Row],[costo_antes_iva]]*Tabla1[[#This Row],[OS-Cantidad]]</f>
        <v>82500</v>
      </c>
      <c r="W335" s="4">
        <f>Tabla1[[#This Row],[Valor total OS]]-Tabla1[[#This Row],[valor total op]]</f>
        <v>-55000</v>
      </c>
    </row>
    <row r="336" spans="1:23" x14ac:dyDescent="0.3">
      <c r="A336">
        <v>6428</v>
      </c>
      <c r="B336">
        <v>1</v>
      </c>
      <c r="C336" t="s">
        <v>1217</v>
      </c>
      <c r="D336" t="s">
        <v>1218</v>
      </c>
      <c r="E336" t="s">
        <v>782</v>
      </c>
      <c r="F336" t="s">
        <v>656</v>
      </c>
      <c r="G336" s="2">
        <v>45986</v>
      </c>
      <c r="H336">
        <v>75938400</v>
      </c>
      <c r="I336" t="s">
        <v>1219</v>
      </c>
      <c r="J336" t="s">
        <v>1220</v>
      </c>
      <c r="K336" t="s">
        <v>25</v>
      </c>
      <c r="L336">
        <v>60</v>
      </c>
      <c r="M336">
        <v>60</v>
      </c>
      <c r="N336" t="s">
        <v>1221</v>
      </c>
      <c r="O336" t="s">
        <v>660</v>
      </c>
      <c r="P336" t="s">
        <v>786</v>
      </c>
      <c r="Q336" s="4">
        <v>4008060</v>
      </c>
      <c r="R336" s="4">
        <v>1500</v>
      </c>
      <c r="S336" s="4">
        <v>2900</v>
      </c>
      <c r="T336" s="4">
        <f>Tabla1[[#This Row],[OS-Valor Unitario]]-Tabla1[[#This Row],[costo_antes_iva]]</f>
        <v>1400</v>
      </c>
      <c r="U336" s="4">
        <f>Tabla1[[#This Row],[OS-Valor Unitario]]*Tabla1[[#This Row],[OS-Cantidad]]</f>
        <v>174000</v>
      </c>
      <c r="V336" s="4">
        <f>Tabla1[[#This Row],[costo_antes_iva]]*Tabla1[[#This Row],[OS-Cantidad]]</f>
        <v>90000</v>
      </c>
      <c r="W336" s="4">
        <f>Tabla1[[#This Row],[Valor total OS]]-Tabla1[[#This Row],[valor total op]]</f>
        <v>84000</v>
      </c>
    </row>
    <row r="337" spans="1:23" x14ac:dyDescent="0.3">
      <c r="A337">
        <v>6503</v>
      </c>
      <c r="B337">
        <v>1</v>
      </c>
      <c r="C337" t="s">
        <v>728</v>
      </c>
      <c r="D337" t="s">
        <v>729</v>
      </c>
      <c r="E337" t="s">
        <v>96</v>
      </c>
      <c r="F337" t="s">
        <v>730</v>
      </c>
      <c r="G337" s="2">
        <v>45985</v>
      </c>
      <c r="H337">
        <v>75856752</v>
      </c>
      <c r="I337" t="s">
        <v>731</v>
      </c>
      <c r="J337" t="s">
        <v>732</v>
      </c>
      <c r="K337" t="s">
        <v>60</v>
      </c>
      <c r="L337">
        <v>30</v>
      </c>
      <c r="M337">
        <v>30</v>
      </c>
      <c r="N337" t="s">
        <v>733</v>
      </c>
      <c r="O337" t="s">
        <v>126</v>
      </c>
      <c r="P337" t="s">
        <v>28</v>
      </c>
      <c r="Q337" s="4">
        <v>1305390</v>
      </c>
      <c r="R337" s="4">
        <v>5000</v>
      </c>
      <c r="S337" s="4">
        <v>5000</v>
      </c>
      <c r="T337" s="4">
        <f>Tabla1[[#This Row],[OS-Valor Unitario]]-Tabla1[[#This Row],[costo_antes_iva]]</f>
        <v>0</v>
      </c>
      <c r="U337" s="4">
        <f>Tabla1[[#This Row],[OS-Valor Unitario]]*Tabla1[[#This Row],[OS-Cantidad]]</f>
        <v>150000</v>
      </c>
      <c r="V337" s="4">
        <f>Tabla1[[#This Row],[costo_antes_iva]]*Tabla1[[#This Row],[OS-Cantidad]]</f>
        <v>150000</v>
      </c>
      <c r="W337" s="4">
        <f>Tabla1[[#This Row],[Valor total OS]]-Tabla1[[#This Row],[valor total op]]</f>
        <v>0</v>
      </c>
    </row>
    <row r="338" spans="1:23" x14ac:dyDescent="0.3">
      <c r="A338">
        <v>6503</v>
      </c>
      <c r="B338">
        <v>1</v>
      </c>
      <c r="C338" t="s">
        <v>728</v>
      </c>
      <c r="D338" t="s">
        <v>729</v>
      </c>
      <c r="E338" t="s">
        <v>96</v>
      </c>
      <c r="F338" t="s">
        <v>730</v>
      </c>
      <c r="G338" s="2">
        <v>45985</v>
      </c>
      <c r="H338">
        <v>75856752</v>
      </c>
      <c r="I338" t="s">
        <v>731</v>
      </c>
      <c r="J338" t="s">
        <v>732</v>
      </c>
      <c r="K338" t="s">
        <v>25</v>
      </c>
      <c r="L338">
        <v>30</v>
      </c>
      <c r="M338">
        <v>30</v>
      </c>
      <c r="N338" t="s">
        <v>734</v>
      </c>
      <c r="O338" t="s">
        <v>126</v>
      </c>
      <c r="P338" t="s">
        <v>28</v>
      </c>
      <c r="Q338" s="4">
        <v>1305390</v>
      </c>
      <c r="R338" s="4">
        <v>2000</v>
      </c>
      <c r="S338" s="4">
        <v>1500</v>
      </c>
      <c r="T338" s="4">
        <f>Tabla1[[#This Row],[OS-Valor Unitario]]-Tabla1[[#This Row],[costo_antes_iva]]</f>
        <v>-500</v>
      </c>
      <c r="U338" s="4">
        <f>Tabla1[[#This Row],[OS-Valor Unitario]]*Tabla1[[#This Row],[OS-Cantidad]]</f>
        <v>45000</v>
      </c>
      <c r="V338" s="4">
        <f>Tabla1[[#This Row],[costo_antes_iva]]*Tabla1[[#This Row],[OS-Cantidad]]</f>
        <v>60000</v>
      </c>
      <c r="W338" s="4">
        <f>Tabla1[[#This Row],[Valor total OS]]-Tabla1[[#This Row],[valor total op]]</f>
        <v>-15000</v>
      </c>
    </row>
    <row r="339" spans="1:23" x14ac:dyDescent="0.3">
      <c r="A339">
        <v>6503</v>
      </c>
      <c r="B339">
        <v>2</v>
      </c>
      <c r="C339" t="s">
        <v>735</v>
      </c>
      <c r="D339" t="s">
        <v>736</v>
      </c>
      <c r="E339" t="s">
        <v>96</v>
      </c>
      <c r="F339" t="s">
        <v>730</v>
      </c>
      <c r="G339" s="2">
        <v>45985</v>
      </c>
      <c r="H339">
        <v>75856761</v>
      </c>
      <c r="I339" t="s">
        <v>737</v>
      </c>
      <c r="J339" t="s">
        <v>732</v>
      </c>
      <c r="K339" t="s">
        <v>60</v>
      </c>
      <c r="L339">
        <v>30</v>
      </c>
      <c r="M339">
        <v>30</v>
      </c>
      <c r="N339" t="s">
        <v>738</v>
      </c>
      <c r="O339" t="s">
        <v>126</v>
      </c>
      <c r="P339" t="s">
        <v>28</v>
      </c>
      <c r="Q339" s="4">
        <v>1305390</v>
      </c>
      <c r="R339" s="4">
        <v>5000</v>
      </c>
      <c r="S339" s="4">
        <v>5000</v>
      </c>
      <c r="T339" s="4">
        <f>Tabla1[[#This Row],[OS-Valor Unitario]]-Tabla1[[#This Row],[costo_antes_iva]]</f>
        <v>0</v>
      </c>
      <c r="U339" s="4">
        <f>Tabla1[[#This Row],[OS-Valor Unitario]]*Tabla1[[#This Row],[OS-Cantidad]]</f>
        <v>150000</v>
      </c>
      <c r="V339" s="4">
        <f>Tabla1[[#This Row],[costo_antes_iva]]*Tabla1[[#This Row],[OS-Cantidad]]</f>
        <v>150000</v>
      </c>
      <c r="W339" s="4">
        <f>Tabla1[[#This Row],[Valor total OS]]-Tabla1[[#This Row],[valor total op]]</f>
        <v>0</v>
      </c>
    </row>
    <row r="340" spans="1:23" x14ac:dyDescent="0.3">
      <c r="A340">
        <v>6503</v>
      </c>
      <c r="B340">
        <v>2</v>
      </c>
      <c r="C340" t="s">
        <v>735</v>
      </c>
      <c r="D340" t="s">
        <v>736</v>
      </c>
      <c r="E340" t="s">
        <v>96</v>
      </c>
      <c r="F340" t="s">
        <v>730</v>
      </c>
      <c r="G340" s="2">
        <v>45985</v>
      </c>
      <c r="H340">
        <v>75856761</v>
      </c>
      <c r="I340" t="s">
        <v>737</v>
      </c>
      <c r="J340" t="s">
        <v>732</v>
      </c>
      <c r="K340" t="s">
        <v>25</v>
      </c>
      <c r="L340">
        <v>30</v>
      </c>
      <c r="M340">
        <v>30</v>
      </c>
      <c r="N340" t="s">
        <v>739</v>
      </c>
      <c r="O340" t="s">
        <v>126</v>
      </c>
      <c r="P340" t="s">
        <v>28</v>
      </c>
      <c r="Q340" s="4">
        <v>1305390</v>
      </c>
      <c r="R340" s="4">
        <v>2000</v>
      </c>
      <c r="S340" s="4">
        <v>1500</v>
      </c>
      <c r="T340" s="4">
        <f>Tabla1[[#This Row],[OS-Valor Unitario]]-Tabla1[[#This Row],[costo_antes_iva]]</f>
        <v>-500</v>
      </c>
      <c r="U340" s="4">
        <f>Tabla1[[#This Row],[OS-Valor Unitario]]*Tabla1[[#This Row],[OS-Cantidad]]</f>
        <v>45000</v>
      </c>
      <c r="V340" s="4">
        <f>Tabla1[[#This Row],[costo_antes_iva]]*Tabla1[[#This Row],[OS-Cantidad]]</f>
        <v>60000</v>
      </c>
      <c r="W340" s="4">
        <f>Tabla1[[#This Row],[Valor total OS]]-Tabla1[[#This Row],[valor total op]]</f>
        <v>-15000</v>
      </c>
    </row>
    <row r="341" spans="1:23" x14ac:dyDescent="0.3">
      <c r="A341">
        <v>6503</v>
      </c>
      <c r="B341">
        <v>3</v>
      </c>
      <c r="C341" t="s">
        <v>740</v>
      </c>
      <c r="D341" t="s">
        <v>741</v>
      </c>
      <c r="E341" t="s">
        <v>578</v>
      </c>
      <c r="F341" t="s">
        <v>730</v>
      </c>
      <c r="G341" s="2">
        <v>45985</v>
      </c>
      <c r="H341">
        <v>75856770</v>
      </c>
      <c r="I341" t="s">
        <v>742</v>
      </c>
      <c r="J341" t="s">
        <v>732</v>
      </c>
      <c r="K341" t="s">
        <v>60</v>
      </c>
      <c r="L341">
        <v>30</v>
      </c>
      <c r="M341">
        <v>30</v>
      </c>
      <c r="N341" t="s">
        <v>743</v>
      </c>
      <c r="O341" t="s">
        <v>126</v>
      </c>
      <c r="P341" t="s">
        <v>28</v>
      </c>
      <c r="Q341" s="4">
        <v>1476480</v>
      </c>
      <c r="R341" s="4">
        <v>5000</v>
      </c>
      <c r="S341" s="4">
        <v>5000</v>
      </c>
      <c r="T341" s="4">
        <f>Tabla1[[#This Row],[OS-Valor Unitario]]-Tabla1[[#This Row],[costo_antes_iva]]</f>
        <v>0</v>
      </c>
      <c r="U341" s="4">
        <f>Tabla1[[#This Row],[OS-Valor Unitario]]*Tabla1[[#This Row],[OS-Cantidad]]</f>
        <v>150000</v>
      </c>
      <c r="V341" s="4">
        <f>Tabla1[[#This Row],[costo_antes_iva]]*Tabla1[[#This Row],[OS-Cantidad]]</f>
        <v>150000</v>
      </c>
      <c r="W341" s="4">
        <f>Tabla1[[#This Row],[Valor total OS]]-Tabla1[[#This Row],[valor total op]]</f>
        <v>0</v>
      </c>
    </row>
    <row r="342" spans="1:23" x14ac:dyDescent="0.3">
      <c r="A342">
        <v>6503</v>
      </c>
      <c r="B342">
        <v>3</v>
      </c>
      <c r="C342" t="s">
        <v>740</v>
      </c>
      <c r="D342" t="s">
        <v>741</v>
      </c>
      <c r="E342" t="s">
        <v>578</v>
      </c>
      <c r="F342" t="s">
        <v>730</v>
      </c>
      <c r="G342" s="2">
        <v>45985</v>
      </c>
      <c r="H342">
        <v>75856770</v>
      </c>
      <c r="I342" t="s">
        <v>742</v>
      </c>
      <c r="J342" t="s">
        <v>732</v>
      </c>
      <c r="K342" t="s">
        <v>25</v>
      </c>
      <c r="L342">
        <v>30</v>
      </c>
      <c r="M342">
        <v>30</v>
      </c>
      <c r="N342" t="s">
        <v>744</v>
      </c>
      <c r="O342" t="s">
        <v>126</v>
      </c>
      <c r="P342" t="s">
        <v>28</v>
      </c>
      <c r="Q342" s="4">
        <v>1476480</v>
      </c>
      <c r="R342" s="4">
        <v>2000</v>
      </c>
      <c r="S342" s="4">
        <v>1500</v>
      </c>
      <c r="T342" s="4">
        <f>Tabla1[[#This Row],[OS-Valor Unitario]]-Tabla1[[#This Row],[costo_antes_iva]]</f>
        <v>-500</v>
      </c>
      <c r="U342" s="4">
        <f>Tabla1[[#This Row],[OS-Valor Unitario]]*Tabla1[[#This Row],[OS-Cantidad]]</f>
        <v>45000</v>
      </c>
      <c r="V342" s="4">
        <f>Tabla1[[#This Row],[costo_antes_iva]]*Tabla1[[#This Row],[OS-Cantidad]]</f>
        <v>60000</v>
      </c>
      <c r="W342" s="4">
        <f>Tabla1[[#This Row],[Valor total OS]]-Tabla1[[#This Row],[valor total op]]</f>
        <v>-15000</v>
      </c>
    </row>
    <row r="343" spans="1:23" x14ac:dyDescent="0.3">
      <c r="A343">
        <v>6425</v>
      </c>
      <c r="B343">
        <v>1</v>
      </c>
      <c r="C343" t="s">
        <v>1222</v>
      </c>
      <c r="D343" t="s">
        <v>1223</v>
      </c>
      <c r="E343" t="s">
        <v>96</v>
      </c>
      <c r="F343" t="s">
        <v>35</v>
      </c>
      <c r="G343" s="2">
        <v>45985</v>
      </c>
      <c r="H343">
        <v>75860551</v>
      </c>
      <c r="I343" t="s">
        <v>1224</v>
      </c>
      <c r="J343" t="s">
        <v>1225</v>
      </c>
      <c r="K343" t="s">
        <v>60</v>
      </c>
      <c r="L343">
        <v>680</v>
      </c>
      <c r="M343">
        <v>680</v>
      </c>
      <c r="N343" t="s">
        <v>1226</v>
      </c>
      <c r="O343" t="s">
        <v>27</v>
      </c>
      <c r="P343" t="s">
        <v>28</v>
      </c>
      <c r="Q343" s="4">
        <v>16445800</v>
      </c>
      <c r="R343" s="4">
        <v>4000</v>
      </c>
      <c r="S343" s="4">
        <v>5000</v>
      </c>
      <c r="T343" s="4">
        <f>Tabla1[[#This Row],[OS-Valor Unitario]]-Tabla1[[#This Row],[costo_antes_iva]]</f>
        <v>1000</v>
      </c>
      <c r="U343" s="4">
        <f>Tabla1[[#This Row],[OS-Valor Unitario]]*Tabla1[[#This Row],[OS-Cantidad]]</f>
        <v>3400000</v>
      </c>
      <c r="V343" s="4">
        <f>Tabla1[[#This Row],[costo_antes_iva]]*Tabla1[[#This Row],[OS-Cantidad]]</f>
        <v>2720000</v>
      </c>
      <c r="W343" s="4">
        <f>Tabla1[[#This Row],[Valor total OS]]-Tabla1[[#This Row],[valor total op]]</f>
        <v>680000</v>
      </c>
    </row>
    <row r="344" spans="1:23" x14ac:dyDescent="0.3">
      <c r="A344">
        <v>6425</v>
      </c>
      <c r="B344">
        <v>1</v>
      </c>
      <c r="C344" t="s">
        <v>1222</v>
      </c>
      <c r="D344" t="s">
        <v>1223</v>
      </c>
      <c r="E344" t="s">
        <v>96</v>
      </c>
      <c r="F344" t="s">
        <v>35</v>
      </c>
      <c r="G344" s="2">
        <v>45985</v>
      </c>
      <c r="H344">
        <v>75860551</v>
      </c>
      <c r="I344" t="s">
        <v>1224</v>
      </c>
      <c r="J344" t="s">
        <v>1225</v>
      </c>
      <c r="K344" t="s">
        <v>25</v>
      </c>
      <c r="L344">
        <v>680</v>
      </c>
      <c r="M344">
        <v>680</v>
      </c>
      <c r="N344" t="s">
        <v>1227</v>
      </c>
      <c r="O344" t="s">
        <v>27</v>
      </c>
      <c r="P344" t="s">
        <v>28</v>
      </c>
      <c r="Q344" s="4">
        <v>16445800</v>
      </c>
      <c r="R344" s="4">
        <v>2000</v>
      </c>
      <c r="S344" s="4">
        <v>1650</v>
      </c>
      <c r="T344" s="4">
        <f>Tabla1[[#This Row],[OS-Valor Unitario]]-Tabla1[[#This Row],[costo_antes_iva]]</f>
        <v>-350</v>
      </c>
      <c r="U344" s="4">
        <f>Tabla1[[#This Row],[OS-Valor Unitario]]*Tabla1[[#This Row],[OS-Cantidad]]</f>
        <v>1122000</v>
      </c>
      <c r="V344" s="4">
        <f>Tabla1[[#This Row],[costo_antes_iva]]*Tabla1[[#This Row],[OS-Cantidad]]</f>
        <v>1360000</v>
      </c>
      <c r="W344" s="4">
        <f>Tabla1[[#This Row],[Valor total OS]]-Tabla1[[#This Row],[valor total op]]</f>
        <v>-238000</v>
      </c>
    </row>
    <row r="345" spans="1:23" x14ac:dyDescent="0.3">
      <c r="A345">
        <v>6425</v>
      </c>
      <c r="B345">
        <v>2</v>
      </c>
      <c r="C345" t="s">
        <v>1228</v>
      </c>
      <c r="D345" t="s">
        <v>1229</v>
      </c>
      <c r="E345" t="s">
        <v>96</v>
      </c>
      <c r="F345" t="s">
        <v>35</v>
      </c>
      <c r="G345" s="2">
        <v>45985</v>
      </c>
      <c r="H345">
        <v>75861971</v>
      </c>
      <c r="I345" t="s">
        <v>1230</v>
      </c>
      <c r="J345" t="s">
        <v>1225</v>
      </c>
      <c r="K345" t="s">
        <v>60</v>
      </c>
      <c r="L345">
        <v>170</v>
      </c>
      <c r="M345">
        <v>170</v>
      </c>
      <c r="N345" t="s">
        <v>1231</v>
      </c>
      <c r="O345" t="s">
        <v>27</v>
      </c>
      <c r="P345" t="s">
        <v>28</v>
      </c>
      <c r="Q345" s="4">
        <v>4111450</v>
      </c>
      <c r="R345" s="4">
        <v>4000</v>
      </c>
      <c r="S345" s="4">
        <v>5000</v>
      </c>
      <c r="T345" s="4">
        <f>Tabla1[[#This Row],[OS-Valor Unitario]]-Tabla1[[#This Row],[costo_antes_iva]]</f>
        <v>1000</v>
      </c>
      <c r="U345" s="4">
        <f>Tabla1[[#This Row],[OS-Valor Unitario]]*Tabla1[[#This Row],[OS-Cantidad]]</f>
        <v>850000</v>
      </c>
      <c r="V345" s="4">
        <f>Tabla1[[#This Row],[costo_antes_iva]]*Tabla1[[#This Row],[OS-Cantidad]]</f>
        <v>680000</v>
      </c>
      <c r="W345" s="4">
        <f>Tabla1[[#This Row],[Valor total OS]]-Tabla1[[#This Row],[valor total op]]</f>
        <v>170000</v>
      </c>
    </row>
    <row r="346" spans="1:23" x14ac:dyDescent="0.3">
      <c r="A346">
        <v>6425</v>
      </c>
      <c r="B346">
        <v>2</v>
      </c>
      <c r="C346" t="s">
        <v>1228</v>
      </c>
      <c r="D346" t="s">
        <v>1229</v>
      </c>
      <c r="E346" t="s">
        <v>96</v>
      </c>
      <c r="F346" t="s">
        <v>35</v>
      </c>
      <c r="G346" s="2">
        <v>45985</v>
      </c>
      <c r="H346">
        <v>75861971</v>
      </c>
      <c r="I346" t="s">
        <v>1230</v>
      </c>
      <c r="J346" t="s">
        <v>1225</v>
      </c>
      <c r="K346" t="s">
        <v>25</v>
      </c>
      <c r="L346">
        <v>170</v>
      </c>
      <c r="M346">
        <v>182</v>
      </c>
      <c r="N346" t="s">
        <v>1232</v>
      </c>
      <c r="O346" t="s">
        <v>27</v>
      </c>
      <c r="P346" t="s">
        <v>28</v>
      </c>
      <c r="Q346" s="4">
        <v>4111450</v>
      </c>
      <c r="R346" s="4">
        <v>2000</v>
      </c>
      <c r="S346" s="4">
        <v>1650</v>
      </c>
      <c r="T346" s="4">
        <f>Tabla1[[#This Row],[OS-Valor Unitario]]-Tabla1[[#This Row],[costo_antes_iva]]</f>
        <v>-350</v>
      </c>
      <c r="U346" s="4">
        <f>Tabla1[[#This Row],[OS-Valor Unitario]]*Tabla1[[#This Row],[OS-Cantidad]]</f>
        <v>300300</v>
      </c>
      <c r="V346" s="4">
        <f>Tabla1[[#This Row],[costo_antes_iva]]*Tabla1[[#This Row],[OS-Cantidad]]</f>
        <v>364000</v>
      </c>
      <c r="W346" s="4">
        <f>Tabla1[[#This Row],[Valor total OS]]-Tabla1[[#This Row],[valor total op]]</f>
        <v>-63700</v>
      </c>
    </row>
    <row r="347" spans="1:23" x14ac:dyDescent="0.3">
      <c r="A347">
        <v>6422</v>
      </c>
      <c r="B347">
        <v>1</v>
      </c>
      <c r="C347" t="s">
        <v>1233</v>
      </c>
      <c r="D347" t="s">
        <v>1234</v>
      </c>
      <c r="E347" t="s">
        <v>357</v>
      </c>
      <c r="F347" t="s">
        <v>97</v>
      </c>
      <c r="G347" s="2">
        <v>45985</v>
      </c>
      <c r="H347">
        <v>75839731</v>
      </c>
      <c r="I347" t="s">
        <v>1235</v>
      </c>
      <c r="J347" t="s">
        <v>1236</v>
      </c>
      <c r="K347" t="s">
        <v>60</v>
      </c>
      <c r="L347">
        <v>12</v>
      </c>
      <c r="M347">
        <v>12</v>
      </c>
      <c r="N347" t="s">
        <v>1237</v>
      </c>
      <c r="O347" t="s">
        <v>27</v>
      </c>
      <c r="P347" t="s">
        <v>253</v>
      </c>
      <c r="Q347" s="4">
        <v>493596</v>
      </c>
      <c r="R347" s="4">
        <v>13000</v>
      </c>
      <c r="S347" s="4">
        <v>13000</v>
      </c>
      <c r="T347" s="4">
        <f>Tabla1[[#This Row],[OS-Valor Unitario]]-Tabla1[[#This Row],[costo_antes_iva]]</f>
        <v>0</v>
      </c>
      <c r="U347" s="4">
        <f>Tabla1[[#This Row],[OS-Valor Unitario]]*Tabla1[[#This Row],[OS-Cantidad]]</f>
        <v>156000</v>
      </c>
      <c r="V347" s="4">
        <f>Tabla1[[#This Row],[costo_antes_iva]]*Tabla1[[#This Row],[OS-Cantidad]]</f>
        <v>156000</v>
      </c>
      <c r="W347" s="4">
        <f>Tabla1[[#This Row],[Valor total OS]]-Tabla1[[#This Row],[valor total op]]</f>
        <v>0</v>
      </c>
    </row>
    <row r="348" spans="1:23" x14ac:dyDescent="0.3">
      <c r="A348">
        <v>6421</v>
      </c>
      <c r="B348">
        <v>1</v>
      </c>
      <c r="C348" t="s">
        <v>1238</v>
      </c>
      <c r="D348" t="s">
        <v>1239</v>
      </c>
      <c r="E348" t="s">
        <v>79</v>
      </c>
      <c r="F348" t="s">
        <v>90</v>
      </c>
      <c r="G348" s="2">
        <v>45982</v>
      </c>
      <c r="H348">
        <v>75709053</v>
      </c>
      <c r="I348" t="s">
        <v>1240</v>
      </c>
      <c r="J348" t="s">
        <v>1241</v>
      </c>
      <c r="K348" t="s">
        <v>60</v>
      </c>
      <c r="L348">
        <v>101</v>
      </c>
      <c r="M348">
        <v>101</v>
      </c>
      <c r="N348" t="s">
        <v>1242</v>
      </c>
      <c r="O348" t="s">
        <v>27</v>
      </c>
      <c r="P348" t="s">
        <v>85</v>
      </c>
      <c r="Q348" s="4">
        <v>5361888</v>
      </c>
      <c r="R348" s="4">
        <v>12500</v>
      </c>
      <c r="S348" s="4">
        <v>13000</v>
      </c>
      <c r="T348" s="4">
        <f>Tabla1[[#This Row],[OS-Valor Unitario]]-Tabla1[[#This Row],[costo_antes_iva]]</f>
        <v>500</v>
      </c>
      <c r="U348" s="4">
        <f>Tabla1[[#This Row],[OS-Valor Unitario]]*Tabla1[[#This Row],[OS-Cantidad]]</f>
        <v>1313000</v>
      </c>
      <c r="V348" s="4">
        <f>Tabla1[[#This Row],[costo_antes_iva]]*Tabla1[[#This Row],[OS-Cantidad]]</f>
        <v>1262500</v>
      </c>
      <c r="W348" s="4">
        <f>Tabla1[[#This Row],[Valor total OS]]-Tabla1[[#This Row],[valor total op]]</f>
        <v>50500</v>
      </c>
    </row>
    <row r="349" spans="1:23" x14ac:dyDescent="0.3">
      <c r="A349">
        <v>6421</v>
      </c>
      <c r="B349">
        <v>1</v>
      </c>
      <c r="C349" t="s">
        <v>1238</v>
      </c>
      <c r="D349" t="s">
        <v>1239</v>
      </c>
      <c r="E349" t="s">
        <v>79</v>
      </c>
      <c r="F349" t="s">
        <v>90</v>
      </c>
      <c r="G349" s="2">
        <v>45982</v>
      </c>
      <c r="H349">
        <v>75709053</v>
      </c>
      <c r="I349" t="s">
        <v>1240</v>
      </c>
      <c r="J349" t="s">
        <v>1241</v>
      </c>
      <c r="K349" t="s">
        <v>25</v>
      </c>
      <c r="L349">
        <v>101</v>
      </c>
      <c r="M349">
        <v>101</v>
      </c>
      <c r="N349" t="s">
        <v>1243</v>
      </c>
      <c r="O349" t="s">
        <v>27</v>
      </c>
      <c r="P349" t="s">
        <v>85</v>
      </c>
      <c r="Q349" s="4">
        <v>5361888</v>
      </c>
      <c r="R349" s="4">
        <v>9500</v>
      </c>
      <c r="S349" s="4">
        <v>9500</v>
      </c>
      <c r="T349" s="4">
        <f>Tabla1[[#This Row],[OS-Valor Unitario]]-Tabla1[[#This Row],[costo_antes_iva]]</f>
        <v>0</v>
      </c>
      <c r="U349" s="4">
        <f>Tabla1[[#This Row],[OS-Valor Unitario]]*Tabla1[[#This Row],[OS-Cantidad]]</f>
        <v>959500</v>
      </c>
      <c r="V349" s="4">
        <f>Tabla1[[#This Row],[costo_antes_iva]]*Tabla1[[#This Row],[OS-Cantidad]]</f>
        <v>959500</v>
      </c>
      <c r="W349" s="4">
        <f>Tabla1[[#This Row],[Valor total OS]]-Tabla1[[#This Row],[valor total op]]</f>
        <v>0</v>
      </c>
    </row>
    <row r="350" spans="1:23" x14ac:dyDescent="0.3">
      <c r="A350">
        <v>6421</v>
      </c>
      <c r="B350">
        <v>2</v>
      </c>
      <c r="C350" t="s">
        <v>1244</v>
      </c>
      <c r="D350" t="s">
        <v>1245</v>
      </c>
      <c r="E350" t="s">
        <v>79</v>
      </c>
      <c r="F350" t="s">
        <v>90</v>
      </c>
      <c r="G350" s="2">
        <v>45982</v>
      </c>
      <c r="H350">
        <v>75709147</v>
      </c>
      <c r="I350" t="s">
        <v>1246</v>
      </c>
      <c r="J350" t="s">
        <v>1241</v>
      </c>
      <c r="K350" t="s">
        <v>60</v>
      </c>
      <c r="L350">
        <v>8</v>
      </c>
      <c r="M350">
        <v>8</v>
      </c>
      <c r="N350" t="s">
        <v>1247</v>
      </c>
      <c r="O350" t="s">
        <v>27</v>
      </c>
      <c r="P350" t="s">
        <v>85</v>
      </c>
      <c r="Q350" s="4">
        <v>387128</v>
      </c>
      <c r="R350" s="4">
        <v>12500</v>
      </c>
      <c r="S350" s="4">
        <v>13000</v>
      </c>
      <c r="T350" s="4">
        <f>Tabla1[[#This Row],[OS-Valor Unitario]]-Tabla1[[#This Row],[costo_antes_iva]]</f>
        <v>500</v>
      </c>
      <c r="U350" s="4">
        <f>Tabla1[[#This Row],[OS-Valor Unitario]]*Tabla1[[#This Row],[OS-Cantidad]]</f>
        <v>104000</v>
      </c>
      <c r="V350" s="4">
        <f>Tabla1[[#This Row],[costo_antes_iva]]*Tabla1[[#This Row],[OS-Cantidad]]</f>
        <v>100000</v>
      </c>
      <c r="W350" s="4">
        <f>Tabla1[[#This Row],[Valor total OS]]-Tabla1[[#This Row],[valor total op]]</f>
        <v>4000</v>
      </c>
    </row>
    <row r="351" spans="1:23" x14ac:dyDescent="0.3">
      <c r="A351">
        <v>6421</v>
      </c>
      <c r="B351">
        <v>2</v>
      </c>
      <c r="C351" t="s">
        <v>1244</v>
      </c>
      <c r="D351" t="s">
        <v>1245</v>
      </c>
      <c r="E351" t="s">
        <v>79</v>
      </c>
      <c r="F351" t="s">
        <v>90</v>
      </c>
      <c r="G351" s="2">
        <v>45982</v>
      </c>
      <c r="H351">
        <v>75709147</v>
      </c>
      <c r="I351" t="s">
        <v>1246</v>
      </c>
      <c r="J351" t="s">
        <v>1241</v>
      </c>
      <c r="K351" t="s">
        <v>25</v>
      </c>
      <c r="L351">
        <v>8</v>
      </c>
      <c r="M351">
        <v>8</v>
      </c>
      <c r="N351" t="s">
        <v>1248</v>
      </c>
      <c r="O351" t="s">
        <v>27</v>
      </c>
      <c r="P351" t="s">
        <v>85</v>
      </c>
      <c r="Q351" s="4">
        <v>387128</v>
      </c>
      <c r="R351" s="4">
        <v>5600</v>
      </c>
      <c r="S351" s="4">
        <v>5600</v>
      </c>
      <c r="T351" s="4">
        <f>Tabla1[[#This Row],[OS-Valor Unitario]]-Tabla1[[#This Row],[costo_antes_iva]]</f>
        <v>0</v>
      </c>
      <c r="U351" s="4">
        <f>Tabla1[[#This Row],[OS-Valor Unitario]]*Tabla1[[#This Row],[OS-Cantidad]]</f>
        <v>44800</v>
      </c>
      <c r="V351" s="4">
        <f>Tabla1[[#This Row],[costo_antes_iva]]*Tabla1[[#This Row],[OS-Cantidad]]</f>
        <v>44800</v>
      </c>
      <c r="W351" s="4">
        <f>Tabla1[[#This Row],[Valor total OS]]-Tabla1[[#This Row],[valor total op]]</f>
        <v>0</v>
      </c>
    </row>
    <row r="352" spans="1:23" x14ac:dyDescent="0.3">
      <c r="A352">
        <v>6421</v>
      </c>
      <c r="B352">
        <v>3</v>
      </c>
      <c r="C352" t="s">
        <v>1249</v>
      </c>
      <c r="D352" t="s">
        <v>1250</v>
      </c>
      <c r="E352" t="s">
        <v>79</v>
      </c>
      <c r="F352" t="s">
        <v>90</v>
      </c>
      <c r="G352" s="2">
        <v>45982</v>
      </c>
      <c r="H352">
        <v>75709153</v>
      </c>
      <c r="I352" t="s">
        <v>1251</v>
      </c>
      <c r="J352" t="s">
        <v>1241</v>
      </c>
      <c r="K352" t="s">
        <v>60</v>
      </c>
      <c r="L352">
        <v>11</v>
      </c>
      <c r="M352">
        <v>11</v>
      </c>
      <c r="N352" t="s">
        <v>1252</v>
      </c>
      <c r="O352" t="s">
        <v>27</v>
      </c>
      <c r="P352" t="s">
        <v>85</v>
      </c>
      <c r="Q352" s="4">
        <v>543675</v>
      </c>
      <c r="R352" s="4">
        <v>12500</v>
      </c>
      <c r="S352" s="4">
        <v>13000</v>
      </c>
      <c r="T352" s="4">
        <f>Tabla1[[#This Row],[OS-Valor Unitario]]-Tabla1[[#This Row],[costo_antes_iva]]</f>
        <v>500</v>
      </c>
      <c r="U352" s="4">
        <f>Tabla1[[#This Row],[OS-Valor Unitario]]*Tabla1[[#This Row],[OS-Cantidad]]</f>
        <v>143000</v>
      </c>
      <c r="V352" s="4">
        <f>Tabla1[[#This Row],[costo_antes_iva]]*Tabla1[[#This Row],[OS-Cantidad]]</f>
        <v>137500</v>
      </c>
      <c r="W352" s="4">
        <f>Tabla1[[#This Row],[Valor total OS]]-Tabla1[[#This Row],[valor total op]]</f>
        <v>5500</v>
      </c>
    </row>
    <row r="353" spans="1:23" x14ac:dyDescent="0.3">
      <c r="A353">
        <v>6421</v>
      </c>
      <c r="B353">
        <v>3</v>
      </c>
      <c r="C353" t="s">
        <v>1249</v>
      </c>
      <c r="D353" t="s">
        <v>1250</v>
      </c>
      <c r="E353" t="s">
        <v>79</v>
      </c>
      <c r="F353" t="s">
        <v>90</v>
      </c>
      <c r="G353" s="2">
        <v>45982</v>
      </c>
      <c r="H353">
        <v>75709153</v>
      </c>
      <c r="I353" t="s">
        <v>1251</v>
      </c>
      <c r="J353" t="s">
        <v>1241</v>
      </c>
      <c r="K353" t="s">
        <v>25</v>
      </c>
      <c r="L353">
        <v>11</v>
      </c>
      <c r="M353">
        <v>11</v>
      </c>
      <c r="N353" t="s">
        <v>1253</v>
      </c>
      <c r="O353" t="s">
        <v>27</v>
      </c>
      <c r="P353" t="s">
        <v>85</v>
      </c>
      <c r="Q353" s="4">
        <v>543675</v>
      </c>
      <c r="R353" s="4">
        <v>6600</v>
      </c>
      <c r="S353" s="4">
        <v>6600</v>
      </c>
      <c r="T353" s="4">
        <f>Tabla1[[#This Row],[OS-Valor Unitario]]-Tabla1[[#This Row],[costo_antes_iva]]</f>
        <v>0</v>
      </c>
      <c r="U353" s="4">
        <f>Tabla1[[#This Row],[OS-Valor Unitario]]*Tabla1[[#This Row],[OS-Cantidad]]</f>
        <v>72600</v>
      </c>
      <c r="V353" s="4">
        <f>Tabla1[[#This Row],[costo_antes_iva]]*Tabla1[[#This Row],[OS-Cantidad]]</f>
        <v>72600</v>
      </c>
      <c r="W353" s="4">
        <f>Tabla1[[#This Row],[Valor total OS]]-Tabla1[[#This Row],[valor total op]]</f>
        <v>0</v>
      </c>
    </row>
    <row r="354" spans="1:23" x14ac:dyDescent="0.3">
      <c r="A354">
        <v>6421</v>
      </c>
      <c r="B354">
        <v>4</v>
      </c>
      <c r="C354" t="s">
        <v>1254</v>
      </c>
      <c r="D354" t="s">
        <v>1255</v>
      </c>
      <c r="E354" t="s">
        <v>79</v>
      </c>
      <c r="F354" t="s">
        <v>90</v>
      </c>
      <c r="G354" s="2">
        <v>45982</v>
      </c>
      <c r="H354">
        <v>75709159</v>
      </c>
      <c r="I354" t="s">
        <v>1256</v>
      </c>
      <c r="J354" t="s">
        <v>1241</v>
      </c>
      <c r="K354" t="s">
        <v>60</v>
      </c>
      <c r="L354">
        <v>26</v>
      </c>
      <c r="M354">
        <v>26</v>
      </c>
      <c r="N354" t="s">
        <v>1257</v>
      </c>
      <c r="O354" t="s">
        <v>27</v>
      </c>
      <c r="P354" t="s">
        <v>85</v>
      </c>
      <c r="Q354" s="4">
        <v>1238822</v>
      </c>
      <c r="R354" s="4">
        <v>12500</v>
      </c>
      <c r="S354" s="4">
        <v>13000</v>
      </c>
      <c r="T354" s="4">
        <f>Tabla1[[#This Row],[OS-Valor Unitario]]-Tabla1[[#This Row],[costo_antes_iva]]</f>
        <v>500</v>
      </c>
      <c r="U354" s="4">
        <f>Tabla1[[#This Row],[OS-Valor Unitario]]*Tabla1[[#This Row],[OS-Cantidad]]</f>
        <v>338000</v>
      </c>
      <c r="V354" s="4">
        <f>Tabla1[[#This Row],[costo_antes_iva]]*Tabla1[[#This Row],[OS-Cantidad]]</f>
        <v>325000</v>
      </c>
      <c r="W354" s="4">
        <f>Tabla1[[#This Row],[Valor total OS]]-Tabla1[[#This Row],[valor total op]]</f>
        <v>13000</v>
      </c>
    </row>
    <row r="355" spans="1:23" x14ac:dyDescent="0.3">
      <c r="A355">
        <v>6421</v>
      </c>
      <c r="B355">
        <v>4</v>
      </c>
      <c r="C355" t="s">
        <v>1254</v>
      </c>
      <c r="D355" t="s">
        <v>1255</v>
      </c>
      <c r="E355" t="s">
        <v>79</v>
      </c>
      <c r="F355" t="s">
        <v>90</v>
      </c>
      <c r="G355" s="2">
        <v>45982</v>
      </c>
      <c r="H355">
        <v>75709159</v>
      </c>
      <c r="I355" t="s">
        <v>1256</v>
      </c>
      <c r="J355" t="s">
        <v>1241</v>
      </c>
      <c r="K355" t="s">
        <v>25</v>
      </c>
      <c r="L355">
        <v>26</v>
      </c>
      <c r="M355">
        <v>26</v>
      </c>
      <c r="N355" t="s">
        <v>1258</v>
      </c>
      <c r="O355" t="s">
        <v>27</v>
      </c>
      <c r="P355" t="s">
        <v>85</v>
      </c>
      <c r="Q355" s="4">
        <v>1238822</v>
      </c>
      <c r="R355" s="4">
        <v>5600</v>
      </c>
      <c r="S355" s="4">
        <v>5600</v>
      </c>
      <c r="T355" s="4">
        <f>Tabla1[[#This Row],[OS-Valor Unitario]]-Tabla1[[#This Row],[costo_antes_iva]]</f>
        <v>0</v>
      </c>
      <c r="U355" s="4">
        <f>Tabla1[[#This Row],[OS-Valor Unitario]]*Tabla1[[#This Row],[OS-Cantidad]]</f>
        <v>145600</v>
      </c>
      <c r="V355" s="4">
        <f>Tabla1[[#This Row],[costo_antes_iva]]*Tabla1[[#This Row],[OS-Cantidad]]</f>
        <v>145600</v>
      </c>
      <c r="W355" s="4">
        <f>Tabla1[[#This Row],[Valor total OS]]-Tabla1[[#This Row],[valor total op]]</f>
        <v>0</v>
      </c>
    </row>
    <row r="356" spans="1:23" x14ac:dyDescent="0.3">
      <c r="A356">
        <v>6421</v>
      </c>
      <c r="B356">
        <v>5</v>
      </c>
      <c r="C356" t="s">
        <v>1259</v>
      </c>
      <c r="D356" t="s">
        <v>1260</v>
      </c>
      <c r="E356" t="s">
        <v>79</v>
      </c>
      <c r="F356" t="s">
        <v>90</v>
      </c>
      <c r="G356" s="2">
        <v>45982</v>
      </c>
      <c r="H356">
        <v>75711349</v>
      </c>
      <c r="I356" t="s">
        <v>1256</v>
      </c>
      <c r="J356" t="s">
        <v>1241</v>
      </c>
      <c r="K356" t="s">
        <v>60</v>
      </c>
      <c r="L356">
        <v>4</v>
      </c>
      <c r="M356">
        <v>4</v>
      </c>
      <c r="N356" t="s">
        <v>1261</v>
      </c>
      <c r="O356" t="s">
        <v>27</v>
      </c>
      <c r="P356" t="s">
        <v>85</v>
      </c>
      <c r="Q356" s="4">
        <v>187240</v>
      </c>
      <c r="R356" s="4">
        <v>12500</v>
      </c>
      <c r="S356" s="4">
        <v>13000</v>
      </c>
      <c r="T356" s="4">
        <f>Tabla1[[#This Row],[OS-Valor Unitario]]-Tabla1[[#This Row],[costo_antes_iva]]</f>
        <v>500</v>
      </c>
      <c r="U356" s="4">
        <f>Tabla1[[#This Row],[OS-Valor Unitario]]*Tabla1[[#This Row],[OS-Cantidad]]</f>
        <v>52000</v>
      </c>
      <c r="V356" s="4">
        <f>Tabla1[[#This Row],[costo_antes_iva]]*Tabla1[[#This Row],[OS-Cantidad]]</f>
        <v>50000</v>
      </c>
      <c r="W356" s="4">
        <f>Tabla1[[#This Row],[Valor total OS]]-Tabla1[[#This Row],[valor total op]]</f>
        <v>2000</v>
      </c>
    </row>
    <row r="357" spans="1:23" x14ac:dyDescent="0.3">
      <c r="A357">
        <v>6421</v>
      </c>
      <c r="B357">
        <v>5</v>
      </c>
      <c r="C357" t="s">
        <v>1259</v>
      </c>
      <c r="D357" t="s">
        <v>1260</v>
      </c>
      <c r="E357" t="s">
        <v>79</v>
      </c>
      <c r="F357" t="s">
        <v>90</v>
      </c>
      <c r="G357" s="2">
        <v>45982</v>
      </c>
      <c r="H357">
        <v>75711349</v>
      </c>
      <c r="I357" t="s">
        <v>1256</v>
      </c>
      <c r="J357" t="s">
        <v>1241</v>
      </c>
      <c r="K357" t="s">
        <v>25</v>
      </c>
      <c r="L357">
        <v>4</v>
      </c>
      <c r="M357">
        <v>4</v>
      </c>
      <c r="N357" t="s">
        <v>1262</v>
      </c>
      <c r="O357" t="s">
        <v>27</v>
      </c>
      <c r="P357" t="s">
        <v>85</v>
      </c>
      <c r="Q357" s="4">
        <v>187240</v>
      </c>
      <c r="R357" s="4">
        <v>5000</v>
      </c>
      <c r="S357" s="4">
        <v>5000</v>
      </c>
      <c r="T357" s="4">
        <f>Tabla1[[#This Row],[OS-Valor Unitario]]-Tabla1[[#This Row],[costo_antes_iva]]</f>
        <v>0</v>
      </c>
      <c r="U357" s="4">
        <f>Tabla1[[#This Row],[OS-Valor Unitario]]*Tabla1[[#This Row],[OS-Cantidad]]</f>
        <v>20000</v>
      </c>
      <c r="V357" s="4">
        <f>Tabla1[[#This Row],[costo_antes_iva]]*Tabla1[[#This Row],[OS-Cantidad]]</f>
        <v>20000</v>
      </c>
      <c r="W357" s="4">
        <f>Tabla1[[#This Row],[Valor total OS]]-Tabla1[[#This Row],[valor total op]]</f>
        <v>0</v>
      </c>
    </row>
    <row r="358" spans="1:23" x14ac:dyDescent="0.3">
      <c r="A358">
        <v>6384</v>
      </c>
      <c r="B358">
        <v>1</v>
      </c>
      <c r="C358" t="s">
        <v>1263</v>
      </c>
      <c r="D358" t="s">
        <v>1264</v>
      </c>
      <c r="E358" t="s">
        <v>79</v>
      </c>
      <c r="F358" t="s">
        <v>1265</v>
      </c>
      <c r="G358" s="2">
        <v>45961</v>
      </c>
      <c r="H358">
        <v>74647469</v>
      </c>
      <c r="I358" t="s">
        <v>1266</v>
      </c>
      <c r="J358" t="s">
        <v>1267</v>
      </c>
      <c r="K358" t="s">
        <v>60</v>
      </c>
      <c r="L358">
        <v>8</v>
      </c>
      <c r="M358">
        <v>8</v>
      </c>
      <c r="N358" t="s">
        <v>1268</v>
      </c>
      <c r="O358" t="s">
        <v>27</v>
      </c>
      <c r="P358" t="s">
        <v>85</v>
      </c>
      <c r="Q358" s="4">
        <v>373624</v>
      </c>
      <c r="R358" s="4">
        <v>12000</v>
      </c>
      <c r="S358" s="4">
        <v>12500</v>
      </c>
      <c r="T358" s="4">
        <f>Tabla1[[#This Row],[OS-Valor Unitario]]-Tabla1[[#This Row],[costo_antes_iva]]</f>
        <v>500</v>
      </c>
      <c r="U358" s="4">
        <f>Tabla1[[#This Row],[OS-Valor Unitario]]*Tabla1[[#This Row],[OS-Cantidad]]</f>
        <v>100000</v>
      </c>
      <c r="V358" s="4">
        <f>Tabla1[[#This Row],[costo_antes_iva]]*Tabla1[[#This Row],[OS-Cantidad]]</f>
        <v>96000</v>
      </c>
      <c r="W358" s="4">
        <f>Tabla1[[#This Row],[Valor total OS]]-Tabla1[[#This Row],[valor total op]]</f>
        <v>4000</v>
      </c>
    </row>
    <row r="359" spans="1:23" x14ac:dyDescent="0.3">
      <c r="A359">
        <v>6384</v>
      </c>
      <c r="B359">
        <v>1</v>
      </c>
      <c r="C359" t="s">
        <v>1263</v>
      </c>
      <c r="D359" t="s">
        <v>1264</v>
      </c>
      <c r="E359" t="s">
        <v>79</v>
      </c>
      <c r="F359" t="s">
        <v>1265</v>
      </c>
      <c r="G359" s="2">
        <v>45961</v>
      </c>
      <c r="H359">
        <v>74647469</v>
      </c>
      <c r="I359" t="s">
        <v>1266</v>
      </c>
      <c r="J359" t="s">
        <v>1267</v>
      </c>
      <c r="K359" t="s">
        <v>25</v>
      </c>
      <c r="L359">
        <v>8</v>
      </c>
      <c r="M359">
        <v>8</v>
      </c>
      <c r="N359" t="s">
        <v>1269</v>
      </c>
      <c r="O359" t="s">
        <v>27</v>
      </c>
      <c r="P359" t="s">
        <v>85</v>
      </c>
      <c r="Q359" s="4">
        <v>373624</v>
      </c>
      <c r="R359" s="4">
        <v>1200</v>
      </c>
      <c r="S359" s="4">
        <v>1400</v>
      </c>
      <c r="T359" s="4">
        <f>Tabla1[[#This Row],[OS-Valor Unitario]]-Tabla1[[#This Row],[costo_antes_iva]]</f>
        <v>200</v>
      </c>
      <c r="U359" s="4">
        <f>Tabla1[[#This Row],[OS-Valor Unitario]]*Tabla1[[#This Row],[OS-Cantidad]]</f>
        <v>11200</v>
      </c>
      <c r="V359" s="4">
        <f>Tabla1[[#This Row],[costo_antes_iva]]*Tabla1[[#This Row],[OS-Cantidad]]</f>
        <v>9600</v>
      </c>
      <c r="W359" s="4">
        <f>Tabla1[[#This Row],[Valor total OS]]-Tabla1[[#This Row],[valor total op]]</f>
        <v>1600</v>
      </c>
    </row>
    <row r="360" spans="1:23" x14ac:dyDescent="0.3">
      <c r="A360">
        <v>6384</v>
      </c>
      <c r="B360">
        <v>2</v>
      </c>
      <c r="C360" t="s">
        <v>1270</v>
      </c>
      <c r="D360" t="s">
        <v>1271</v>
      </c>
      <c r="E360" t="s">
        <v>79</v>
      </c>
      <c r="F360" t="s">
        <v>1265</v>
      </c>
      <c r="G360" s="2">
        <v>45961</v>
      </c>
      <c r="H360">
        <v>74647524</v>
      </c>
      <c r="I360" t="s">
        <v>1272</v>
      </c>
      <c r="J360" t="s">
        <v>1267</v>
      </c>
      <c r="K360" t="s">
        <v>60</v>
      </c>
      <c r="L360">
        <v>12</v>
      </c>
      <c r="M360">
        <v>12</v>
      </c>
      <c r="N360" t="s">
        <v>1273</v>
      </c>
      <c r="O360" t="s">
        <v>27</v>
      </c>
      <c r="P360" t="s">
        <v>85</v>
      </c>
      <c r="Q360" s="4">
        <v>515544</v>
      </c>
      <c r="R360" s="4">
        <v>12000</v>
      </c>
      <c r="S360" s="4">
        <v>11500</v>
      </c>
      <c r="T360" s="4">
        <f>Tabla1[[#This Row],[OS-Valor Unitario]]-Tabla1[[#This Row],[costo_antes_iva]]</f>
        <v>-500</v>
      </c>
      <c r="U360" s="4">
        <f>Tabla1[[#This Row],[OS-Valor Unitario]]*Tabla1[[#This Row],[OS-Cantidad]]</f>
        <v>138000</v>
      </c>
      <c r="V360" s="4">
        <f>Tabla1[[#This Row],[costo_antes_iva]]*Tabla1[[#This Row],[OS-Cantidad]]</f>
        <v>144000</v>
      </c>
      <c r="W360" s="4">
        <f>Tabla1[[#This Row],[Valor total OS]]-Tabla1[[#This Row],[valor total op]]</f>
        <v>-6000</v>
      </c>
    </row>
    <row r="361" spans="1:23" x14ac:dyDescent="0.3">
      <c r="A361">
        <v>6384</v>
      </c>
      <c r="B361">
        <v>2</v>
      </c>
      <c r="C361" t="s">
        <v>1270</v>
      </c>
      <c r="D361" t="s">
        <v>1271</v>
      </c>
      <c r="E361" t="s">
        <v>79</v>
      </c>
      <c r="F361" t="s">
        <v>1265</v>
      </c>
      <c r="G361" s="2">
        <v>45961</v>
      </c>
      <c r="H361">
        <v>74647524</v>
      </c>
      <c r="I361" t="s">
        <v>1272</v>
      </c>
      <c r="J361" t="s">
        <v>1267</v>
      </c>
      <c r="K361" t="s">
        <v>25</v>
      </c>
      <c r="L361">
        <v>12</v>
      </c>
      <c r="M361">
        <v>12</v>
      </c>
      <c r="N361" t="s">
        <v>1274</v>
      </c>
      <c r="O361" t="s">
        <v>27</v>
      </c>
      <c r="P361" t="s">
        <v>85</v>
      </c>
      <c r="Q361" s="4">
        <v>515544</v>
      </c>
      <c r="R361" s="4">
        <v>1200</v>
      </c>
      <c r="S361" s="4">
        <v>1400</v>
      </c>
      <c r="T361" s="4">
        <f>Tabla1[[#This Row],[OS-Valor Unitario]]-Tabla1[[#This Row],[costo_antes_iva]]</f>
        <v>200</v>
      </c>
      <c r="U361" s="4">
        <f>Tabla1[[#This Row],[OS-Valor Unitario]]*Tabla1[[#This Row],[OS-Cantidad]]</f>
        <v>16800</v>
      </c>
      <c r="V361" s="4">
        <f>Tabla1[[#This Row],[costo_antes_iva]]*Tabla1[[#This Row],[OS-Cantidad]]</f>
        <v>14400</v>
      </c>
      <c r="W361" s="4">
        <f>Tabla1[[#This Row],[Valor total OS]]-Tabla1[[#This Row],[valor total op]]</f>
        <v>2400</v>
      </c>
    </row>
    <row r="362" spans="1:23" x14ac:dyDescent="0.3">
      <c r="A362">
        <v>6384</v>
      </c>
      <c r="B362">
        <v>3</v>
      </c>
      <c r="C362" t="s">
        <v>1275</v>
      </c>
      <c r="D362" t="s">
        <v>1276</v>
      </c>
      <c r="E362" t="s">
        <v>166</v>
      </c>
      <c r="F362" t="s">
        <v>1265</v>
      </c>
      <c r="G362" s="2">
        <v>45961</v>
      </c>
      <c r="H362">
        <v>74647597</v>
      </c>
      <c r="I362" t="s">
        <v>1277</v>
      </c>
      <c r="J362" t="s">
        <v>1267</v>
      </c>
      <c r="K362" t="s">
        <v>25</v>
      </c>
      <c r="L362">
        <v>1</v>
      </c>
      <c r="M362">
        <v>1</v>
      </c>
      <c r="N362" t="s">
        <v>1278</v>
      </c>
      <c r="O362" t="s">
        <v>27</v>
      </c>
      <c r="P362" t="s">
        <v>169</v>
      </c>
      <c r="Q362" s="4">
        <v>89226</v>
      </c>
      <c r="R362" s="4">
        <v>1100</v>
      </c>
      <c r="S362" s="4">
        <v>1400</v>
      </c>
      <c r="T362" s="4">
        <f>Tabla1[[#This Row],[OS-Valor Unitario]]-Tabla1[[#This Row],[costo_antes_iva]]</f>
        <v>300</v>
      </c>
      <c r="U362" s="4">
        <f>Tabla1[[#This Row],[OS-Valor Unitario]]*Tabla1[[#This Row],[OS-Cantidad]]</f>
        <v>1400</v>
      </c>
      <c r="V362" s="4">
        <f>Tabla1[[#This Row],[costo_antes_iva]]*Tabla1[[#This Row],[OS-Cantidad]]</f>
        <v>1100</v>
      </c>
      <c r="W362" s="4">
        <f>Tabla1[[#This Row],[Valor total OS]]-Tabla1[[#This Row],[valor total op]]</f>
        <v>300</v>
      </c>
    </row>
    <row r="363" spans="1:23" x14ac:dyDescent="0.3">
      <c r="A363">
        <v>6384</v>
      </c>
      <c r="B363">
        <v>3</v>
      </c>
      <c r="C363" t="s">
        <v>1275</v>
      </c>
      <c r="D363" t="s">
        <v>1276</v>
      </c>
      <c r="E363" t="s">
        <v>166</v>
      </c>
      <c r="F363" t="s">
        <v>1265</v>
      </c>
      <c r="G363" s="2">
        <v>45961</v>
      </c>
      <c r="H363">
        <v>74647597</v>
      </c>
      <c r="I363" t="s">
        <v>1277</v>
      </c>
      <c r="J363" t="s">
        <v>1267</v>
      </c>
      <c r="K363" t="s">
        <v>60</v>
      </c>
      <c r="L363">
        <v>1</v>
      </c>
      <c r="M363">
        <v>1</v>
      </c>
      <c r="N363" t="s">
        <v>1279</v>
      </c>
      <c r="O363" t="s">
        <v>27</v>
      </c>
      <c r="P363" t="s">
        <v>169</v>
      </c>
      <c r="Q363" s="4">
        <v>89226</v>
      </c>
      <c r="R363" s="4">
        <v>15000</v>
      </c>
      <c r="S363" s="4">
        <v>14000</v>
      </c>
      <c r="T363" s="4">
        <f>Tabla1[[#This Row],[OS-Valor Unitario]]-Tabla1[[#This Row],[costo_antes_iva]]</f>
        <v>-1000</v>
      </c>
      <c r="U363" s="4">
        <f>Tabla1[[#This Row],[OS-Valor Unitario]]*Tabla1[[#This Row],[OS-Cantidad]]</f>
        <v>14000</v>
      </c>
      <c r="V363" s="4">
        <f>Tabla1[[#This Row],[costo_antes_iva]]*Tabla1[[#This Row],[OS-Cantidad]]</f>
        <v>15000</v>
      </c>
      <c r="W363" s="4">
        <f>Tabla1[[#This Row],[Valor total OS]]-Tabla1[[#This Row],[valor total op]]</f>
        <v>-1000</v>
      </c>
    </row>
    <row r="364" spans="1:23" x14ac:dyDescent="0.3">
      <c r="A364">
        <v>6382</v>
      </c>
      <c r="B364">
        <v>1</v>
      </c>
      <c r="C364" t="s">
        <v>1336</v>
      </c>
      <c r="D364" t="s">
        <v>1337</v>
      </c>
      <c r="E364" t="s">
        <v>578</v>
      </c>
      <c r="F364" t="s">
        <v>35</v>
      </c>
      <c r="G364" s="2">
        <v>45960</v>
      </c>
      <c r="H364">
        <v>74603513</v>
      </c>
      <c r="I364" t="s">
        <v>1338</v>
      </c>
      <c r="J364" t="s">
        <v>1339</v>
      </c>
      <c r="K364" t="s">
        <v>60</v>
      </c>
      <c r="L364">
        <v>8</v>
      </c>
      <c r="M364">
        <v>8</v>
      </c>
      <c r="N364" t="s">
        <v>1340</v>
      </c>
      <c r="O364" t="s">
        <v>27</v>
      </c>
      <c r="P364" t="s">
        <v>28</v>
      </c>
      <c r="Q364" s="4">
        <v>293304</v>
      </c>
      <c r="R364" s="4">
        <v>4500</v>
      </c>
      <c r="S364" s="4">
        <v>5500</v>
      </c>
      <c r="T364" s="4">
        <f>Tabla1[[#This Row],[OS-Valor Unitario]]-Tabla1[[#This Row],[costo_antes_iva]]</f>
        <v>1000</v>
      </c>
      <c r="U364" s="4">
        <f>Tabla1[[#This Row],[OS-Valor Unitario]]*Tabla1[[#This Row],[OS-Cantidad]]</f>
        <v>44000</v>
      </c>
      <c r="V364" s="4">
        <f>Tabla1[[#This Row],[costo_antes_iva]]*Tabla1[[#This Row],[OS-Cantidad]]</f>
        <v>36000</v>
      </c>
      <c r="W364" s="4">
        <f>Tabla1[[#This Row],[Valor total OS]]-Tabla1[[#This Row],[valor total op]]</f>
        <v>8000</v>
      </c>
    </row>
    <row r="365" spans="1:23" x14ac:dyDescent="0.3">
      <c r="A365">
        <v>6382</v>
      </c>
      <c r="B365">
        <v>1</v>
      </c>
      <c r="C365" t="s">
        <v>1336</v>
      </c>
      <c r="D365" t="s">
        <v>1337</v>
      </c>
      <c r="E365" t="s">
        <v>578</v>
      </c>
      <c r="F365" t="s">
        <v>35</v>
      </c>
      <c r="G365" s="2">
        <v>45960</v>
      </c>
      <c r="H365">
        <v>74603513</v>
      </c>
      <c r="I365" t="s">
        <v>1338</v>
      </c>
      <c r="J365" t="s">
        <v>1339</v>
      </c>
      <c r="K365" t="s">
        <v>25</v>
      </c>
      <c r="L365">
        <v>8</v>
      </c>
      <c r="M365">
        <v>8</v>
      </c>
      <c r="N365" t="s">
        <v>1341</v>
      </c>
      <c r="O365" t="s">
        <v>27</v>
      </c>
      <c r="P365" t="s">
        <v>28</v>
      </c>
      <c r="Q365" s="4">
        <v>293304</v>
      </c>
      <c r="R365" s="4">
        <v>1500</v>
      </c>
      <c r="S365" s="4">
        <v>1500</v>
      </c>
      <c r="T365" s="4">
        <f>Tabla1[[#This Row],[OS-Valor Unitario]]-Tabla1[[#This Row],[costo_antes_iva]]</f>
        <v>0</v>
      </c>
      <c r="U365" s="4">
        <f>Tabla1[[#This Row],[OS-Valor Unitario]]*Tabla1[[#This Row],[OS-Cantidad]]</f>
        <v>12000</v>
      </c>
      <c r="V365" s="4">
        <f>Tabla1[[#This Row],[costo_antes_iva]]*Tabla1[[#This Row],[OS-Cantidad]]</f>
        <v>12000</v>
      </c>
      <c r="W365" s="4">
        <f>Tabla1[[#This Row],[Valor total OS]]-Tabla1[[#This Row],[valor total op]]</f>
        <v>0</v>
      </c>
    </row>
    <row r="366" spans="1:23" x14ac:dyDescent="0.3">
      <c r="A366">
        <v>6382</v>
      </c>
      <c r="B366">
        <v>2</v>
      </c>
      <c r="C366" t="s">
        <v>1342</v>
      </c>
      <c r="D366" t="s">
        <v>1343</v>
      </c>
      <c r="E366" t="s">
        <v>578</v>
      </c>
      <c r="F366" t="s">
        <v>35</v>
      </c>
      <c r="G366" s="2">
        <v>45960</v>
      </c>
      <c r="H366">
        <v>74603520</v>
      </c>
      <c r="I366" t="s">
        <v>1344</v>
      </c>
      <c r="J366" t="s">
        <v>1339</v>
      </c>
      <c r="K366" t="s">
        <v>60</v>
      </c>
      <c r="L366">
        <v>8</v>
      </c>
      <c r="M366">
        <v>8</v>
      </c>
      <c r="N366" t="s">
        <v>1345</v>
      </c>
      <c r="O366" t="s">
        <v>27</v>
      </c>
      <c r="P366" t="s">
        <v>28</v>
      </c>
      <c r="Q366" s="4">
        <v>293304</v>
      </c>
      <c r="R366" s="4">
        <v>4500</v>
      </c>
      <c r="S366" s="4">
        <v>5500</v>
      </c>
      <c r="T366" s="4">
        <f>Tabla1[[#This Row],[OS-Valor Unitario]]-Tabla1[[#This Row],[costo_antes_iva]]</f>
        <v>1000</v>
      </c>
      <c r="U366" s="4">
        <f>Tabla1[[#This Row],[OS-Valor Unitario]]*Tabla1[[#This Row],[OS-Cantidad]]</f>
        <v>44000</v>
      </c>
      <c r="V366" s="4">
        <f>Tabla1[[#This Row],[costo_antes_iva]]*Tabla1[[#This Row],[OS-Cantidad]]</f>
        <v>36000</v>
      </c>
      <c r="W366" s="4">
        <f>Tabla1[[#This Row],[Valor total OS]]-Tabla1[[#This Row],[valor total op]]</f>
        <v>8000</v>
      </c>
    </row>
    <row r="367" spans="1:23" x14ac:dyDescent="0.3">
      <c r="A367">
        <v>6382</v>
      </c>
      <c r="B367">
        <v>2</v>
      </c>
      <c r="C367" t="s">
        <v>1342</v>
      </c>
      <c r="D367" t="s">
        <v>1343</v>
      </c>
      <c r="E367" t="s">
        <v>578</v>
      </c>
      <c r="F367" t="s">
        <v>35</v>
      </c>
      <c r="G367" s="2">
        <v>45960</v>
      </c>
      <c r="H367">
        <v>74603520</v>
      </c>
      <c r="I367" t="s">
        <v>1344</v>
      </c>
      <c r="J367" t="s">
        <v>1339</v>
      </c>
      <c r="K367" t="s">
        <v>25</v>
      </c>
      <c r="L367">
        <v>8</v>
      </c>
      <c r="M367">
        <v>8</v>
      </c>
      <c r="N367" t="s">
        <v>1346</v>
      </c>
      <c r="O367" t="s">
        <v>27</v>
      </c>
      <c r="P367" t="s">
        <v>28</v>
      </c>
      <c r="Q367" s="4">
        <v>293304</v>
      </c>
      <c r="R367" s="4">
        <v>1500</v>
      </c>
      <c r="S367" s="4">
        <v>1500</v>
      </c>
      <c r="T367" s="4">
        <f>Tabla1[[#This Row],[OS-Valor Unitario]]-Tabla1[[#This Row],[costo_antes_iva]]</f>
        <v>0</v>
      </c>
      <c r="U367" s="4">
        <f>Tabla1[[#This Row],[OS-Valor Unitario]]*Tabla1[[#This Row],[OS-Cantidad]]</f>
        <v>12000</v>
      </c>
      <c r="V367" s="4">
        <f>Tabla1[[#This Row],[costo_antes_iva]]*Tabla1[[#This Row],[OS-Cantidad]]</f>
        <v>12000</v>
      </c>
      <c r="W367" s="4">
        <f>Tabla1[[#This Row],[Valor total OS]]-Tabla1[[#This Row],[valor total op]]</f>
        <v>0</v>
      </c>
    </row>
    <row r="368" spans="1:23" x14ac:dyDescent="0.3">
      <c r="A368">
        <v>6382</v>
      </c>
      <c r="B368">
        <v>3</v>
      </c>
      <c r="C368" t="s">
        <v>1347</v>
      </c>
      <c r="D368" t="s">
        <v>1348</v>
      </c>
      <c r="E368" t="s">
        <v>578</v>
      </c>
      <c r="F368" t="s">
        <v>35</v>
      </c>
      <c r="G368" s="2">
        <v>45960</v>
      </c>
      <c r="H368">
        <v>74603527</v>
      </c>
      <c r="I368" t="s">
        <v>1349</v>
      </c>
      <c r="J368" t="s">
        <v>1339</v>
      </c>
      <c r="K368" t="s">
        <v>60</v>
      </c>
      <c r="L368">
        <v>8</v>
      </c>
      <c r="M368">
        <v>8</v>
      </c>
      <c r="N368" t="s">
        <v>1350</v>
      </c>
      <c r="O368" t="s">
        <v>27</v>
      </c>
      <c r="P368" t="s">
        <v>28</v>
      </c>
      <c r="Q368" s="4">
        <v>293304</v>
      </c>
      <c r="R368" s="4">
        <v>4500</v>
      </c>
      <c r="S368" s="4">
        <v>5000</v>
      </c>
      <c r="T368" s="4">
        <f>Tabla1[[#This Row],[OS-Valor Unitario]]-Tabla1[[#This Row],[costo_antes_iva]]</f>
        <v>500</v>
      </c>
      <c r="U368" s="4">
        <f>Tabla1[[#This Row],[OS-Valor Unitario]]*Tabla1[[#This Row],[OS-Cantidad]]</f>
        <v>40000</v>
      </c>
      <c r="V368" s="4">
        <f>Tabla1[[#This Row],[costo_antes_iva]]*Tabla1[[#This Row],[OS-Cantidad]]</f>
        <v>36000</v>
      </c>
      <c r="W368" s="4">
        <f>Tabla1[[#This Row],[Valor total OS]]-Tabla1[[#This Row],[valor total op]]</f>
        <v>4000</v>
      </c>
    </row>
    <row r="369" spans="1:23" x14ac:dyDescent="0.3">
      <c r="A369">
        <v>6382</v>
      </c>
      <c r="B369">
        <v>3</v>
      </c>
      <c r="C369" t="s">
        <v>1347</v>
      </c>
      <c r="D369" t="s">
        <v>1348</v>
      </c>
      <c r="E369" t="s">
        <v>578</v>
      </c>
      <c r="F369" t="s">
        <v>35</v>
      </c>
      <c r="G369" s="2">
        <v>45960</v>
      </c>
      <c r="H369">
        <v>74603527</v>
      </c>
      <c r="I369" t="s">
        <v>1349</v>
      </c>
      <c r="J369" t="s">
        <v>1339</v>
      </c>
      <c r="K369" t="s">
        <v>25</v>
      </c>
      <c r="L369">
        <v>8</v>
      </c>
      <c r="M369">
        <v>8</v>
      </c>
      <c r="N369" t="s">
        <v>1351</v>
      </c>
      <c r="O369" t="s">
        <v>27</v>
      </c>
      <c r="P369" t="s">
        <v>28</v>
      </c>
      <c r="Q369" s="4">
        <v>293304</v>
      </c>
      <c r="R369" s="4">
        <v>1500</v>
      </c>
      <c r="S369" s="4">
        <v>1500</v>
      </c>
      <c r="T369" s="4">
        <f>Tabla1[[#This Row],[OS-Valor Unitario]]-Tabla1[[#This Row],[costo_antes_iva]]</f>
        <v>0</v>
      </c>
      <c r="U369" s="4">
        <f>Tabla1[[#This Row],[OS-Valor Unitario]]*Tabla1[[#This Row],[OS-Cantidad]]</f>
        <v>12000</v>
      </c>
      <c r="V369" s="4">
        <f>Tabla1[[#This Row],[costo_antes_iva]]*Tabla1[[#This Row],[OS-Cantidad]]</f>
        <v>12000</v>
      </c>
      <c r="W369" s="4">
        <f>Tabla1[[#This Row],[Valor total OS]]-Tabla1[[#This Row],[valor total op]]</f>
        <v>0</v>
      </c>
    </row>
    <row r="370" spans="1:23" x14ac:dyDescent="0.3">
      <c r="A370">
        <v>6382</v>
      </c>
      <c r="B370">
        <v>4</v>
      </c>
      <c r="C370" t="s">
        <v>1352</v>
      </c>
      <c r="D370" t="s">
        <v>1353</v>
      </c>
      <c r="E370" t="s">
        <v>578</v>
      </c>
      <c r="F370" t="s">
        <v>35</v>
      </c>
      <c r="G370" s="2">
        <v>45960</v>
      </c>
      <c r="H370">
        <v>74604447</v>
      </c>
      <c r="I370" t="s">
        <v>1354</v>
      </c>
      <c r="J370" t="s">
        <v>1339</v>
      </c>
      <c r="K370" t="s">
        <v>60</v>
      </c>
      <c r="L370">
        <v>2</v>
      </c>
      <c r="M370">
        <v>2</v>
      </c>
      <c r="N370" t="s">
        <v>1355</v>
      </c>
      <c r="O370" t="s">
        <v>27</v>
      </c>
      <c r="P370" t="s">
        <v>28</v>
      </c>
      <c r="Q370" s="4">
        <v>73326</v>
      </c>
      <c r="R370" s="4">
        <v>4500</v>
      </c>
      <c r="S370" s="4">
        <v>5500</v>
      </c>
      <c r="T370" s="4">
        <f>Tabla1[[#This Row],[OS-Valor Unitario]]-Tabla1[[#This Row],[costo_antes_iva]]</f>
        <v>1000</v>
      </c>
      <c r="U370" s="4">
        <f>Tabla1[[#This Row],[OS-Valor Unitario]]*Tabla1[[#This Row],[OS-Cantidad]]</f>
        <v>11000</v>
      </c>
      <c r="V370" s="4">
        <f>Tabla1[[#This Row],[costo_antes_iva]]*Tabla1[[#This Row],[OS-Cantidad]]</f>
        <v>9000</v>
      </c>
      <c r="W370" s="4">
        <f>Tabla1[[#This Row],[Valor total OS]]-Tabla1[[#This Row],[valor total op]]</f>
        <v>2000</v>
      </c>
    </row>
    <row r="371" spans="1:23" x14ac:dyDescent="0.3">
      <c r="A371">
        <v>6382</v>
      </c>
      <c r="B371">
        <v>4</v>
      </c>
      <c r="C371" t="s">
        <v>1352</v>
      </c>
      <c r="D371" t="s">
        <v>1353</v>
      </c>
      <c r="E371" t="s">
        <v>578</v>
      </c>
      <c r="F371" t="s">
        <v>35</v>
      </c>
      <c r="G371" s="2">
        <v>45960</v>
      </c>
      <c r="H371">
        <v>74604447</v>
      </c>
      <c r="I371" t="s">
        <v>1354</v>
      </c>
      <c r="J371" t="s">
        <v>1339</v>
      </c>
      <c r="K371" t="s">
        <v>25</v>
      </c>
      <c r="L371">
        <v>2</v>
      </c>
      <c r="M371">
        <v>2</v>
      </c>
      <c r="N371" t="s">
        <v>1356</v>
      </c>
      <c r="O371" t="s">
        <v>27</v>
      </c>
      <c r="P371" t="s">
        <v>28</v>
      </c>
      <c r="Q371" s="4">
        <v>73326</v>
      </c>
      <c r="R371" s="4">
        <v>1500</v>
      </c>
      <c r="S371" s="4">
        <v>1500</v>
      </c>
      <c r="T371" s="4">
        <f>Tabla1[[#This Row],[OS-Valor Unitario]]-Tabla1[[#This Row],[costo_antes_iva]]</f>
        <v>0</v>
      </c>
      <c r="U371" s="4">
        <f>Tabla1[[#This Row],[OS-Valor Unitario]]*Tabla1[[#This Row],[OS-Cantidad]]</f>
        <v>3000</v>
      </c>
      <c r="V371" s="4">
        <f>Tabla1[[#This Row],[costo_antes_iva]]*Tabla1[[#This Row],[OS-Cantidad]]</f>
        <v>3000</v>
      </c>
      <c r="W371" s="4">
        <f>Tabla1[[#This Row],[Valor total OS]]-Tabla1[[#This Row],[valor total op]]</f>
        <v>0</v>
      </c>
    </row>
    <row r="372" spans="1:23" x14ac:dyDescent="0.3">
      <c r="A372">
        <v>6382</v>
      </c>
      <c r="B372">
        <v>5</v>
      </c>
      <c r="C372" t="s">
        <v>1357</v>
      </c>
      <c r="D372" t="s">
        <v>1358</v>
      </c>
      <c r="E372" t="s">
        <v>578</v>
      </c>
      <c r="F372" t="s">
        <v>35</v>
      </c>
      <c r="G372" s="2">
        <v>45960</v>
      </c>
      <c r="H372">
        <v>74604459</v>
      </c>
      <c r="I372" t="s">
        <v>1359</v>
      </c>
      <c r="J372" t="s">
        <v>1339</v>
      </c>
      <c r="K372" t="s">
        <v>60</v>
      </c>
      <c r="L372">
        <v>2</v>
      </c>
      <c r="M372">
        <v>2</v>
      </c>
      <c r="N372" t="s">
        <v>1360</v>
      </c>
      <c r="O372" t="s">
        <v>27</v>
      </c>
      <c r="P372" t="s">
        <v>28</v>
      </c>
      <c r="Q372" s="4">
        <v>73326</v>
      </c>
      <c r="R372" s="4">
        <v>4500</v>
      </c>
      <c r="S372" s="4">
        <v>5500</v>
      </c>
      <c r="T372" s="4">
        <f>Tabla1[[#This Row],[OS-Valor Unitario]]-Tabla1[[#This Row],[costo_antes_iva]]</f>
        <v>1000</v>
      </c>
      <c r="U372" s="4">
        <f>Tabla1[[#This Row],[OS-Valor Unitario]]*Tabla1[[#This Row],[OS-Cantidad]]</f>
        <v>11000</v>
      </c>
      <c r="V372" s="4">
        <f>Tabla1[[#This Row],[costo_antes_iva]]*Tabla1[[#This Row],[OS-Cantidad]]</f>
        <v>9000</v>
      </c>
      <c r="W372" s="4">
        <f>Tabla1[[#This Row],[Valor total OS]]-Tabla1[[#This Row],[valor total op]]</f>
        <v>2000</v>
      </c>
    </row>
    <row r="373" spans="1:23" x14ac:dyDescent="0.3">
      <c r="A373">
        <v>6382</v>
      </c>
      <c r="B373">
        <v>5</v>
      </c>
      <c r="C373" t="s">
        <v>1357</v>
      </c>
      <c r="D373" t="s">
        <v>1358</v>
      </c>
      <c r="E373" t="s">
        <v>578</v>
      </c>
      <c r="F373" t="s">
        <v>35</v>
      </c>
      <c r="G373" s="2">
        <v>45960</v>
      </c>
      <c r="H373">
        <v>74604459</v>
      </c>
      <c r="I373" t="s">
        <v>1359</v>
      </c>
      <c r="J373" t="s">
        <v>1339</v>
      </c>
      <c r="K373" t="s">
        <v>25</v>
      </c>
      <c r="L373">
        <v>2</v>
      </c>
      <c r="M373">
        <v>2</v>
      </c>
      <c r="N373" t="s">
        <v>1361</v>
      </c>
      <c r="O373" t="s">
        <v>27</v>
      </c>
      <c r="P373" t="s">
        <v>28</v>
      </c>
      <c r="Q373" s="4">
        <v>73326</v>
      </c>
      <c r="R373" s="4">
        <v>1500</v>
      </c>
      <c r="S373" s="4">
        <v>1500</v>
      </c>
      <c r="T373" s="4">
        <f>Tabla1[[#This Row],[OS-Valor Unitario]]-Tabla1[[#This Row],[costo_antes_iva]]</f>
        <v>0</v>
      </c>
      <c r="U373" s="4">
        <f>Tabla1[[#This Row],[OS-Valor Unitario]]*Tabla1[[#This Row],[OS-Cantidad]]</f>
        <v>3000</v>
      </c>
      <c r="V373" s="4">
        <f>Tabla1[[#This Row],[costo_antes_iva]]*Tabla1[[#This Row],[OS-Cantidad]]</f>
        <v>3000</v>
      </c>
      <c r="W373" s="4">
        <f>Tabla1[[#This Row],[Valor total OS]]-Tabla1[[#This Row],[valor total op]]</f>
        <v>0</v>
      </c>
    </row>
    <row r="374" spans="1:23" x14ac:dyDescent="0.3">
      <c r="A374">
        <v>6382</v>
      </c>
      <c r="B374">
        <v>6</v>
      </c>
      <c r="C374" t="s">
        <v>1362</v>
      </c>
      <c r="D374" t="s">
        <v>1363</v>
      </c>
      <c r="E374" t="s">
        <v>578</v>
      </c>
      <c r="F374" t="s">
        <v>35</v>
      </c>
      <c r="G374" s="2">
        <v>45960</v>
      </c>
      <c r="H374">
        <v>74604467</v>
      </c>
      <c r="I374" t="s">
        <v>1338</v>
      </c>
      <c r="J374" t="s">
        <v>1339</v>
      </c>
      <c r="K374" t="s">
        <v>60</v>
      </c>
      <c r="L374">
        <v>2</v>
      </c>
      <c r="M374">
        <v>2</v>
      </c>
      <c r="N374" t="s">
        <v>1364</v>
      </c>
      <c r="O374" t="s">
        <v>27</v>
      </c>
      <c r="P374" t="s">
        <v>28</v>
      </c>
      <c r="Q374" s="4">
        <v>73326</v>
      </c>
      <c r="R374" s="4">
        <v>4500</v>
      </c>
      <c r="S374" s="4">
        <v>5000</v>
      </c>
      <c r="T374" s="4">
        <f>Tabla1[[#This Row],[OS-Valor Unitario]]-Tabla1[[#This Row],[costo_antes_iva]]</f>
        <v>500</v>
      </c>
      <c r="U374" s="4">
        <f>Tabla1[[#This Row],[OS-Valor Unitario]]*Tabla1[[#This Row],[OS-Cantidad]]</f>
        <v>10000</v>
      </c>
      <c r="V374" s="4">
        <f>Tabla1[[#This Row],[costo_antes_iva]]*Tabla1[[#This Row],[OS-Cantidad]]</f>
        <v>9000</v>
      </c>
      <c r="W374" s="4">
        <f>Tabla1[[#This Row],[Valor total OS]]-Tabla1[[#This Row],[valor total op]]</f>
        <v>1000</v>
      </c>
    </row>
    <row r="375" spans="1:23" x14ac:dyDescent="0.3">
      <c r="A375">
        <v>6382</v>
      </c>
      <c r="B375">
        <v>6</v>
      </c>
      <c r="C375" t="s">
        <v>1362</v>
      </c>
      <c r="D375" t="s">
        <v>1363</v>
      </c>
      <c r="E375" t="s">
        <v>578</v>
      </c>
      <c r="F375" t="s">
        <v>35</v>
      </c>
      <c r="G375" s="2">
        <v>45960</v>
      </c>
      <c r="H375">
        <v>74604467</v>
      </c>
      <c r="I375" t="s">
        <v>1338</v>
      </c>
      <c r="J375" t="s">
        <v>1339</v>
      </c>
      <c r="K375" t="s">
        <v>25</v>
      </c>
      <c r="L375">
        <v>2</v>
      </c>
      <c r="M375">
        <v>2</v>
      </c>
      <c r="N375" t="s">
        <v>1365</v>
      </c>
      <c r="O375" t="s">
        <v>27</v>
      </c>
      <c r="P375" t="s">
        <v>28</v>
      </c>
      <c r="Q375" s="4">
        <v>73326</v>
      </c>
      <c r="R375" s="4">
        <v>1500</v>
      </c>
      <c r="S375" s="4">
        <v>1500</v>
      </c>
      <c r="T375" s="4">
        <f>Tabla1[[#This Row],[OS-Valor Unitario]]-Tabla1[[#This Row],[costo_antes_iva]]</f>
        <v>0</v>
      </c>
      <c r="U375" s="4">
        <f>Tabla1[[#This Row],[OS-Valor Unitario]]*Tabla1[[#This Row],[OS-Cantidad]]</f>
        <v>3000</v>
      </c>
      <c r="V375" s="4">
        <f>Tabla1[[#This Row],[costo_antes_iva]]*Tabla1[[#This Row],[OS-Cantidad]]</f>
        <v>3000</v>
      </c>
      <c r="W375" s="4">
        <f>Tabla1[[#This Row],[Valor total OS]]-Tabla1[[#This Row],[valor total op]]</f>
        <v>0</v>
      </c>
    </row>
    <row r="376" spans="1:23" x14ac:dyDescent="0.3">
      <c r="A376">
        <v>6383</v>
      </c>
      <c r="B376">
        <v>1</v>
      </c>
      <c r="C376" t="s">
        <v>1280</v>
      </c>
      <c r="D376" t="s">
        <v>1281</v>
      </c>
      <c r="E376" t="s">
        <v>79</v>
      </c>
      <c r="F376" t="s">
        <v>1265</v>
      </c>
      <c r="G376" s="2">
        <v>45959</v>
      </c>
      <c r="H376">
        <v>74549220</v>
      </c>
      <c r="I376" t="s">
        <v>1282</v>
      </c>
      <c r="J376" t="s">
        <v>1283</v>
      </c>
      <c r="K376" t="s">
        <v>25</v>
      </c>
      <c r="L376">
        <v>41</v>
      </c>
      <c r="M376">
        <v>41</v>
      </c>
      <c r="N376" t="s">
        <v>1284</v>
      </c>
      <c r="O376" t="s">
        <v>27</v>
      </c>
      <c r="P376" t="s">
        <v>85</v>
      </c>
      <c r="Q376" s="4">
        <v>1957299</v>
      </c>
      <c r="R376" s="4">
        <v>1100</v>
      </c>
      <c r="S376" s="4">
        <v>1100</v>
      </c>
      <c r="T376" s="4">
        <f>Tabla1[[#This Row],[OS-Valor Unitario]]-Tabla1[[#This Row],[costo_antes_iva]]</f>
        <v>0</v>
      </c>
      <c r="U376" s="4">
        <f>Tabla1[[#This Row],[OS-Valor Unitario]]*Tabla1[[#This Row],[OS-Cantidad]]</f>
        <v>45100</v>
      </c>
      <c r="V376" s="4">
        <f>Tabla1[[#This Row],[costo_antes_iva]]*Tabla1[[#This Row],[OS-Cantidad]]</f>
        <v>45100</v>
      </c>
      <c r="W376" s="4">
        <f>Tabla1[[#This Row],[Valor total OS]]-Tabla1[[#This Row],[valor total op]]</f>
        <v>0</v>
      </c>
    </row>
    <row r="377" spans="1:23" x14ac:dyDescent="0.3">
      <c r="A377">
        <v>6383</v>
      </c>
      <c r="B377">
        <v>1</v>
      </c>
      <c r="C377" t="s">
        <v>1280</v>
      </c>
      <c r="D377" t="s">
        <v>1281</v>
      </c>
      <c r="E377" t="s">
        <v>79</v>
      </c>
      <c r="F377" t="s">
        <v>1265</v>
      </c>
      <c r="G377" s="2">
        <v>45959</v>
      </c>
      <c r="H377">
        <v>74549220</v>
      </c>
      <c r="I377" t="s">
        <v>1282</v>
      </c>
      <c r="J377" t="s">
        <v>1283</v>
      </c>
      <c r="K377" t="s">
        <v>60</v>
      </c>
      <c r="L377">
        <v>41</v>
      </c>
      <c r="M377">
        <v>42</v>
      </c>
      <c r="N377" t="s">
        <v>1285</v>
      </c>
      <c r="O377" t="s">
        <v>27</v>
      </c>
      <c r="P377" t="s">
        <v>85</v>
      </c>
      <c r="Q377" s="4">
        <v>1957299</v>
      </c>
      <c r="R377" s="4">
        <v>12500</v>
      </c>
      <c r="S377" s="4">
        <v>12500</v>
      </c>
      <c r="T377" s="4">
        <f>Tabla1[[#This Row],[OS-Valor Unitario]]-Tabla1[[#This Row],[costo_antes_iva]]</f>
        <v>0</v>
      </c>
      <c r="U377" s="4">
        <f>Tabla1[[#This Row],[OS-Valor Unitario]]*Tabla1[[#This Row],[OS-Cantidad]]</f>
        <v>525000</v>
      </c>
      <c r="V377" s="4">
        <f>Tabla1[[#This Row],[costo_antes_iva]]*Tabla1[[#This Row],[OS-Cantidad]]</f>
        <v>525000</v>
      </c>
      <c r="W377" s="4">
        <f>Tabla1[[#This Row],[Valor total OS]]-Tabla1[[#This Row],[valor total op]]</f>
        <v>0</v>
      </c>
    </row>
    <row r="378" spans="1:23" x14ac:dyDescent="0.3">
      <c r="A378">
        <v>6383</v>
      </c>
      <c r="B378">
        <v>2</v>
      </c>
      <c r="C378" t="s">
        <v>1286</v>
      </c>
      <c r="D378" t="s">
        <v>1287</v>
      </c>
      <c r="E378" t="s">
        <v>79</v>
      </c>
      <c r="F378" t="s">
        <v>1265</v>
      </c>
      <c r="G378" s="2">
        <v>45959</v>
      </c>
      <c r="H378">
        <v>74549228</v>
      </c>
      <c r="I378" t="s">
        <v>1288</v>
      </c>
      <c r="J378" t="s">
        <v>1283</v>
      </c>
      <c r="K378" t="s">
        <v>25</v>
      </c>
      <c r="L378">
        <v>30</v>
      </c>
      <c r="M378">
        <v>30</v>
      </c>
      <c r="N378" t="s">
        <v>1289</v>
      </c>
      <c r="O378" t="s">
        <v>27</v>
      </c>
      <c r="P378" t="s">
        <v>85</v>
      </c>
      <c r="Q378" s="4">
        <v>1432170</v>
      </c>
      <c r="R378" s="4">
        <v>1100</v>
      </c>
      <c r="S378" s="4">
        <v>1100</v>
      </c>
      <c r="T378" s="4">
        <f>Tabla1[[#This Row],[OS-Valor Unitario]]-Tabla1[[#This Row],[costo_antes_iva]]</f>
        <v>0</v>
      </c>
      <c r="U378" s="4">
        <f>Tabla1[[#This Row],[OS-Valor Unitario]]*Tabla1[[#This Row],[OS-Cantidad]]</f>
        <v>33000</v>
      </c>
      <c r="V378" s="4">
        <f>Tabla1[[#This Row],[costo_antes_iva]]*Tabla1[[#This Row],[OS-Cantidad]]</f>
        <v>33000</v>
      </c>
      <c r="W378" s="4">
        <f>Tabla1[[#This Row],[Valor total OS]]-Tabla1[[#This Row],[valor total op]]</f>
        <v>0</v>
      </c>
    </row>
    <row r="379" spans="1:23" x14ac:dyDescent="0.3">
      <c r="A379">
        <v>6383</v>
      </c>
      <c r="B379">
        <v>2</v>
      </c>
      <c r="C379" t="s">
        <v>1286</v>
      </c>
      <c r="D379" t="s">
        <v>1287</v>
      </c>
      <c r="E379" t="s">
        <v>79</v>
      </c>
      <c r="F379" t="s">
        <v>1265</v>
      </c>
      <c r="G379" s="2">
        <v>45959</v>
      </c>
      <c r="H379">
        <v>74549228</v>
      </c>
      <c r="I379" t="s">
        <v>1288</v>
      </c>
      <c r="J379" t="s">
        <v>1283</v>
      </c>
      <c r="K379" t="s">
        <v>60</v>
      </c>
      <c r="L379">
        <v>30</v>
      </c>
      <c r="M379">
        <v>30</v>
      </c>
      <c r="N379" t="s">
        <v>1290</v>
      </c>
      <c r="O379" t="s">
        <v>27</v>
      </c>
      <c r="P379" t="s">
        <v>85</v>
      </c>
      <c r="Q379" s="4">
        <v>1432170</v>
      </c>
      <c r="R379" s="4">
        <v>12500</v>
      </c>
      <c r="S379" s="4">
        <v>12500</v>
      </c>
      <c r="T379" s="4">
        <f>Tabla1[[#This Row],[OS-Valor Unitario]]-Tabla1[[#This Row],[costo_antes_iva]]</f>
        <v>0</v>
      </c>
      <c r="U379" s="4">
        <f>Tabla1[[#This Row],[OS-Valor Unitario]]*Tabla1[[#This Row],[OS-Cantidad]]</f>
        <v>375000</v>
      </c>
      <c r="V379" s="4">
        <f>Tabla1[[#This Row],[costo_antes_iva]]*Tabla1[[#This Row],[OS-Cantidad]]</f>
        <v>375000</v>
      </c>
      <c r="W379" s="4">
        <f>Tabla1[[#This Row],[Valor total OS]]-Tabla1[[#This Row],[valor total op]]</f>
        <v>0</v>
      </c>
    </row>
    <row r="380" spans="1:23" x14ac:dyDescent="0.3">
      <c r="A380">
        <v>6383</v>
      </c>
      <c r="B380">
        <v>3</v>
      </c>
      <c r="C380" t="s">
        <v>1291</v>
      </c>
      <c r="D380" t="s">
        <v>1292</v>
      </c>
      <c r="E380" t="s">
        <v>79</v>
      </c>
      <c r="F380" t="s">
        <v>1265</v>
      </c>
      <c r="G380" s="2">
        <v>45959</v>
      </c>
      <c r="H380">
        <v>74549234</v>
      </c>
      <c r="I380" t="s">
        <v>1293</v>
      </c>
      <c r="J380" t="s">
        <v>1283</v>
      </c>
      <c r="K380" t="s">
        <v>25</v>
      </c>
      <c r="L380">
        <v>378</v>
      </c>
      <c r="M380">
        <v>378</v>
      </c>
      <c r="N380" t="s">
        <v>1294</v>
      </c>
      <c r="O380" t="s">
        <v>27</v>
      </c>
      <c r="P380" t="s">
        <v>85</v>
      </c>
      <c r="Q380" s="4">
        <v>16143624</v>
      </c>
      <c r="R380" s="4">
        <v>1100</v>
      </c>
      <c r="S380" s="4">
        <v>1100</v>
      </c>
      <c r="T380" s="4">
        <f>Tabla1[[#This Row],[OS-Valor Unitario]]-Tabla1[[#This Row],[costo_antes_iva]]</f>
        <v>0</v>
      </c>
      <c r="U380" s="4">
        <f>Tabla1[[#This Row],[OS-Valor Unitario]]*Tabla1[[#This Row],[OS-Cantidad]]</f>
        <v>415800</v>
      </c>
      <c r="V380" s="4">
        <f>Tabla1[[#This Row],[costo_antes_iva]]*Tabla1[[#This Row],[OS-Cantidad]]</f>
        <v>415800</v>
      </c>
      <c r="W380" s="4">
        <f>Tabla1[[#This Row],[Valor total OS]]-Tabla1[[#This Row],[valor total op]]</f>
        <v>0</v>
      </c>
    </row>
    <row r="381" spans="1:23" x14ac:dyDescent="0.3">
      <c r="A381">
        <v>6383</v>
      </c>
      <c r="B381">
        <v>3</v>
      </c>
      <c r="C381" t="s">
        <v>1291</v>
      </c>
      <c r="D381" t="s">
        <v>1292</v>
      </c>
      <c r="E381" t="s">
        <v>79</v>
      </c>
      <c r="F381" t="s">
        <v>1265</v>
      </c>
      <c r="G381" s="2">
        <v>45959</v>
      </c>
      <c r="H381">
        <v>74549234</v>
      </c>
      <c r="I381" t="s">
        <v>1293</v>
      </c>
      <c r="J381" t="s">
        <v>1283</v>
      </c>
      <c r="K381" t="s">
        <v>60</v>
      </c>
      <c r="L381">
        <v>378</v>
      </c>
      <c r="M381">
        <v>378</v>
      </c>
      <c r="N381" t="s">
        <v>1295</v>
      </c>
      <c r="O381" t="s">
        <v>27</v>
      </c>
      <c r="P381" t="s">
        <v>85</v>
      </c>
      <c r="Q381" s="4">
        <v>16143624</v>
      </c>
      <c r="R381" s="4">
        <v>12500</v>
      </c>
      <c r="S381" s="4">
        <v>11500</v>
      </c>
      <c r="T381" s="4">
        <f>Tabla1[[#This Row],[OS-Valor Unitario]]-Tabla1[[#This Row],[costo_antes_iva]]</f>
        <v>-1000</v>
      </c>
      <c r="U381" s="4">
        <f>Tabla1[[#This Row],[OS-Valor Unitario]]*Tabla1[[#This Row],[OS-Cantidad]]</f>
        <v>4347000</v>
      </c>
      <c r="V381" s="4">
        <f>Tabla1[[#This Row],[costo_antes_iva]]*Tabla1[[#This Row],[OS-Cantidad]]</f>
        <v>4725000</v>
      </c>
      <c r="W381" s="4">
        <f>Tabla1[[#This Row],[Valor total OS]]-Tabla1[[#This Row],[valor total op]]</f>
        <v>-378000</v>
      </c>
    </row>
    <row r="382" spans="1:23" x14ac:dyDescent="0.3">
      <c r="A382">
        <v>6383</v>
      </c>
      <c r="B382">
        <v>4</v>
      </c>
      <c r="C382" t="s">
        <v>1296</v>
      </c>
      <c r="D382" t="s">
        <v>1297</v>
      </c>
      <c r="E382" t="s">
        <v>232</v>
      </c>
      <c r="F382" t="s">
        <v>1265</v>
      </c>
      <c r="G382" s="2">
        <v>45959</v>
      </c>
      <c r="H382">
        <v>74549241</v>
      </c>
      <c r="I382" t="s">
        <v>1298</v>
      </c>
      <c r="J382" t="s">
        <v>1283</v>
      </c>
      <c r="K382" t="s">
        <v>25</v>
      </c>
      <c r="L382">
        <v>196</v>
      </c>
      <c r="M382">
        <v>196</v>
      </c>
      <c r="N382" t="s">
        <v>1299</v>
      </c>
      <c r="O382" t="s">
        <v>27</v>
      </c>
      <c r="P382" t="s">
        <v>85</v>
      </c>
      <c r="Q382" s="4">
        <v>8370768</v>
      </c>
      <c r="R382" s="4">
        <v>1100</v>
      </c>
      <c r="S382" s="4">
        <v>1100</v>
      </c>
      <c r="T382" s="4">
        <f>Tabla1[[#This Row],[OS-Valor Unitario]]-Tabla1[[#This Row],[costo_antes_iva]]</f>
        <v>0</v>
      </c>
      <c r="U382" s="4">
        <f>Tabla1[[#This Row],[OS-Valor Unitario]]*Tabla1[[#This Row],[OS-Cantidad]]</f>
        <v>215600</v>
      </c>
      <c r="V382" s="4">
        <f>Tabla1[[#This Row],[costo_antes_iva]]*Tabla1[[#This Row],[OS-Cantidad]]</f>
        <v>215600</v>
      </c>
      <c r="W382" s="4">
        <f>Tabla1[[#This Row],[Valor total OS]]-Tabla1[[#This Row],[valor total op]]</f>
        <v>0</v>
      </c>
    </row>
    <row r="383" spans="1:23" x14ac:dyDescent="0.3">
      <c r="A383">
        <v>6383</v>
      </c>
      <c r="B383">
        <v>4</v>
      </c>
      <c r="C383" t="s">
        <v>1296</v>
      </c>
      <c r="D383" t="s">
        <v>1297</v>
      </c>
      <c r="E383" t="s">
        <v>232</v>
      </c>
      <c r="F383" t="s">
        <v>1265</v>
      </c>
      <c r="G383" s="2">
        <v>45959</v>
      </c>
      <c r="H383">
        <v>74549241</v>
      </c>
      <c r="I383" t="s">
        <v>1298</v>
      </c>
      <c r="J383" t="s">
        <v>1283</v>
      </c>
      <c r="K383" t="s">
        <v>60</v>
      </c>
      <c r="L383">
        <v>196</v>
      </c>
      <c r="M383">
        <v>196</v>
      </c>
      <c r="N383" t="s">
        <v>1300</v>
      </c>
      <c r="O383" t="s">
        <v>27</v>
      </c>
      <c r="P383" t="s">
        <v>85</v>
      </c>
      <c r="Q383" s="4">
        <v>8370768</v>
      </c>
      <c r="R383" s="4">
        <v>12500</v>
      </c>
      <c r="S383" s="4">
        <v>11500</v>
      </c>
      <c r="T383" s="4">
        <f>Tabla1[[#This Row],[OS-Valor Unitario]]-Tabla1[[#This Row],[costo_antes_iva]]</f>
        <v>-1000</v>
      </c>
      <c r="U383" s="4">
        <f>Tabla1[[#This Row],[OS-Valor Unitario]]*Tabla1[[#This Row],[OS-Cantidad]]</f>
        <v>2254000</v>
      </c>
      <c r="V383" s="4">
        <f>Tabla1[[#This Row],[costo_antes_iva]]*Tabla1[[#This Row],[OS-Cantidad]]</f>
        <v>2450000</v>
      </c>
      <c r="W383" s="4">
        <f>Tabla1[[#This Row],[Valor total OS]]-Tabla1[[#This Row],[valor total op]]</f>
        <v>-196000</v>
      </c>
    </row>
    <row r="384" spans="1:23" x14ac:dyDescent="0.3">
      <c r="A384">
        <v>6383</v>
      </c>
      <c r="B384">
        <v>5</v>
      </c>
      <c r="C384" t="s">
        <v>1301</v>
      </c>
      <c r="D384" t="s">
        <v>1302</v>
      </c>
      <c r="E384" t="s">
        <v>396</v>
      </c>
      <c r="F384" t="s">
        <v>1265</v>
      </c>
      <c r="G384" s="2">
        <v>45959</v>
      </c>
      <c r="H384">
        <v>74549252</v>
      </c>
      <c r="I384" t="s">
        <v>1303</v>
      </c>
      <c r="J384" t="s">
        <v>1283</v>
      </c>
      <c r="K384" t="s">
        <v>60</v>
      </c>
      <c r="L384">
        <v>241</v>
      </c>
      <c r="M384">
        <v>244</v>
      </c>
      <c r="N384" t="s">
        <v>1304</v>
      </c>
      <c r="O384" t="s">
        <v>27</v>
      </c>
      <c r="P384" t="s">
        <v>72</v>
      </c>
      <c r="Q384" s="4">
        <v>12143026</v>
      </c>
      <c r="R384" s="4">
        <v>11000</v>
      </c>
      <c r="S384" s="4">
        <v>11500</v>
      </c>
      <c r="T384" s="4">
        <f>Tabla1[[#This Row],[OS-Valor Unitario]]-Tabla1[[#This Row],[costo_antes_iva]]</f>
        <v>500</v>
      </c>
      <c r="U384" s="4">
        <f>Tabla1[[#This Row],[OS-Valor Unitario]]*Tabla1[[#This Row],[OS-Cantidad]]</f>
        <v>2806000</v>
      </c>
      <c r="V384" s="4">
        <f>Tabla1[[#This Row],[costo_antes_iva]]*Tabla1[[#This Row],[OS-Cantidad]]</f>
        <v>2684000</v>
      </c>
      <c r="W384" s="4">
        <f>Tabla1[[#This Row],[Valor total OS]]-Tabla1[[#This Row],[valor total op]]</f>
        <v>122000</v>
      </c>
    </row>
    <row r="385" spans="1:23" x14ac:dyDescent="0.3">
      <c r="A385">
        <v>6383</v>
      </c>
      <c r="B385">
        <v>6</v>
      </c>
      <c r="C385" t="s">
        <v>1305</v>
      </c>
      <c r="D385" t="s">
        <v>1306</v>
      </c>
      <c r="E385" t="s">
        <v>396</v>
      </c>
      <c r="F385" t="s">
        <v>1265</v>
      </c>
      <c r="G385" s="2">
        <v>45959</v>
      </c>
      <c r="H385">
        <v>74549343</v>
      </c>
      <c r="I385" t="s">
        <v>1307</v>
      </c>
      <c r="J385" t="s">
        <v>1283</v>
      </c>
      <c r="K385" t="s">
        <v>60</v>
      </c>
      <c r="L385">
        <v>232</v>
      </c>
      <c r="M385">
        <v>232</v>
      </c>
      <c r="N385" t="s">
        <v>1308</v>
      </c>
      <c r="O385" t="s">
        <v>27</v>
      </c>
      <c r="P385" t="s">
        <v>72</v>
      </c>
      <c r="Q385" s="4">
        <v>11689552</v>
      </c>
      <c r="R385" s="4">
        <v>11000</v>
      </c>
      <c r="S385" s="4">
        <v>11000</v>
      </c>
      <c r="T385" s="4">
        <f>Tabla1[[#This Row],[OS-Valor Unitario]]-Tabla1[[#This Row],[costo_antes_iva]]</f>
        <v>0</v>
      </c>
      <c r="U385" s="4">
        <f>Tabla1[[#This Row],[OS-Valor Unitario]]*Tabla1[[#This Row],[OS-Cantidad]]</f>
        <v>2552000</v>
      </c>
      <c r="V385" s="4">
        <f>Tabla1[[#This Row],[costo_antes_iva]]*Tabla1[[#This Row],[OS-Cantidad]]</f>
        <v>2552000</v>
      </c>
      <c r="W385" s="4">
        <f>Tabla1[[#This Row],[Valor total OS]]-Tabla1[[#This Row],[valor total op]]</f>
        <v>0</v>
      </c>
    </row>
    <row r="386" spans="1:23" x14ac:dyDescent="0.3">
      <c r="A386">
        <v>6383</v>
      </c>
      <c r="B386">
        <v>7</v>
      </c>
      <c r="C386" t="s">
        <v>1309</v>
      </c>
      <c r="D386" t="s">
        <v>1310</v>
      </c>
      <c r="E386" t="s">
        <v>396</v>
      </c>
      <c r="F386" t="s">
        <v>1265</v>
      </c>
      <c r="G386" s="2">
        <v>45959</v>
      </c>
      <c r="H386">
        <v>74549355</v>
      </c>
      <c r="I386" t="s">
        <v>1311</v>
      </c>
      <c r="J386" t="s">
        <v>1283</v>
      </c>
      <c r="K386" t="s">
        <v>60</v>
      </c>
      <c r="L386">
        <v>15</v>
      </c>
      <c r="M386">
        <v>15</v>
      </c>
      <c r="N386" t="s">
        <v>1312</v>
      </c>
      <c r="O386" t="s">
        <v>27</v>
      </c>
      <c r="P386" t="s">
        <v>72</v>
      </c>
      <c r="Q386" s="4">
        <v>774075</v>
      </c>
      <c r="R386" s="4">
        <v>11000</v>
      </c>
      <c r="S386" s="4">
        <v>11000</v>
      </c>
      <c r="T386" s="4">
        <f>Tabla1[[#This Row],[OS-Valor Unitario]]-Tabla1[[#This Row],[costo_antes_iva]]</f>
        <v>0</v>
      </c>
      <c r="U386" s="4">
        <f>Tabla1[[#This Row],[OS-Valor Unitario]]*Tabla1[[#This Row],[OS-Cantidad]]</f>
        <v>165000</v>
      </c>
      <c r="V386" s="4">
        <f>Tabla1[[#This Row],[costo_antes_iva]]*Tabla1[[#This Row],[OS-Cantidad]]</f>
        <v>165000</v>
      </c>
      <c r="W386" s="4">
        <f>Tabla1[[#This Row],[Valor total OS]]-Tabla1[[#This Row],[valor total op]]</f>
        <v>0</v>
      </c>
    </row>
    <row r="387" spans="1:23" x14ac:dyDescent="0.3">
      <c r="A387">
        <v>6383</v>
      </c>
      <c r="B387">
        <v>8</v>
      </c>
      <c r="C387" t="s">
        <v>1313</v>
      </c>
      <c r="D387" t="s">
        <v>1314</v>
      </c>
      <c r="E387" t="s">
        <v>396</v>
      </c>
      <c r="F387" t="s">
        <v>1265</v>
      </c>
      <c r="G387" s="2">
        <v>45959</v>
      </c>
      <c r="H387">
        <v>74549361</v>
      </c>
      <c r="I387" t="s">
        <v>1315</v>
      </c>
      <c r="J387" t="s">
        <v>1283</v>
      </c>
      <c r="K387" t="s">
        <v>60</v>
      </c>
      <c r="L387">
        <v>16</v>
      </c>
      <c r="M387">
        <v>16</v>
      </c>
      <c r="N387" t="s">
        <v>1316</v>
      </c>
      <c r="O387" t="s">
        <v>27</v>
      </c>
      <c r="P387" t="s">
        <v>72</v>
      </c>
      <c r="Q387" s="4">
        <v>825680</v>
      </c>
      <c r="R387" s="4">
        <v>11000</v>
      </c>
      <c r="S387" s="4">
        <v>11500</v>
      </c>
      <c r="T387" s="4">
        <f>Tabla1[[#This Row],[OS-Valor Unitario]]-Tabla1[[#This Row],[costo_antes_iva]]</f>
        <v>500</v>
      </c>
      <c r="U387" s="4">
        <f>Tabla1[[#This Row],[OS-Valor Unitario]]*Tabla1[[#This Row],[OS-Cantidad]]</f>
        <v>184000</v>
      </c>
      <c r="V387" s="4">
        <f>Tabla1[[#This Row],[costo_antes_iva]]*Tabla1[[#This Row],[OS-Cantidad]]</f>
        <v>176000</v>
      </c>
      <c r="W387" s="4">
        <f>Tabla1[[#This Row],[Valor total OS]]-Tabla1[[#This Row],[valor total op]]</f>
        <v>8000</v>
      </c>
    </row>
    <row r="388" spans="1:23" x14ac:dyDescent="0.3">
      <c r="A388">
        <v>6383</v>
      </c>
      <c r="B388">
        <v>11</v>
      </c>
      <c r="C388" t="s">
        <v>1317</v>
      </c>
      <c r="D388" t="s">
        <v>1318</v>
      </c>
      <c r="E388" t="s">
        <v>578</v>
      </c>
      <c r="F388" t="s">
        <v>1265</v>
      </c>
      <c r="G388" s="2">
        <v>45959</v>
      </c>
      <c r="H388">
        <v>74549393</v>
      </c>
      <c r="I388" t="s">
        <v>1319</v>
      </c>
      <c r="J388" t="s">
        <v>1283</v>
      </c>
      <c r="K388" t="s">
        <v>25</v>
      </c>
      <c r="L388">
        <v>43</v>
      </c>
      <c r="M388">
        <v>44</v>
      </c>
      <c r="N388" t="s">
        <v>1320</v>
      </c>
      <c r="O388" t="s">
        <v>27</v>
      </c>
      <c r="P388" t="s">
        <v>28</v>
      </c>
      <c r="Q388" s="4">
        <v>1187660</v>
      </c>
      <c r="R388" s="4">
        <v>1100</v>
      </c>
      <c r="S388" s="4">
        <v>1100</v>
      </c>
      <c r="T388" s="4">
        <f>Tabla1[[#This Row],[OS-Valor Unitario]]-Tabla1[[#This Row],[costo_antes_iva]]</f>
        <v>0</v>
      </c>
      <c r="U388" s="4">
        <f>Tabla1[[#This Row],[OS-Valor Unitario]]*Tabla1[[#This Row],[OS-Cantidad]]</f>
        <v>48400</v>
      </c>
      <c r="V388" s="4">
        <f>Tabla1[[#This Row],[costo_antes_iva]]*Tabla1[[#This Row],[OS-Cantidad]]</f>
        <v>48400</v>
      </c>
      <c r="W388" s="4">
        <f>Tabla1[[#This Row],[Valor total OS]]-Tabla1[[#This Row],[valor total op]]</f>
        <v>0</v>
      </c>
    </row>
    <row r="389" spans="1:23" x14ac:dyDescent="0.3">
      <c r="A389">
        <v>6383</v>
      </c>
      <c r="B389">
        <v>12</v>
      </c>
      <c r="C389" t="s">
        <v>1321</v>
      </c>
      <c r="D389" t="s">
        <v>1322</v>
      </c>
      <c r="E389" t="s">
        <v>578</v>
      </c>
      <c r="F389" t="s">
        <v>1265</v>
      </c>
      <c r="G389" s="2">
        <v>45959</v>
      </c>
      <c r="H389">
        <v>74549401</v>
      </c>
      <c r="I389" t="s">
        <v>1323</v>
      </c>
      <c r="J389" t="s">
        <v>1283</v>
      </c>
      <c r="K389" t="s">
        <v>25</v>
      </c>
      <c r="L389">
        <v>107</v>
      </c>
      <c r="M389">
        <v>108</v>
      </c>
      <c r="N389" t="s">
        <v>1324</v>
      </c>
      <c r="O389" t="s">
        <v>27</v>
      </c>
      <c r="P389" t="s">
        <v>28</v>
      </c>
      <c r="Q389" s="4">
        <v>2899165</v>
      </c>
      <c r="R389" s="4">
        <v>1100</v>
      </c>
      <c r="S389" s="4">
        <v>1100</v>
      </c>
      <c r="T389" s="4">
        <f>Tabla1[[#This Row],[OS-Valor Unitario]]-Tabla1[[#This Row],[costo_antes_iva]]</f>
        <v>0</v>
      </c>
      <c r="U389" s="4">
        <f>Tabla1[[#This Row],[OS-Valor Unitario]]*Tabla1[[#This Row],[OS-Cantidad]]</f>
        <v>118800</v>
      </c>
      <c r="V389" s="4">
        <f>Tabla1[[#This Row],[costo_antes_iva]]*Tabla1[[#This Row],[OS-Cantidad]]</f>
        <v>118800</v>
      </c>
      <c r="W389" s="4">
        <f>Tabla1[[#This Row],[Valor total OS]]-Tabla1[[#This Row],[valor total op]]</f>
        <v>0</v>
      </c>
    </row>
    <row r="390" spans="1:23" x14ac:dyDescent="0.3">
      <c r="A390">
        <v>6383</v>
      </c>
      <c r="B390">
        <v>13</v>
      </c>
      <c r="C390" t="s">
        <v>1325</v>
      </c>
      <c r="D390" t="s">
        <v>1326</v>
      </c>
      <c r="E390" t="s">
        <v>1327</v>
      </c>
      <c r="F390" t="s">
        <v>1265</v>
      </c>
      <c r="G390" s="2">
        <v>45959</v>
      </c>
      <c r="H390">
        <v>74549416</v>
      </c>
      <c r="I390" t="s">
        <v>1328</v>
      </c>
      <c r="J390" t="s">
        <v>1283</v>
      </c>
      <c r="K390" t="s">
        <v>25</v>
      </c>
      <c r="L390">
        <v>15</v>
      </c>
      <c r="M390">
        <v>15</v>
      </c>
      <c r="N390" t="s">
        <v>1329</v>
      </c>
      <c r="O390" t="s">
        <v>27</v>
      </c>
      <c r="P390" t="s">
        <v>169</v>
      </c>
      <c r="Q390" s="4">
        <v>1121745</v>
      </c>
      <c r="R390" s="4">
        <v>1100</v>
      </c>
      <c r="S390" s="4">
        <v>1100</v>
      </c>
      <c r="T390" s="4">
        <f>Tabla1[[#This Row],[OS-Valor Unitario]]-Tabla1[[#This Row],[costo_antes_iva]]</f>
        <v>0</v>
      </c>
      <c r="U390" s="4">
        <f>Tabla1[[#This Row],[OS-Valor Unitario]]*Tabla1[[#This Row],[OS-Cantidad]]</f>
        <v>16500</v>
      </c>
      <c r="V390" s="4">
        <f>Tabla1[[#This Row],[costo_antes_iva]]*Tabla1[[#This Row],[OS-Cantidad]]</f>
        <v>16500</v>
      </c>
      <c r="W390" s="4">
        <f>Tabla1[[#This Row],[Valor total OS]]-Tabla1[[#This Row],[valor total op]]</f>
        <v>0</v>
      </c>
    </row>
    <row r="391" spans="1:23" x14ac:dyDescent="0.3">
      <c r="A391">
        <v>6383</v>
      </c>
      <c r="B391">
        <v>13</v>
      </c>
      <c r="C391" t="s">
        <v>1325</v>
      </c>
      <c r="D391" t="s">
        <v>1326</v>
      </c>
      <c r="E391" t="s">
        <v>1327</v>
      </c>
      <c r="F391" t="s">
        <v>1265</v>
      </c>
      <c r="G391" s="2">
        <v>45959</v>
      </c>
      <c r="H391">
        <v>74549416</v>
      </c>
      <c r="I391" t="s">
        <v>1328</v>
      </c>
      <c r="J391" t="s">
        <v>1283</v>
      </c>
      <c r="K391" t="s">
        <v>60</v>
      </c>
      <c r="L391">
        <v>15</v>
      </c>
      <c r="M391">
        <v>15</v>
      </c>
      <c r="N391" t="s">
        <v>1330</v>
      </c>
      <c r="O391" t="s">
        <v>27</v>
      </c>
      <c r="P391" t="s">
        <v>169</v>
      </c>
      <c r="Q391" s="4">
        <v>1121745</v>
      </c>
      <c r="R391" s="4">
        <v>14500</v>
      </c>
      <c r="S391" s="4">
        <v>14000</v>
      </c>
      <c r="T391" s="4">
        <f>Tabla1[[#This Row],[OS-Valor Unitario]]-Tabla1[[#This Row],[costo_antes_iva]]</f>
        <v>-500</v>
      </c>
      <c r="U391" s="4">
        <f>Tabla1[[#This Row],[OS-Valor Unitario]]*Tabla1[[#This Row],[OS-Cantidad]]</f>
        <v>210000</v>
      </c>
      <c r="V391" s="4">
        <f>Tabla1[[#This Row],[costo_antes_iva]]*Tabla1[[#This Row],[OS-Cantidad]]</f>
        <v>217500</v>
      </c>
      <c r="W391" s="4">
        <f>Tabla1[[#This Row],[Valor total OS]]-Tabla1[[#This Row],[valor total op]]</f>
        <v>-7500</v>
      </c>
    </row>
    <row r="392" spans="1:23" x14ac:dyDescent="0.3">
      <c r="A392">
        <v>6383</v>
      </c>
      <c r="B392">
        <v>14</v>
      </c>
      <c r="C392" t="s">
        <v>1331</v>
      </c>
      <c r="D392" t="s">
        <v>1332</v>
      </c>
      <c r="E392" t="s">
        <v>1327</v>
      </c>
      <c r="F392" t="s">
        <v>1265</v>
      </c>
      <c r="G392" s="2">
        <v>45959</v>
      </c>
      <c r="H392">
        <v>74549428</v>
      </c>
      <c r="I392" t="s">
        <v>1333</v>
      </c>
      <c r="J392" t="s">
        <v>1283</v>
      </c>
      <c r="K392" t="s">
        <v>25</v>
      </c>
      <c r="L392">
        <v>11</v>
      </c>
      <c r="M392">
        <v>11</v>
      </c>
      <c r="N392" t="s">
        <v>1334</v>
      </c>
      <c r="O392" t="s">
        <v>27</v>
      </c>
      <c r="P392" t="s">
        <v>169</v>
      </c>
      <c r="Q392" s="4">
        <v>834339</v>
      </c>
      <c r="R392" s="4">
        <v>1100</v>
      </c>
      <c r="S392" s="4">
        <v>1100</v>
      </c>
      <c r="T392" s="4">
        <f>Tabla1[[#This Row],[OS-Valor Unitario]]-Tabla1[[#This Row],[costo_antes_iva]]</f>
        <v>0</v>
      </c>
      <c r="U392" s="4">
        <f>Tabla1[[#This Row],[OS-Valor Unitario]]*Tabla1[[#This Row],[OS-Cantidad]]</f>
        <v>12100</v>
      </c>
      <c r="V392" s="4">
        <f>Tabla1[[#This Row],[costo_antes_iva]]*Tabla1[[#This Row],[OS-Cantidad]]</f>
        <v>12100</v>
      </c>
      <c r="W392" s="4">
        <f>Tabla1[[#This Row],[Valor total OS]]-Tabla1[[#This Row],[valor total op]]</f>
        <v>0</v>
      </c>
    </row>
    <row r="393" spans="1:23" x14ac:dyDescent="0.3">
      <c r="A393">
        <v>6383</v>
      </c>
      <c r="B393">
        <v>14</v>
      </c>
      <c r="C393" t="s">
        <v>1331</v>
      </c>
      <c r="D393" t="s">
        <v>1332</v>
      </c>
      <c r="E393" t="s">
        <v>1327</v>
      </c>
      <c r="F393" t="s">
        <v>1265</v>
      </c>
      <c r="G393" s="2">
        <v>45959</v>
      </c>
      <c r="H393">
        <v>74549428</v>
      </c>
      <c r="I393" t="s">
        <v>1333</v>
      </c>
      <c r="J393" t="s">
        <v>1283</v>
      </c>
      <c r="K393" t="s">
        <v>60</v>
      </c>
      <c r="L393">
        <v>11</v>
      </c>
      <c r="M393">
        <v>11</v>
      </c>
      <c r="N393" t="s">
        <v>1335</v>
      </c>
      <c r="O393" t="s">
        <v>27</v>
      </c>
      <c r="P393" t="s">
        <v>169</v>
      </c>
      <c r="Q393" s="4">
        <v>834339</v>
      </c>
      <c r="R393" s="4">
        <v>14500</v>
      </c>
      <c r="S393" s="4">
        <v>14000</v>
      </c>
      <c r="T393" s="4">
        <f>Tabla1[[#This Row],[OS-Valor Unitario]]-Tabla1[[#This Row],[costo_antes_iva]]</f>
        <v>-500</v>
      </c>
      <c r="U393" s="4">
        <f>Tabla1[[#This Row],[OS-Valor Unitario]]*Tabla1[[#This Row],[OS-Cantidad]]</f>
        <v>154000</v>
      </c>
      <c r="V393" s="4">
        <f>Tabla1[[#This Row],[costo_antes_iva]]*Tabla1[[#This Row],[OS-Cantidad]]</f>
        <v>159500</v>
      </c>
      <c r="W393" s="4">
        <f>Tabla1[[#This Row],[Valor total OS]]-Tabla1[[#This Row],[valor total op]]</f>
        <v>-5500</v>
      </c>
    </row>
    <row r="394" spans="1:23" x14ac:dyDescent="0.3">
      <c r="A394">
        <v>6381</v>
      </c>
      <c r="B394">
        <v>1</v>
      </c>
      <c r="C394" t="s">
        <v>1366</v>
      </c>
      <c r="D394" t="s">
        <v>1367</v>
      </c>
      <c r="E394" t="s">
        <v>79</v>
      </c>
      <c r="F394" t="s">
        <v>656</v>
      </c>
      <c r="G394" s="2">
        <v>45959</v>
      </c>
      <c r="H394">
        <v>74547203</v>
      </c>
      <c r="I394" t="s">
        <v>1368</v>
      </c>
      <c r="J394" t="s">
        <v>1369</v>
      </c>
      <c r="K394" t="s">
        <v>60</v>
      </c>
      <c r="L394">
        <v>78</v>
      </c>
      <c r="M394">
        <v>78</v>
      </c>
      <c r="N394" t="s">
        <v>1370</v>
      </c>
      <c r="O394" t="s">
        <v>660</v>
      </c>
      <c r="P394" t="s">
        <v>85</v>
      </c>
      <c r="Q394" s="4">
        <v>6038448</v>
      </c>
      <c r="R394" s="4">
        <v>14000</v>
      </c>
      <c r="S394" s="4">
        <v>14000</v>
      </c>
      <c r="T394" s="4">
        <f>Tabla1[[#This Row],[OS-Valor Unitario]]-Tabla1[[#This Row],[costo_antes_iva]]</f>
        <v>0</v>
      </c>
      <c r="U394" s="4">
        <f>Tabla1[[#This Row],[OS-Valor Unitario]]*Tabla1[[#This Row],[OS-Cantidad]]</f>
        <v>1092000</v>
      </c>
      <c r="V394" s="4">
        <f>Tabla1[[#This Row],[costo_antes_iva]]*Tabla1[[#This Row],[OS-Cantidad]]</f>
        <v>1092000</v>
      </c>
      <c r="W394" s="4">
        <f>Tabla1[[#This Row],[Valor total OS]]-Tabla1[[#This Row],[valor total op]]</f>
        <v>0</v>
      </c>
    </row>
    <row r="395" spans="1:23" x14ac:dyDescent="0.3">
      <c r="A395">
        <v>6381</v>
      </c>
      <c r="B395">
        <v>1</v>
      </c>
      <c r="C395" t="s">
        <v>1366</v>
      </c>
      <c r="D395" t="s">
        <v>1367</v>
      </c>
      <c r="E395" t="s">
        <v>79</v>
      </c>
      <c r="F395" t="s">
        <v>656</v>
      </c>
      <c r="G395" s="2">
        <v>45959</v>
      </c>
      <c r="H395">
        <v>74547203</v>
      </c>
      <c r="I395" t="s">
        <v>1368</v>
      </c>
      <c r="J395" t="s">
        <v>1369</v>
      </c>
      <c r="K395" t="s">
        <v>25</v>
      </c>
      <c r="L395">
        <v>78</v>
      </c>
      <c r="M395">
        <v>78</v>
      </c>
      <c r="N395" t="s">
        <v>1371</v>
      </c>
      <c r="O395" t="s">
        <v>660</v>
      </c>
      <c r="P395" t="s">
        <v>85</v>
      </c>
      <c r="Q395" s="4">
        <v>6038448</v>
      </c>
      <c r="R395" s="4">
        <v>1800</v>
      </c>
      <c r="S395" s="4">
        <v>1600</v>
      </c>
      <c r="T395" s="4">
        <f>Tabla1[[#This Row],[OS-Valor Unitario]]-Tabla1[[#This Row],[costo_antes_iva]]</f>
        <v>-200</v>
      </c>
      <c r="U395" s="4">
        <f>Tabla1[[#This Row],[OS-Valor Unitario]]*Tabla1[[#This Row],[OS-Cantidad]]</f>
        <v>124800</v>
      </c>
      <c r="V395" s="4">
        <f>Tabla1[[#This Row],[costo_antes_iva]]*Tabla1[[#This Row],[OS-Cantidad]]</f>
        <v>140400</v>
      </c>
      <c r="W395" s="4">
        <f>Tabla1[[#This Row],[Valor total OS]]-Tabla1[[#This Row],[valor total op]]</f>
        <v>-15600</v>
      </c>
    </row>
    <row r="396" spans="1:23" x14ac:dyDescent="0.3">
      <c r="A396">
        <v>6381</v>
      </c>
      <c r="B396">
        <v>2</v>
      </c>
      <c r="C396" t="s">
        <v>1372</v>
      </c>
      <c r="D396" t="s">
        <v>1373</v>
      </c>
      <c r="E396" t="s">
        <v>396</v>
      </c>
      <c r="F396" t="s">
        <v>656</v>
      </c>
      <c r="G396" s="2">
        <v>45959</v>
      </c>
      <c r="H396">
        <v>74547210</v>
      </c>
      <c r="I396" t="s">
        <v>1374</v>
      </c>
      <c r="J396" t="s">
        <v>1369</v>
      </c>
      <c r="K396" t="s">
        <v>60</v>
      </c>
      <c r="L396">
        <v>52</v>
      </c>
      <c r="M396">
        <v>52</v>
      </c>
      <c r="N396" t="s">
        <v>1375</v>
      </c>
      <c r="O396" t="s">
        <v>660</v>
      </c>
      <c r="P396" t="s">
        <v>72</v>
      </c>
      <c r="Q396" s="4">
        <v>4048304</v>
      </c>
      <c r="R396" s="4">
        <v>12000</v>
      </c>
      <c r="S396" s="4">
        <v>9500</v>
      </c>
      <c r="T396" s="4">
        <f>Tabla1[[#This Row],[OS-Valor Unitario]]-Tabla1[[#This Row],[costo_antes_iva]]</f>
        <v>-2500</v>
      </c>
      <c r="U396" s="4">
        <f>Tabla1[[#This Row],[OS-Valor Unitario]]*Tabla1[[#This Row],[OS-Cantidad]]</f>
        <v>494000</v>
      </c>
      <c r="V396" s="4">
        <f>Tabla1[[#This Row],[costo_antes_iva]]*Tabla1[[#This Row],[OS-Cantidad]]</f>
        <v>624000</v>
      </c>
      <c r="W396" s="4">
        <f>Tabla1[[#This Row],[Valor total OS]]-Tabla1[[#This Row],[valor total op]]</f>
        <v>-130000</v>
      </c>
    </row>
    <row r="397" spans="1:23" x14ac:dyDescent="0.3">
      <c r="A397">
        <v>6381</v>
      </c>
      <c r="B397">
        <v>3</v>
      </c>
      <c r="C397" t="s">
        <v>1376</v>
      </c>
      <c r="D397" t="s">
        <v>1377</v>
      </c>
      <c r="E397" t="s">
        <v>79</v>
      </c>
      <c r="F397" t="s">
        <v>656</v>
      </c>
      <c r="G397" s="2">
        <v>45959</v>
      </c>
      <c r="H397">
        <v>74553143</v>
      </c>
      <c r="I397" t="s">
        <v>1374</v>
      </c>
      <c r="J397" t="s">
        <v>1369</v>
      </c>
      <c r="K397" t="s">
        <v>60</v>
      </c>
      <c r="L397">
        <v>6</v>
      </c>
      <c r="M397">
        <v>6</v>
      </c>
      <c r="N397" t="s">
        <v>1378</v>
      </c>
      <c r="O397" t="s">
        <v>660</v>
      </c>
      <c r="P397" t="s">
        <v>85</v>
      </c>
      <c r="Q397" s="4">
        <v>464496</v>
      </c>
      <c r="R397" s="4">
        <v>14000</v>
      </c>
      <c r="S397" s="4">
        <v>14000</v>
      </c>
      <c r="T397" s="4">
        <f>Tabla1[[#This Row],[OS-Valor Unitario]]-Tabla1[[#This Row],[costo_antes_iva]]</f>
        <v>0</v>
      </c>
      <c r="U397" s="4">
        <f>Tabla1[[#This Row],[OS-Valor Unitario]]*Tabla1[[#This Row],[OS-Cantidad]]</f>
        <v>84000</v>
      </c>
      <c r="V397" s="4">
        <f>Tabla1[[#This Row],[costo_antes_iva]]*Tabla1[[#This Row],[OS-Cantidad]]</f>
        <v>84000</v>
      </c>
      <c r="W397" s="4">
        <f>Tabla1[[#This Row],[Valor total OS]]-Tabla1[[#This Row],[valor total op]]</f>
        <v>0</v>
      </c>
    </row>
    <row r="398" spans="1:23" x14ac:dyDescent="0.3">
      <c r="A398">
        <v>6381</v>
      </c>
      <c r="B398">
        <v>3</v>
      </c>
      <c r="C398" t="s">
        <v>1376</v>
      </c>
      <c r="D398" t="s">
        <v>1377</v>
      </c>
      <c r="E398" t="s">
        <v>79</v>
      </c>
      <c r="F398" t="s">
        <v>656</v>
      </c>
      <c r="G398" s="2">
        <v>45959</v>
      </c>
      <c r="H398">
        <v>74553143</v>
      </c>
      <c r="I398" t="s">
        <v>1374</v>
      </c>
      <c r="J398" t="s">
        <v>1369</v>
      </c>
      <c r="K398" t="s">
        <v>25</v>
      </c>
      <c r="L398">
        <v>6</v>
      </c>
      <c r="M398">
        <v>6</v>
      </c>
      <c r="N398" t="s">
        <v>1379</v>
      </c>
      <c r="O398" t="s">
        <v>660</v>
      </c>
      <c r="P398" t="s">
        <v>85</v>
      </c>
      <c r="Q398" s="4">
        <v>464496</v>
      </c>
      <c r="R398" s="4">
        <v>1800</v>
      </c>
      <c r="S398" s="4">
        <v>1600</v>
      </c>
      <c r="T398" s="4">
        <f>Tabla1[[#This Row],[OS-Valor Unitario]]-Tabla1[[#This Row],[costo_antes_iva]]</f>
        <v>-200</v>
      </c>
      <c r="U398" s="4">
        <f>Tabla1[[#This Row],[OS-Valor Unitario]]*Tabla1[[#This Row],[OS-Cantidad]]</f>
        <v>9600</v>
      </c>
      <c r="V398" s="4">
        <f>Tabla1[[#This Row],[costo_antes_iva]]*Tabla1[[#This Row],[OS-Cantidad]]</f>
        <v>10800</v>
      </c>
      <c r="W398" s="4">
        <f>Tabla1[[#This Row],[Valor total OS]]-Tabla1[[#This Row],[valor total op]]</f>
        <v>-1200</v>
      </c>
    </row>
    <row r="399" spans="1:23" x14ac:dyDescent="0.3">
      <c r="A399">
        <v>6381</v>
      </c>
      <c r="B399">
        <v>4</v>
      </c>
      <c r="C399" t="s">
        <v>1380</v>
      </c>
      <c r="D399" t="s">
        <v>1381</v>
      </c>
      <c r="E399" t="s">
        <v>396</v>
      </c>
      <c r="F399" t="s">
        <v>656</v>
      </c>
      <c r="G399" s="2">
        <v>45959</v>
      </c>
      <c r="H399">
        <v>74553216</v>
      </c>
      <c r="I399" t="s">
        <v>1382</v>
      </c>
      <c r="J399" t="s">
        <v>1369</v>
      </c>
      <c r="K399" t="s">
        <v>60</v>
      </c>
      <c r="L399">
        <v>4</v>
      </c>
      <c r="M399">
        <v>4</v>
      </c>
      <c r="N399" t="s">
        <v>1383</v>
      </c>
      <c r="O399" t="s">
        <v>660</v>
      </c>
      <c r="P399" t="s">
        <v>72</v>
      </c>
      <c r="Q399" s="4">
        <v>311408</v>
      </c>
      <c r="R399" s="4">
        <v>12000</v>
      </c>
      <c r="S399" s="4">
        <v>9500</v>
      </c>
      <c r="T399" s="4">
        <f>Tabla1[[#This Row],[OS-Valor Unitario]]-Tabla1[[#This Row],[costo_antes_iva]]</f>
        <v>-2500</v>
      </c>
      <c r="U399" s="4">
        <f>Tabla1[[#This Row],[OS-Valor Unitario]]*Tabla1[[#This Row],[OS-Cantidad]]</f>
        <v>38000</v>
      </c>
      <c r="V399" s="4">
        <f>Tabla1[[#This Row],[costo_antes_iva]]*Tabla1[[#This Row],[OS-Cantidad]]</f>
        <v>48000</v>
      </c>
      <c r="W399" s="4">
        <f>Tabla1[[#This Row],[Valor total OS]]-Tabla1[[#This Row],[valor total op]]</f>
        <v>-10000</v>
      </c>
    </row>
    <row r="400" spans="1:23" x14ac:dyDescent="0.3">
      <c r="A400">
        <v>6380</v>
      </c>
      <c r="B400">
        <v>2</v>
      </c>
      <c r="C400" t="s">
        <v>1384</v>
      </c>
      <c r="D400" t="s">
        <v>1385</v>
      </c>
      <c r="E400" t="s">
        <v>174</v>
      </c>
      <c r="F400" t="s">
        <v>35</v>
      </c>
      <c r="G400" s="2">
        <v>45959</v>
      </c>
      <c r="H400">
        <v>74551515</v>
      </c>
      <c r="I400" t="s">
        <v>1386</v>
      </c>
      <c r="J400" t="s">
        <v>1387</v>
      </c>
      <c r="K400" t="s">
        <v>60</v>
      </c>
      <c r="L400">
        <v>1</v>
      </c>
      <c r="M400">
        <v>1</v>
      </c>
      <c r="N400" t="s">
        <v>1388</v>
      </c>
      <c r="O400" t="s">
        <v>27</v>
      </c>
      <c r="P400" t="s">
        <v>177</v>
      </c>
      <c r="Q400" s="4">
        <v>76334</v>
      </c>
      <c r="R400" s="4">
        <v>15000</v>
      </c>
      <c r="S400" s="4">
        <v>15000</v>
      </c>
      <c r="T400" s="4">
        <f>Tabla1[[#This Row],[OS-Valor Unitario]]-Tabla1[[#This Row],[costo_antes_iva]]</f>
        <v>0</v>
      </c>
      <c r="U400" s="4">
        <f>Tabla1[[#This Row],[OS-Valor Unitario]]*Tabla1[[#This Row],[OS-Cantidad]]</f>
        <v>15000</v>
      </c>
      <c r="V400" s="4">
        <f>Tabla1[[#This Row],[costo_antes_iva]]*Tabla1[[#This Row],[OS-Cantidad]]</f>
        <v>15000</v>
      </c>
      <c r="W400" s="4">
        <f>Tabla1[[#This Row],[Valor total OS]]-Tabla1[[#This Row],[valor total op]]</f>
        <v>0</v>
      </c>
    </row>
    <row r="401" spans="1:23" x14ac:dyDescent="0.3">
      <c r="A401">
        <v>6379</v>
      </c>
      <c r="B401">
        <v>1</v>
      </c>
      <c r="C401" t="s">
        <v>1389</v>
      </c>
      <c r="D401" t="s">
        <v>1390</v>
      </c>
      <c r="E401" t="s">
        <v>79</v>
      </c>
      <c r="F401" t="s">
        <v>1391</v>
      </c>
      <c r="G401" s="2">
        <v>45958</v>
      </c>
      <c r="H401">
        <v>74473746</v>
      </c>
      <c r="I401" t="s">
        <v>1392</v>
      </c>
      <c r="J401" t="s">
        <v>1393</v>
      </c>
      <c r="K401" t="s">
        <v>25</v>
      </c>
      <c r="L401">
        <v>28</v>
      </c>
      <c r="M401">
        <v>28</v>
      </c>
      <c r="N401" t="s">
        <v>1394</v>
      </c>
      <c r="O401" t="s">
        <v>27</v>
      </c>
      <c r="P401" t="s">
        <v>85</v>
      </c>
      <c r="Q401" s="4">
        <v>1940820</v>
      </c>
      <c r="R401" s="4">
        <v>1400</v>
      </c>
      <c r="S401" s="4">
        <v>1400</v>
      </c>
      <c r="T401" s="4">
        <f>Tabla1[[#This Row],[OS-Valor Unitario]]-Tabla1[[#This Row],[costo_antes_iva]]</f>
        <v>0</v>
      </c>
      <c r="U401" s="4">
        <f>Tabla1[[#This Row],[OS-Valor Unitario]]*Tabla1[[#This Row],[OS-Cantidad]]</f>
        <v>39200</v>
      </c>
      <c r="V401" s="4">
        <f>Tabla1[[#This Row],[costo_antes_iva]]*Tabla1[[#This Row],[OS-Cantidad]]</f>
        <v>39200</v>
      </c>
      <c r="W401" s="4">
        <f>Tabla1[[#This Row],[Valor total OS]]-Tabla1[[#This Row],[valor total op]]</f>
        <v>0</v>
      </c>
    </row>
    <row r="402" spans="1:23" x14ac:dyDescent="0.3">
      <c r="A402">
        <v>6379</v>
      </c>
      <c r="B402">
        <v>1</v>
      </c>
      <c r="C402" t="s">
        <v>1389</v>
      </c>
      <c r="D402" t="s">
        <v>1390</v>
      </c>
      <c r="E402" t="s">
        <v>79</v>
      </c>
      <c r="F402" t="s">
        <v>1391</v>
      </c>
      <c r="G402" s="2">
        <v>45958</v>
      </c>
      <c r="H402">
        <v>74473746</v>
      </c>
      <c r="I402" t="s">
        <v>1392</v>
      </c>
      <c r="J402" t="s">
        <v>1393</v>
      </c>
      <c r="K402" t="s">
        <v>60</v>
      </c>
      <c r="L402">
        <v>28</v>
      </c>
      <c r="M402">
        <v>28</v>
      </c>
      <c r="N402" t="s">
        <v>1395</v>
      </c>
      <c r="O402" t="s">
        <v>27</v>
      </c>
      <c r="P402" t="s">
        <v>85</v>
      </c>
      <c r="Q402" s="4">
        <v>1940820</v>
      </c>
      <c r="R402" s="4">
        <v>12000</v>
      </c>
      <c r="S402" s="4">
        <v>12500</v>
      </c>
      <c r="T402" s="4">
        <f>Tabla1[[#This Row],[OS-Valor Unitario]]-Tabla1[[#This Row],[costo_antes_iva]]</f>
        <v>500</v>
      </c>
      <c r="U402" s="4">
        <f>Tabla1[[#This Row],[OS-Valor Unitario]]*Tabla1[[#This Row],[OS-Cantidad]]</f>
        <v>350000</v>
      </c>
      <c r="V402" s="4">
        <f>Tabla1[[#This Row],[costo_antes_iva]]*Tabla1[[#This Row],[OS-Cantidad]]</f>
        <v>336000</v>
      </c>
      <c r="W402" s="4">
        <f>Tabla1[[#This Row],[Valor total OS]]-Tabla1[[#This Row],[valor total op]]</f>
        <v>14000</v>
      </c>
    </row>
    <row r="403" spans="1:23" x14ac:dyDescent="0.3">
      <c r="A403">
        <v>6379</v>
      </c>
      <c r="B403">
        <v>2</v>
      </c>
      <c r="C403" t="s">
        <v>1396</v>
      </c>
      <c r="D403" t="s">
        <v>1397</v>
      </c>
      <c r="E403" t="s">
        <v>232</v>
      </c>
      <c r="F403" t="s">
        <v>1391</v>
      </c>
      <c r="G403" s="2">
        <v>45958</v>
      </c>
      <c r="H403">
        <v>74473752</v>
      </c>
      <c r="I403" t="s">
        <v>1398</v>
      </c>
      <c r="J403" t="s">
        <v>1393</v>
      </c>
      <c r="K403" t="s">
        <v>25</v>
      </c>
      <c r="L403">
        <v>1</v>
      </c>
      <c r="M403">
        <v>1</v>
      </c>
      <c r="N403" t="s">
        <v>1399</v>
      </c>
      <c r="O403" t="s">
        <v>27</v>
      </c>
      <c r="P403" t="s">
        <v>85</v>
      </c>
      <c r="Q403" s="4">
        <v>72447</v>
      </c>
      <c r="R403" s="4">
        <v>1400</v>
      </c>
      <c r="S403" s="4">
        <v>1400</v>
      </c>
      <c r="T403" s="4">
        <f>Tabla1[[#This Row],[OS-Valor Unitario]]-Tabla1[[#This Row],[costo_antes_iva]]</f>
        <v>0</v>
      </c>
      <c r="U403" s="4">
        <f>Tabla1[[#This Row],[OS-Valor Unitario]]*Tabla1[[#This Row],[OS-Cantidad]]</f>
        <v>1400</v>
      </c>
      <c r="V403" s="4">
        <f>Tabla1[[#This Row],[costo_antes_iva]]*Tabla1[[#This Row],[OS-Cantidad]]</f>
        <v>1400</v>
      </c>
      <c r="W403" s="4">
        <f>Tabla1[[#This Row],[Valor total OS]]-Tabla1[[#This Row],[valor total op]]</f>
        <v>0</v>
      </c>
    </row>
    <row r="404" spans="1:23" x14ac:dyDescent="0.3">
      <c r="A404">
        <v>6379</v>
      </c>
      <c r="B404">
        <v>2</v>
      </c>
      <c r="C404" t="s">
        <v>1396</v>
      </c>
      <c r="D404" t="s">
        <v>1397</v>
      </c>
      <c r="E404" t="s">
        <v>232</v>
      </c>
      <c r="F404" t="s">
        <v>1391</v>
      </c>
      <c r="G404" s="2">
        <v>45958</v>
      </c>
      <c r="H404">
        <v>74473752</v>
      </c>
      <c r="I404" t="s">
        <v>1398</v>
      </c>
      <c r="J404" t="s">
        <v>1393</v>
      </c>
      <c r="K404" t="s">
        <v>60</v>
      </c>
      <c r="L404">
        <v>1</v>
      </c>
      <c r="M404">
        <v>1</v>
      </c>
      <c r="N404" t="s">
        <v>1400</v>
      </c>
      <c r="O404" t="s">
        <v>27</v>
      </c>
      <c r="P404" t="s">
        <v>85</v>
      </c>
      <c r="Q404" s="4">
        <v>72447</v>
      </c>
      <c r="R404" s="4">
        <v>12000</v>
      </c>
      <c r="S404" s="4">
        <v>11500</v>
      </c>
      <c r="T404" s="4">
        <f>Tabla1[[#This Row],[OS-Valor Unitario]]-Tabla1[[#This Row],[costo_antes_iva]]</f>
        <v>-500</v>
      </c>
      <c r="U404" s="4">
        <f>Tabla1[[#This Row],[OS-Valor Unitario]]*Tabla1[[#This Row],[OS-Cantidad]]</f>
        <v>11500</v>
      </c>
      <c r="V404" s="4">
        <f>Tabla1[[#This Row],[costo_antes_iva]]*Tabla1[[#This Row],[OS-Cantidad]]</f>
        <v>12000</v>
      </c>
      <c r="W404" s="4">
        <f>Tabla1[[#This Row],[Valor total OS]]-Tabla1[[#This Row],[valor total op]]</f>
        <v>-500</v>
      </c>
    </row>
    <row r="405" spans="1:23" x14ac:dyDescent="0.3">
      <c r="A405">
        <v>6379</v>
      </c>
      <c r="B405">
        <v>3</v>
      </c>
      <c r="C405" t="s">
        <v>1401</v>
      </c>
      <c r="D405" t="s">
        <v>1402</v>
      </c>
      <c r="E405" t="s">
        <v>845</v>
      </c>
      <c r="F405" t="s">
        <v>1391</v>
      </c>
      <c r="G405" s="2">
        <v>45958</v>
      </c>
      <c r="H405">
        <v>74474148</v>
      </c>
      <c r="I405" t="s">
        <v>1403</v>
      </c>
      <c r="J405" t="s">
        <v>1393</v>
      </c>
      <c r="K405" t="s">
        <v>25</v>
      </c>
      <c r="L405">
        <v>6</v>
      </c>
      <c r="M405">
        <v>6</v>
      </c>
      <c r="N405" t="s">
        <v>1404</v>
      </c>
      <c r="O405" t="s">
        <v>27</v>
      </c>
      <c r="P405" t="s">
        <v>85</v>
      </c>
      <c r="Q405" s="4">
        <v>362862</v>
      </c>
      <c r="R405" s="4">
        <v>1300</v>
      </c>
      <c r="S405" s="4">
        <v>1400</v>
      </c>
      <c r="T405" s="4">
        <f>Tabla1[[#This Row],[OS-Valor Unitario]]-Tabla1[[#This Row],[costo_antes_iva]]</f>
        <v>100</v>
      </c>
      <c r="U405" s="4">
        <f>Tabla1[[#This Row],[OS-Valor Unitario]]*Tabla1[[#This Row],[OS-Cantidad]]</f>
        <v>8400</v>
      </c>
      <c r="V405" s="4">
        <f>Tabla1[[#This Row],[costo_antes_iva]]*Tabla1[[#This Row],[OS-Cantidad]]</f>
        <v>7800</v>
      </c>
      <c r="W405" s="4">
        <f>Tabla1[[#This Row],[Valor total OS]]-Tabla1[[#This Row],[valor total op]]</f>
        <v>600</v>
      </c>
    </row>
    <row r="406" spans="1:23" x14ac:dyDescent="0.3">
      <c r="A406">
        <v>6379</v>
      </c>
      <c r="B406">
        <v>3</v>
      </c>
      <c r="C406" t="s">
        <v>1401</v>
      </c>
      <c r="D406" t="s">
        <v>1402</v>
      </c>
      <c r="E406" t="s">
        <v>845</v>
      </c>
      <c r="F406" t="s">
        <v>1391</v>
      </c>
      <c r="G406" s="2">
        <v>45958</v>
      </c>
      <c r="H406">
        <v>74474148</v>
      </c>
      <c r="I406" t="s">
        <v>1403</v>
      </c>
      <c r="J406" t="s">
        <v>1393</v>
      </c>
      <c r="K406" t="s">
        <v>60</v>
      </c>
      <c r="L406">
        <v>6</v>
      </c>
      <c r="M406">
        <v>6</v>
      </c>
      <c r="N406" t="s">
        <v>1405</v>
      </c>
      <c r="O406" t="s">
        <v>27</v>
      </c>
      <c r="P406" t="s">
        <v>85</v>
      </c>
      <c r="Q406" s="4">
        <v>362862</v>
      </c>
      <c r="R406" s="4">
        <v>12000</v>
      </c>
      <c r="S406" s="4">
        <v>12500</v>
      </c>
      <c r="T406" s="4">
        <f>Tabla1[[#This Row],[OS-Valor Unitario]]-Tabla1[[#This Row],[costo_antes_iva]]</f>
        <v>500</v>
      </c>
      <c r="U406" s="4">
        <f>Tabla1[[#This Row],[OS-Valor Unitario]]*Tabla1[[#This Row],[OS-Cantidad]]</f>
        <v>75000</v>
      </c>
      <c r="V406" s="4">
        <f>Tabla1[[#This Row],[costo_antes_iva]]*Tabla1[[#This Row],[OS-Cantidad]]</f>
        <v>72000</v>
      </c>
      <c r="W406" s="4">
        <f>Tabla1[[#This Row],[Valor total OS]]-Tabla1[[#This Row],[valor total op]]</f>
        <v>3000</v>
      </c>
    </row>
    <row r="407" spans="1:23" x14ac:dyDescent="0.3">
      <c r="A407">
        <v>6379</v>
      </c>
      <c r="B407">
        <v>4</v>
      </c>
      <c r="C407" t="s">
        <v>1406</v>
      </c>
      <c r="D407" t="s">
        <v>1407</v>
      </c>
      <c r="E407" t="s">
        <v>51</v>
      </c>
      <c r="F407" t="s">
        <v>1391</v>
      </c>
      <c r="G407" s="2">
        <v>45958</v>
      </c>
      <c r="H407">
        <v>74474154</v>
      </c>
      <c r="I407" t="s">
        <v>1408</v>
      </c>
      <c r="J407" t="s">
        <v>1393</v>
      </c>
      <c r="K407" t="s">
        <v>25</v>
      </c>
      <c r="L407">
        <v>1</v>
      </c>
      <c r="M407">
        <v>1</v>
      </c>
      <c r="N407" t="s">
        <v>1409</v>
      </c>
      <c r="O407" t="s">
        <v>27</v>
      </c>
      <c r="P407" t="s">
        <v>55</v>
      </c>
      <c r="Q407" s="4">
        <v>56654</v>
      </c>
      <c r="R407" s="4">
        <v>1300</v>
      </c>
      <c r="S407" s="4">
        <v>1400</v>
      </c>
      <c r="T407" s="4">
        <f>Tabla1[[#This Row],[OS-Valor Unitario]]-Tabla1[[#This Row],[costo_antes_iva]]</f>
        <v>100</v>
      </c>
      <c r="U407" s="4">
        <f>Tabla1[[#This Row],[OS-Valor Unitario]]*Tabla1[[#This Row],[OS-Cantidad]]</f>
        <v>1400</v>
      </c>
      <c r="V407" s="4">
        <f>Tabla1[[#This Row],[costo_antes_iva]]*Tabla1[[#This Row],[OS-Cantidad]]</f>
        <v>1300</v>
      </c>
      <c r="W407" s="4">
        <f>Tabla1[[#This Row],[Valor total OS]]-Tabla1[[#This Row],[valor total op]]</f>
        <v>100</v>
      </c>
    </row>
    <row r="408" spans="1:23" x14ac:dyDescent="0.3">
      <c r="A408">
        <v>6379</v>
      </c>
      <c r="B408">
        <v>4</v>
      </c>
      <c r="C408" t="s">
        <v>1406</v>
      </c>
      <c r="D408" t="s">
        <v>1407</v>
      </c>
      <c r="E408" t="s">
        <v>51</v>
      </c>
      <c r="F408" t="s">
        <v>1391</v>
      </c>
      <c r="G408" s="2">
        <v>45958</v>
      </c>
      <c r="H408">
        <v>74474154</v>
      </c>
      <c r="I408" t="s">
        <v>1408</v>
      </c>
      <c r="J408" t="s">
        <v>1393</v>
      </c>
      <c r="K408" t="s">
        <v>60</v>
      </c>
      <c r="L408">
        <v>1</v>
      </c>
      <c r="M408">
        <v>1</v>
      </c>
      <c r="N408" t="s">
        <v>1410</v>
      </c>
      <c r="O408" t="s">
        <v>27</v>
      </c>
      <c r="P408" t="s">
        <v>55</v>
      </c>
      <c r="Q408" s="4">
        <v>56654</v>
      </c>
      <c r="R408" s="4">
        <v>12000</v>
      </c>
      <c r="S408" s="4">
        <v>11500</v>
      </c>
      <c r="T408" s="4">
        <f>Tabla1[[#This Row],[OS-Valor Unitario]]-Tabla1[[#This Row],[costo_antes_iva]]</f>
        <v>-500</v>
      </c>
      <c r="U408" s="4">
        <f>Tabla1[[#This Row],[OS-Valor Unitario]]*Tabla1[[#This Row],[OS-Cantidad]]</f>
        <v>11500</v>
      </c>
      <c r="V408" s="4">
        <f>Tabla1[[#This Row],[costo_antes_iva]]*Tabla1[[#This Row],[OS-Cantidad]]</f>
        <v>12000</v>
      </c>
      <c r="W408" s="4">
        <f>Tabla1[[#This Row],[Valor total OS]]-Tabla1[[#This Row],[valor total op]]</f>
        <v>-500</v>
      </c>
    </row>
    <row r="409" spans="1:23" x14ac:dyDescent="0.3">
      <c r="A409">
        <v>6379</v>
      </c>
      <c r="B409">
        <v>5</v>
      </c>
      <c r="C409" t="s">
        <v>1411</v>
      </c>
      <c r="D409" t="s">
        <v>1412</v>
      </c>
      <c r="E409" t="s">
        <v>96</v>
      </c>
      <c r="F409" t="s">
        <v>1391</v>
      </c>
      <c r="G409" s="2">
        <v>45958</v>
      </c>
      <c r="H409">
        <v>74473763</v>
      </c>
      <c r="I409" t="s">
        <v>1403</v>
      </c>
      <c r="J409" t="s">
        <v>1393</v>
      </c>
      <c r="K409" t="s">
        <v>25</v>
      </c>
      <c r="L409">
        <v>44</v>
      </c>
      <c r="M409">
        <v>44</v>
      </c>
      <c r="N409" t="s">
        <v>1413</v>
      </c>
      <c r="O409" t="s">
        <v>27</v>
      </c>
      <c r="P409" t="s">
        <v>28</v>
      </c>
      <c r="Q409" s="4">
        <v>1259412</v>
      </c>
      <c r="R409" s="4">
        <v>1400</v>
      </c>
      <c r="S409" s="4">
        <v>1400</v>
      </c>
      <c r="T409" s="4">
        <f>Tabla1[[#This Row],[OS-Valor Unitario]]-Tabla1[[#This Row],[costo_antes_iva]]</f>
        <v>0</v>
      </c>
      <c r="U409" s="4">
        <f>Tabla1[[#This Row],[OS-Valor Unitario]]*Tabla1[[#This Row],[OS-Cantidad]]</f>
        <v>61600</v>
      </c>
      <c r="V409" s="4">
        <f>Tabla1[[#This Row],[costo_antes_iva]]*Tabla1[[#This Row],[OS-Cantidad]]</f>
        <v>61600</v>
      </c>
      <c r="W409" s="4">
        <f>Tabla1[[#This Row],[Valor total OS]]-Tabla1[[#This Row],[valor total op]]</f>
        <v>0</v>
      </c>
    </row>
    <row r="410" spans="1:23" x14ac:dyDescent="0.3">
      <c r="A410">
        <v>6379</v>
      </c>
      <c r="B410">
        <v>5</v>
      </c>
      <c r="C410" t="s">
        <v>1411</v>
      </c>
      <c r="D410" t="s">
        <v>1412</v>
      </c>
      <c r="E410" t="s">
        <v>96</v>
      </c>
      <c r="F410" t="s">
        <v>1391</v>
      </c>
      <c r="G410" s="2">
        <v>45958</v>
      </c>
      <c r="H410">
        <v>74473763</v>
      </c>
      <c r="I410" t="s">
        <v>1403</v>
      </c>
      <c r="J410" t="s">
        <v>1393</v>
      </c>
      <c r="K410" t="s">
        <v>60</v>
      </c>
      <c r="L410">
        <v>44</v>
      </c>
      <c r="M410">
        <v>44</v>
      </c>
      <c r="N410" t="s">
        <v>1414</v>
      </c>
      <c r="O410" t="s">
        <v>27</v>
      </c>
      <c r="P410" t="s">
        <v>28</v>
      </c>
      <c r="Q410" s="4">
        <v>1259412</v>
      </c>
      <c r="R410" s="4">
        <v>4500</v>
      </c>
      <c r="S410" s="4">
        <v>5000</v>
      </c>
      <c r="T410" s="4">
        <f>Tabla1[[#This Row],[OS-Valor Unitario]]-Tabla1[[#This Row],[costo_antes_iva]]</f>
        <v>500</v>
      </c>
      <c r="U410" s="4">
        <f>Tabla1[[#This Row],[OS-Valor Unitario]]*Tabla1[[#This Row],[OS-Cantidad]]</f>
        <v>220000</v>
      </c>
      <c r="V410" s="4">
        <f>Tabla1[[#This Row],[costo_antes_iva]]*Tabla1[[#This Row],[OS-Cantidad]]</f>
        <v>198000</v>
      </c>
      <c r="W410" s="4">
        <f>Tabla1[[#This Row],[Valor total OS]]-Tabla1[[#This Row],[valor total op]]</f>
        <v>22000</v>
      </c>
    </row>
    <row r="411" spans="1:23" x14ac:dyDescent="0.3">
      <c r="A411">
        <v>6379</v>
      </c>
      <c r="B411">
        <v>6</v>
      </c>
      <c r="C411" t="s">
        <v>1415</v>
      </c>
      <c r="D411" t="s">
        <v>1416</v>
      </c>
      <c r="E411" t="s">
        <v>96</v>
      </c>
      <c r="F411" t="s">
        <v>1391</v>
      </c>
      <c r="G411" s="2">
        <v>45958</v>
      </c>
      <c r="H411">
        <v>74473757</v>
      </c>
      <c r="I411" t="s">
        <v>1417</v>
      </c>
      <c r="J411" t="s">
        <v>1393</v>
      </c>
      <c r="K411" t="s">
        <v>25</v>
      </c>
      <c r="L411">
        <v>2</v>
      </c>
      <c r="M411">
        <v>2</v>
      </c>
      <c r="N411" t="s">
        <v>1418</v>
      </c>
      <c r="O411" t="s">
        <v>27</v>
      </c>
      <c r="P411" t="s">
        <v>28</v>
      </c>
      <c r="Q411" s="4">
        <v>59220</v>
      </c>
      <c r="R411" s="4">
        <v>1400</v>
      </c>
      <c r="S411" s="4">
        <v>1400</v>
      </c>
      <c r="T411" s="4">
        <f>Tabla1[[#This Row],[OS-Valor Unitario]]-Tabla1[[#This Row],[costo_antes_iva]]</f>
        <v>0</v>
      </c>
      <c r="U411" s="4">
        <f>Tabla1[[#This Row],[OS-Valor Unitario]]*Tabla1[[#This Row],[OS-Cantidad]]</f>
        <v>2800</v>
      </c>
      <c r="V411" s="4">
        <f>Tabla1[[#This Row],[costo_antes_iva]]*Tabla1[[#This Row],[OS-Cantidad]]</f>
        <v>2800</v>
      </c>
      <c r="W411" s="4">
        <f>Tabla1[[#This Row],[Valor total OS]]-Tabla1[[#This Row],[valor total op]]</f>
        <v>0</v>
      </c>
    </row>
    <row r="412" spans="1:23" x14ac:dyDescent="0.3">
      <c r="A412">
        <v>6379</v>
      </c>
      <c r="B412">
        <v>6</v>
      </c>
      <c r="C412" t="s">
        <v>1415</v>
      </c>
      <c r="D412" t="s">
        <v>1416</v>
      </c>
      <c r="E412" t="s">
        <v>96</v>
      </c>
      <c r="F412" t="s">
        <v>1391</v>
      </c>
      <c r="G412" s="2">
        <v>45958</v>
      </c>
      <c r="H412">
        <v>74473757</v>
      </c>
      <c r="I412" t="s">
        <v>1417</v>
      </c>
      <c r="J412" t="s">
        <v>1393</v>
      </c>
      <c r="K412" t="s">
        <v>60</v>
      </c>
      <c r="L412">
        <v>2</v>
      </c>
      <c r="M412">
        <v>2</v>
      </c>
      <c r="N412" t="s">
        <v>1419</v>
      </c>
      <c r="O412" t="s">
        <v>27</v>
      </c>
      <c r="P412" t="s">
        <v>28</v>
      </c>
      <c r="Q412" s="4">
        <v>59220</v>
      </c>
      <c r="R412" s="4">
        <v>4500</v>
      </c>
      <c r="S412" s="4">
        <v>5000</v>
      </c>
      <c r="T412" s="4">
        <f>Tabla1[[#This Row],[OS-Valor Unitario]]-Tabla1[[#This Row],[costo_antes_iva]]</f>
        <v>500</v>
      </c>
      <c r="U412" s="4">
        <f>Tabla1[[#This Row],[OS-Valor Unitario]]*Tabla1[[#This Row],[OS-Cantidad]]</f>
        <v>10000</v>
      </c>
      <c r="V412" s="4">
        <f>Tabla1[[#This Row],[costo_antes_iva]]*Tabla1[[#This Row],[OS-Cantidad]]</f>
        <v>9000</v>
      </c>
      <c r="W412" s="4">
        <f>Tabla1[[#This Row],[Valor total OS]]-Tabla1[[#This Row],[valor total op]]</f>
        <v>1000</v>
      </c>
    </row>
    <row r="413" spans="1:23" x14ac:dyDescent="0.3">
      <c r="A413">
        <v>6379</v>
      </c>
      <c r="B413">
        <v>7</v>
      </c>
      <c r="C413" t="s">
        <v>1420</v>
      </c>
      <c r="D413" t="s">
        <v>1421</v>
      </c>
      <c r="E413" t="s">
        <v>149</v>
      </c>
      <c r="F413" t="s">
        <v>1391</v>
      </c>
      <c r="G413" s="2">
        <v>45958</v>
      </c>
      <c r="H413">
        <v>74473740</v>
      </c>
      <c r="I413" t="s">
        <v>1422</v>
      </c>
      <c r="J413" t="s">
        <v>1393</v>
      </c>
      <c r="K413" t="s">
        <v>60</v>
      </c>
      <c r="L413">
        <v>4</v>
      </c>
      <c r="M413">
        <v>4</v>
      </c>
      <c r="N413" t="s">
        <v>1423</v>
      </c>
      <c r="O413" t="s">
        <v>27</v>
      </c>
      <c r="P413" t="s">
        <v>72</v>
      </c>
      <c r="Q413" s="4">
        <v>229128</v>
      </c>
      <c r="R413" s="4">
        <v>11000</v>
      </c>
      <c r="S413" s="4">
        <v>11700</v>
      </c>
      <c r="T413" s="4">
        <f>Tabla1[[#This Row],[OS-Valor Unitario]]-Tabla1[[#This Row],[costo_antes_iva]]</f>
        <v>700</v>
      </c>
      <c r="U413" s="4">
        <f>Tabla1[[#This Row],[OS-Valor Unitario]]*Tabla1[[#This Row],[OS-Cantidad]]</f>
        <v>46800</v>
      </c>
      <c r="V413" s="4">
        <f>Tabla1[[#This Row],[costo_antes_iva]]*Tabla1[[#This Row],[OS-Cantidad]]</f>
        <v>44000</v>
      </c>
      <c r="W413" s="4">
        <f>Tabla1[[#This Row],[Valor total OS]]-Tabla1[[#This Row],[valor total op]]</f>
        <v>2800</v>
      </c>
    </row>
    <row r="414" spans="1:23" x14ac:dyDescent="0.3">
      <c r="A414">
        <v>6379</v>
      </c>
      <c r="B414">
        <v>8</v>
      </c>
      <c r="C414" t="s">
        <v>1424</v>
      </c>
      <c r="D414" t="s">
        <v>1425</v>
      </c>
      <c r="E414" t="s">
        <v>142</v>
      </c>
      <c r="F414" t="s">
        <v>1391</v>
      </c>
      <c r="G414" s="2">
        <v>45958</v>
      </c>
      <c r="H414">
        <v>74473725</v>
      </c>
      <c r="I414" t="s">
        <v>1426</v>
      </c>
      <c r="J414" t="s">
        <v>1393</v>
      </c>
      <c r="K414" t="s">
        <v>60</v>
      </c>
      <c r="L414">
        <v>86</v>
      </c>
      <c r="M414">
        <v>86</v>
      </c>
      <c r="N414" t="s">
        <v>1427</v>
      </c>
      <c r="O414" t="s">
        <v>27</v>
      </c>
      <c r="P414" t="s">
        <v>72</v>
      </c>
      <c r="Q414" s="4">
        <v>4855388</v>
      </c>
      <c r="R414" s="4">
        <v>11000</v>
      </c>
      <c r="S414" s="4">
        <v>11700</v>
      </c>
      <c r="T414" s="4">
        <f>Tabla1[[#This Row],[OS-Valor Unitario]]-Tabla1[[#This Row],[costo_antes_iva]]</f>
        <v>700</v>
      </c>
      <c r="U414" s="4">
        <f>Tabla1[[#This Row],[OS-Valor Unitario]]*Tabla1[[#This Row],[OS-Cantidad]]</f>
        <v>1006200</v>
      </c>
      <c r="V414" s="4">
        <f>Tabla1[[#This Row],[costo_antes_iva]]*Tabla1[[#This Row],[OS-Cantidad]]</f>
        <v>946000</v>
      </c>
      <c r="W414" s="4">
        <f>Tabla1[[#This Row],[Valor total OS]]-Tabla1[[#This Row],[valor total op]]</f>
        <v>60200</v>
      </c>
    </row>
    <row r="415" spans="1:23" x14ac:dyDescent="0.3">
      <c r="A415">
        <v>6379</v>
      </c>
      <c r="B415">
        <v>9</v>
      </c>
      <c r="C415" t="s">
        <v>1428</v>
      </c>
      <c r="D415" t="s">
        <v>1429</v>
      </c>
      <c r="E415" t="s">
        <v>166</v>
      </c>
      <c r="F415" t="s">
        <v>1391</v>
      </c>
      <c r="G415" s="2">
        <v>45958</v>
      </c>
      <c r="H415">
        <v>74473717</v>
      </c>
      <c r="I415" t="s">
        <v>1430</v>
      </c>
      <c r="J415" t="s">
        <v>1393</v>
      </c>
      <c r="K415" t="s">
        <v>60</v>
      </c>
      <c r="L415">
        <v>29</v>
      </c>
      <c r="M415">
        <v>29</v>
      </c>
      <c r="N415" t="s">
        <v>1431</v>
      </c>
      <c r="O415" t="s">
        <v>27</v>
      </c>
      <c r="P415" t="s">
        <v>169</v>
      </c>
      <c r="Q415" s="4">
        <v>2604751</v>
      </c>
      <c r="R415" s="4">
        <v>16000</v>
      </c>
      <c r="S415" s="4">
        <v>15000</v>
      </c>
      <c r="T415" s="4">
        <f>Tabla1[[#This Row],[OS-Valor Unitario]]-Tabla1[[#This Row],[costo_antes_iva]]</f>
        <v>-1000</v>
      </c>
      <c r="U415" s="4">
        <f>Tabla1[[#This Row],[OS-Valor Unitario]]*Tabla1[[#This Row],[OS-Cantidad]]</f>
        <v>435000</v>
      </c>
      <c r="V415" s="4">
        <f>Tabla1[[#This Row],[costo_antes_iva]]*Tabla1[[#This Row],[OS-Cantidad]]</f>
        <v>464000</v>
      </c>
      <c r="W415" s="4">
        <f>Tabla1[[#This Row],[Valor total OS]]-Tabla1[[#This Row],[valor total op]]</f>
        <v>-29000</v>
      </c>
    </row>
    <row r="416" spans="1:23" x14ac:dyDescent="0.3">
      <c r="A416">
        <v>6378</v>
      </c>
      <c r="B416">
        <v>1</v>
      </c>
      <c r="C416" t="s">
        <v>1432</v>
      </c>
      <c r="D416" t="s">
        <v>1433</v>
      </c>
      <c r="E416" t="s">
        <v>1434</v>
      </c>
      <c r="F416" t="s">
        <v>35</v>
      </c>
      <c r="G416" s="2">
        <v>45958</v>
      </c>
      <c r="H416">
        <v>74463474</v>
      </c>
      <c r="I416" t="s">
        <v>1435</v>
      </c>
      <c r="J416" t="s">
        <v>1436</v>
      </c>
      <c r="K416" t="s">
        <v>60</v>
      </c>
      <c r="L416">
        <v>4</v>
      </c>
      <c r="M416">
        <v>4</v>
      </c>
      <c r="N416" t="s">
        <v>1437</v>
      </c>
      <c r="O416" t="s">
        <v>27</v>
      </c>
      <c r="P416" t="s">
        <v>1073</v>
      </c>
      <c r="Q416" s="4">
        <v>277144</v>
      </c>
      <c r="R416" s="4">
        <v>9500</v>
      </c>
      <c r="S416" s="4">
        <v>25000</v>
      </c>
      <c r="T416" s="4">
        <f>Tabla1[[#This Row],[OS-Valor Unitario]]-Tabla1[[#This Row],[costo_antes_iva]]</f>
        <v>15500</v>
      </c>
      <c r="U416" s="4">
        <f>Tabla1[[#This Row],[OS-Valor Unitario]]*Tabla1[[#This Row],[OS-Cantidad]]</f>
        <v>100000</v>
      </c>
      <c r="V416" s="4">
        <f>Tabla1[[#This Row],[costo_antes_iva]]*Tabla1[[#This Row],[OS-Cantidad]]</f>
        <v>38000</v>
      </c>
      <c r="W416" s="4">
        <f>Tabla1[[#This Row],[Valor total OS]]-Tabla1[[#This Row],[valor total op]]</f>
        <v>62000</v>
      </c>
    </row>
    <row r="417" spans="1:23" x14ac:dyDescent="0.3">
      <c r="A417">
        <v>6378</v>
      </c>
      <c r="B417">
        <v>1</v>
      </c>
      <c r="C417" t="s">
        <v>1432</v>
      </c>
      <c r="D417" t="s">
        <v>1433</v>
      </c>
      <c r="E417" t="s">
        <v>1434</v>
      </c>
      <c r="F417" t="s">
        <v>35</v>
      </c>
      <c r="G417" s="2">
        <v>45958</v>
      </c>
      <c r="H417">
        <v>74463474</v>
      </c>
      <c r="I417" t="s">
        <v>1435</v>
      </c>
      <c r="J417" t="s">
        <v>1436</v>
      </c>
      <c r="K417" t="s">
        <v>25</v>
      </c>
      <c r="L417">
        <v>4</v>
      </c>
      <c r="M417">
        <v>4</v>
      </c>
      <c r="N417" t="s">
        <v>1438</v>
      </c>
      <c r="O417" t="s">
        <v>27</v>
      </c>
      <c r="P417" t="s">
        <v>1073</v>
      </c>
      <c r="Q417" s="4">
        <v>277144</v>
      </c>
      <c r="R417" s="4">
        <v>12500</v>
      </c>
      <c r="S417" s="4">
        <v>11700</v>
      </c>
      <c r="T417" s="4">
        <f>Tabla1[[#This Row],[OS-Valor Unitario]]-Tabla1[[#This Row],[costo_antes_iva]]</f>
        <v>-800</v>
      </c>
      <c r="U417" s="4">
        <f>Tabla1[[#This Row],[OS-Valor Unitario]]*Tabla1[[#This Row],[OS-Cantidad]]</f>
        <v>46800</v>
      </c>
      <c r="V417" s="4">
        <f>Tabla1[[#This Row],[costo_antes_iva]]*Tabla1[[#This Row],[OS-Cantidad]]</f>
        <v>50000</v>
      </c>
      <c r="W417" s="4">
        <f>Tabla1[[#This Row],[Valor total OS]]-Tabla1[[#This Row],[valor total op]]</f>
        <v>-3200</v>
      </c>
    </row>
    <row r="418" spans="1:23" x14ac:dyDescent="0.3">
      <c r="A418">
        <v>6378</v>
      </c>
      <c r="B418">
        <v>2</v>
      </c>
      <c r="C418" t="s">
        <v>1439</v>
      </c>
      <c r="D418" t="s">
        <v>1440</v>
      </c>
      <c r="E418" t="s">
        <v>1434</v>
      </c>
      <c r="F418" t="s">
        <v>35</v>
      </c>
      <c r="G418" s="2">
        <v>45958</v>
      </c>
      <c r="H418">
        <v>74463501</v>
      </c>
      <c r="I418" t="s">
        <v>1435</v>
      </c>
      <c r="J418" t="s">
        <v>1436</v>
      </c>
      <c r="K418" t="s">
        <v>60</v>
      </c>
      <c r="L418">
        <v>1</v>
      </c>
      <c r="M418">
        <v>1</v>
      </c>
      <c r="N418" t="s">
        <v>1441</v>
      </c>
      <c r="O418" t="s">
        <v>27</v>
      </c>
      <c r="P418" t="s">
        <v>1073</v>
      </c>
      <c r="Q418" s="4">
        <v>69286</v>
      </c>
      <c r="R418" s="4">
        <v>9500</v>
      </c>
      <c r="S418" s="4">
        <v>25000</v>
      </c>
      <c r="T418" s="4">
        <f>Tabla1[[#This Row],[OS-Valor Unitario]]-Tabla1[[#This Row],[costo_antes_iva]]</f>
        <v>15500</v>
      </c>
      <c r="U418" s="4">
        <f>Tabla1[[#This Row],[OS-Valor Unitario]]*Tabla1[[#This Row],[OS-Cantidad]]</f>
        <v>25000</v>
      </c>
      <c r="V418" s="4">
        <f>Tabla1[[#This Row],[costo_antes_iva]]*Tabla1[[#This Row],[OS-Cantidad]]</f>
        <v>9500</v>
      </c>
      <c r="W418" s="4">
        <f>Tabla1[[#This Row],[Valor total OS]]-Tabla1[[#This Row],[valor total op]]</f>
        <v>15500</v>
      </c>
    </row>
    <row r="419" spans="1:23" x14ac:dyDescent="0.3">
      <c r="A419">
        <v>6378</v>
      </c>
      <c r="B419">
        <v>2</v>
      </c>
      <c r="C419" t="s">
        <v>1439</v>
      </c>
      <c r="D419" t="s">
        <v>1440</v>
      </c>
      <c r="E419" t="s">
        <v>1434</v>
      </c>
      <c r="F419" t="s">
        <v>35</v>
      </c>
      <c r="G419" s="2">
        <v>45958</v>
      </c>
      <c r="H419">
        <v>74463501</v>
      </c>
      <c r="I419" t="s">
        <v>1435</v>
      </c>
      <c r="J419" t="s">
        <v>1436</v>
      </c>
      <c r="K419" t="s">
        <v>25</v>
      </c>
      <c r="L419">
        <v>1</v>
      </c>
      <c r="M419">
        <v>1</v>
      </c>
      <c r="N419" t="s">
        <v>1442</v>
      </c>
      <c r="O419" t="s">
        <v>27</v>
      </c>
      <c r="P419" t="s">
        <v>1073</v>
      </c>
      <c r="Q419" s="4">
        <v>69286</v>
      </c>
      <c r="R419" s="4">
        <v>12500</v>
      </c>
      <c r="S419" s="4">
        <v>11700</v>
      </c>
      <c r="T419" s="4">
        <f>Tabla1[[#This Row],[OS-Valor Unitario]]-Tabla1[[#This Row],[costo_antes_iva]]</f>
        <v>-800</v>
      </c>
      <c r="U419" s="4">
        <f>Tabla1[[#This Row],[OS-Valor Unitario]]*Tabla1[[#This Row],[OS-Cantidad]]</f>
        <v>11700</v>
      </c>
      <c r="V419" s="4">
        <f>Tabla1[[#This Row],[costo_antes_iva]]*Tabla1[[#This Row],[OS-Cantidad]]</f>
        <v>12500</v>
      </c>
      <c r="W419" s="4">
        <f>Tabla1[[#This Row],[Valor total OS]]-Tabla1[[#This Row],[valor total op]]</f>
        <v>-800</v>
      </c>
    </row>
    <row r="420" spans="1:23" x14ac:dyDescent="0.3">
      <c r="A420">
        <v>6378</v>
      </c>
      <c r="B420">
        <v>3</v>
      </c>
      <c r="C420" t="s">
        <v>1443</v>
      </c>
      <c r="D420" t="s">
        <v>1444</v>
      </c>
      <c r="E420" t="s">
        <v>1434</v>
      </c>
      <c r="F420" t="s">
        <v>35</v>
      </c>
      <c r="G420" s="2">
        <v>45958</v>
      </c>
      <c r="H420">
        <v>74463519</v>
      </c>
      <c r="I420" t="s">
        <v>1445</v>
      </c>
      <c r="J420" t="s">
        <v>1436</v>
      </c>
      <c r="K420" t="s">
        <v>60</v>
      </c>
      <c r="L420">
        <v>4</v>
      </c>
      <c r="M420">
        <v>4</v>
      </c>
      <c r="N420" t="s">
        <v>1446</v>
      </c>
      <c r="O420" t="s">
        <v>27</v>
      </c>
      <c r="P420" t="s">
        <v>1073</v>
      </c>
      <c r="Q420" s="4">
        <v>277144</v>
      </c>
      <c r="R420" s="4">
        <v>9500</v>
      </c>
      <c r="S420" s="4">
        <v>9500</v>
      </c>
      <c r="T420" s="4">
        <f>Tabla1[[#This Row],[OS-Valor Unitario]]-Tabla1[[#This Row],[costo_antes_iva]]</f>
        <v>0</v>
      </c>
      <c r="U420" s="4">
        <f>Tabla1[[#This Row],[OS-Valor Unitario]]*Tabla1[[#This Row],[OS-Cantidad]]</f>
        <v>38000</v>
      </c>
      <c r="V420" s="4">
        <f>Tabla1[[#This Row],[costo_antes_iva]]*Tabla1[[#This Row],[OS-Cantidad]]</f>
        <v>38000</v>
      </c>
      <c r="W420" s="4">
        <f>Tabla1[[#This Row],[Valor total OS]]-Tabla1[[#This Row],[valor total op]]</f>
        <v>0</v>
      </c>
    </row>
    <row r="421" spans="1:23" x14ac:dyDescent="0.3">
      <c r="A421">
        <v>6378</v>
      </c>
      <c r="B421">
        <v>3</v>
      </c>
      <c r="C421" t="s">
        <v>1443</v>
      </c>
      <c r="D421" t="s">
        <v>1444</v>
      </c>
      <c r="E421" t="s">
        <v>1434</v>
      </c>
      <c r="F421" t="s">
        <v>35</v>
      </c>
      <c r="G421" s="2">
        <v>45958</v>
      </c>
      <c r="H421">
        <v>74463519</v>
      </c>
      <c r="I421" t="s">
        <v>1445</v>
      </c>
      <c r="J421" t="s">
        <v>1436</v>
      </c>
      <c r="K421" t="s">
        <v>25</v>
      </c>
      <c r="L421">
        <v>4</v>
      </c>
      <c r="M421">
        <v>4</v>
      </c>
      <c r="N421" t="s">
        <v>1447</v>
      </c>
      <c r="O421" t="s">
        <v>27</v>
      </c>
      <c r="P421" t="s">
        <v>1073</v>
      </c>
      <c r="Q421" s="4">
        <v>277144</v>
      </c>
      <c r="R421" s="4">
        <v>12500</v>
      </c>
      <c r="S421" s="4">
        <v>11700</v>
      </c>
      <c r="T421" s="4">
        <f>Tabla1[[#This Row],[OS-Valor Unitario]]-Tabla1[[#This Row],[costo_antes_iva]]</f>
        <v>-800</v>
      </c>
      <c r="U421" s="4">
        <f>Tabla1[[#This Row],[OS-Valor Unitario]]*Tabla1[[#This Row],[OS-Cantidad]]</f>
        <v>46800</v>
      </c>
      <c r="V421" s="4">
        <f>Tabla1[[#This Row],[costo_antes_iva]]*Tabla1[[#This Row],[OS-Cantidad]]</f>
        <v>50000</v>
      </c>
      <c r="W421" s="4">
        <f>Tabla1[[#This Row],[Valor total OS]]-Tabla1[[#This Row],[valor total op]]</f>
        <v>-3200</v>
      </c>
    </row>
    <row r="422" spans="1:23" x14ac:dyDescent="0.3">
      <c r="A422">
        <v>6378</v>
      </c>
      <c r="B422">
        <v>4</v>
      </c>
      <c r="C422" t="s">
        <v>1448</v>
      </c>
      <c r="D422" t="s">
        <v>1449</v>
      </c>
      <c r="E422" t="s">
        <v>1434</v>
      </c>
      <c r="F422" t="s">
        <v>35</v>
      </c>
      <c r="G422" s="2">
        <v>45958</v>
      </c>
      <c r="H422">
        <v>74463526</v>
      </c>
      <c r="I422" t="s">
        <v>1450</v>
      </c>
      <c r="J422" t="s">
        <v>1436</v>
      </c>
      <c r="K422" t="s">
        <v>60</v>
      </c>
      <c r="L422">
        <v>2</v>
      </c>
      <c r="M422">
        <v>2</v>
      </c>
      <c r="N422" t="s">
        <v>1451</v>
      </c>
      <c r="O422" t="s">
        <v>27</v>
      </c>
      <c r="P422" t="s">
        <v>1073</v>
      </c>
      <c r="Q422" s="4">
        <v>138572</v>
      </c>
      <c r="R422" s="4">
        <v>9500</v>
      </c>
      <c r="S422" s="4">
        <v>9500</v>
      </c>
      <c r="T422" s="4">
        <f>Tabla1[[#This Row],[OS-Valor Unitario]]-Tabla1[[#This Row],[costo_antes_iva]]</f>
        <v>0</v>
      </c>
      <c r="U422" s="4">
        <f>Tabla1[[#This Row],[OS-Valor Unitario]]*Tabla1[[#This Row],[OS-Cantidad]]</f>
        <v>19000</v>
      </c>
      <c r="V422" s="4">
        <f>Tabla1[[#This Row],[costo_antes_iva]]*Tabla1[[#This Row],[OS-Cantidad]]</f>
        <v>19000</v>
      </c>
      <c r="W422" s="4">
        <f>Tabla1[[#This Row],[Valor total OS]]-Tabla1[[#This Row],[valor total op]]</f>
        <v>0</v>
      </c>
    </row>
    <row r="423" spans="1:23" x14ac:dyDescent="0.3">
      <c r="A423">
        <v>6378</v>
      </c>
      <c r="B423">
        <v>4</v>
      </c>
      <c r="C423" t="s">
        <v>1448</v>
      </c>
      <c r="D423" t="s">
        <v>1449</v>
      </c>
      <c r="E423" t="s">
        <v>1434</v>
      </c>
      <c r="F423" t="s">
        <v>35</v>
      </c>
      <c r="G423" s="2">
        <v>45958</v>
      </c>
      <c r="H423">
        <v>74463526</v>
      </c>
      <c r="I423" t="s">
        <v>1450</v>
      </c>
      <c r="J423" t="s">
        <v>1436</v>
      </c>
      <c r="K423" t="s">
        <v>25</v>
      </c>
      <c r="L423">
        <v>2</v>
      </c>
      <c r="M423">
        <v>2</v>
      </c>
      <c r="N423" t="s">
        <v>1452</v>
      </c>
      <c r="O423" t="s">
        <v>27</v>
      </c>
      <c r="P423" t="s">
        <v>1073</v>
      </c>
      <c r="Q423" s="4">
        <v>138572</v>
      </c>
      <c r="R423" s="4">
        <v>12500</v>
      </c>
      <c r="S423" s="4">
        <v>11700</v>
      </c>
      <c r="T423" s="4">
        <f>Tabla1[[#This Row],[OS-Valor Unitario]]-Tabla1[[#This Row],[costo_antes_iva]]</f>
        <v>-800</v>
      </c>
      <c r="U423" s="4">
        <f>Tabla1[[#This Row],[OS-Valor Unitario]]*Tabla1[[#This Row],[OS-Cantidad]]</f>
        <v>23400</v>
      </c>
      <c r="V423" s="4">
        <f>Tabla1[[#This Row],[costo_antes_iva]]*Tabla1[[#This Row],[OS-Cantidad]]</f>
        <v>25000</v>
      </c>
      <c r="W423" s="4">
        <f>Tabla1[[#This Row],[Valor total OS]]-Tabla1[[#This Row],[valor total op]]</f>
        <v>-1600</v>
      </c>
    </row>
    <row r="424" spans="1:23" x14ac:dyDescent="0.3">
      <c r="A424">
        <v>6377</v>
      </c>
      <c r="B424">
        <v>1</v>
      </c>
      <c r="C424" t="s">
        <v>1453</v>
      </c>
      <c r="D424" t="s">
        <v>1454</v>
      </c>
      <c r="E424" t="s">
        <v>232</v>
      </c>
      <c r="F424" t="s">
        <v>35</v>
      </c>
      <c r="G424" s="2">
        <v>45957</v>
      </c>
      <c r="H424">
        <v>74399608</v>
      </c>
      <c r="I424" t="s">
        <v>1455</v>
      </c>
      <c r="J424" t="s">
        <v>1456</v>
      </c>
      <c r="K424" t="s">
        <v>60</v>
      </c>
      <c r="L424">
        <v>11</v>
      </c>
      <c r="M424">
        <v>11</v>
      </c>
      <c r="N424" t="s">
        <v>1457</v>
      </c>
      <c r="O424" t="s">
        <v>27</v>
      </c>
      <c r="P424" t="s">
        <v>85</v>
      </c>
      <c r="Q424" s="4">
        <v>449383</v>
      </c>
      <c r="R424" s="4">
        <v>12500</v>
      </c>
      <c r="S424" s="4">
        <v>12000</v>
      </c>
      <c r="T424" s="4">
        <f>Tabla1[[#This Row],[OS-Valor Unitario]]-Tabla1[[#This Row],[costo_antes_iva]]</f>
        <v>-500</v>
      </c>
      <c r="U424" s="4">
        <f>Tabla1[[#This Row],[OS-Valor Unitario]]*Tabla1[[#This Row],[OS-Cantidad]]</f>
        <v>132000</v>
      </c>
      <c r="V424" s="4">
        <f>Tabla1[[#This Row],[costo_antes_iva]]*Tabla1[[#This Row],[OS-Cantidad]]</f>
        <v>137500</v>
      </c>
      <c r="W424" s="4">
        <f>Tabla1[[#This Row],[Valor total OS]]-Tabla1[[#This Row],[valor total op]]</f>
        <v>-5500</v>
      </c>
    </row>
    <row r="425" spans="1:23" x14ac:dyDescent="0.3">
      <c r="A425">
        <v>6377</v>
      </c>
      <c r="B425">
        <v>1</v>
      </c>
      <c r="C425" t="s">
        <v>1453</v>
      </c>
      <c r="D425" t="s">
        <v>1454</v>
      </c>
      <c r="E425" t="s">
        <v>232</v>
      </c>
      <c r="F425" t="s">
        <v>35</v>
      </c>
      <c r="G425" s="2">
        <v>45957</v>
      </c>
      <c r="H425">
        <v>74399608</v>
      </c>
      <c r="I425" t="s">
        <v>1455</v>
      </c>
      <c r="J425" t="s">
        <v>1456</v>
      </c>
      <c r="K425" t="s">
        <v>25</v>
      </c>
      <c r="L425">
        <v>11</v>
      </c>
      <c r="M425">
        <v>11</v>
      </c>
      <c r="N425" t="s">
        <v>1458</v>
      </c>
      <c r="O425" t="s">
        <v>27</v>
      </c>
      <c r="P425" t="s">
        <v>85</v>
      </c>
      <c r="Q425" s="4">
        <v>449383</v>
      </c>
      <c r="R425" s="4">
        <v>1800</v>
      </c>
      <c r="S425" s="4">
        <v>1650</v>
      </c>
      <c r="T425" s="4">
        <f>Tabla1[[#This Row],[OS-Valor Unitario]]-Tabla1[[#This Row],[costo_antes_iva]]</f>
        <v>-150</v>
      </c>
      <c r="U425" s="4">
        <f>Tabla1[[#This Row],[OS-Valor Unitario]]*Tabla1[[#This Row],[OS-Cantidad]]</f>
        <v>18150</v>
      </c>
      <c r="V425" s="4">
        <f>Tabla1[[#This Row],[costo_antes_iva]]*Tabla1[[#This Row],[OS-Cantidad]]</f>
        <v>19800</v>
      </c>
      <c r="W425" s="4">
        <f>Tabla1[[#This Row],[Valor total OS]]-Tabla1[[#This Row],[valor total op]]</f>
        <v>-1650</v>
      </c>
    </row>
    <row r="426" spans="1:23" x14ac:dyDescent="0.3">
      <c r="A426">
        <v>6377</v>
      </c>
      <c r="B426">
        <v>2</v>
      </c>
      <c r="C426" t="s">
        <v>1459</v>
      </c>
      <c r="D426" t="s">
        <v>1460</v>
      </c>
      <c r="E426" t="s">
        <v>79</v>
      </c>
      <c r="F426" t="s">
        <v>35</v>
      </c>
      <c r="G426" s="2">
        <v>45957</v>
      </c>
      <c r="H426">
        <v>74399614</v>
      </c>
      <c r="I426" t="s">
        <v>1461</v>
      </c>
      <c r="J426" t="s">
        <v>1456</v>
      </c>
      <c r="K426" t="s">
        <v>60</v>
      </c>
      <c r="L426">
        <v>20</v>
      </c>
      <c r="M426">
        <v>20</v>
      </c>
      <c r="N426" t="s">
        <v>1462</v>
      </c>
      <c r="O426" t="s">
        <v>27</v>
      </c>
      <c r="P426" t="s">
        <v>85</v>
      </c>
      <c r="Q426" s="4">
        <v>886180</v>
      </c>
      <c r="R426" s="4">
        <v>12500</v>
      </c>
      <c r="S426" s="4">
        <v>12500</v>
      </c>
      <c r="T426" s="4">
        <f>Tabla1[[#This Row],[OS-Valor Unitario]]-Tabla1[[#This Row],[costo_antes_iva]]</f>
        <v>0</v>
      </c>
      <c r="U426" s="4">
        <f>Tabla1[[#This Row],[OS-Valor Unitario]]*Tabla1[[#This Row],[OS-Cantidad]]</f>
        <v>250000</v>
      </c>
      <c r="V426" s="4">
        <f>Tabla1[[#This Row],[costo_antes_iva]]*Tabla1[[#This Row],[OS-Cantidad]]</f>
        <v>250000</v>
      </c>
      <c r="W426" s="4">
        <f>Tabla1[[#This Row],[Valor total OS]]-Tabla1[[#This Row],[valor total op]]</f>
        <v>0</v>
      </c>
    </row>
    <row r="427" spans="1:23" x14ac:dyDescent="0.3">
      <c r="A427">
        <v>6377</v>
      </c>
      <c r="B427">
        <v>2</v>
      </c>
      <c r="C427" t="s">
        <v>1459</v>
      </c>
      <c r="D427" t="s">
        <v>1460</v>
      </c>
      <c r="E427" t="s">
        <v>79</v>
      </c>
      <c r="F427" t="s">
        <v>35</v>
      </c>
      <c r="G427" s="2">
        <v>45957</v>
      </c>
      <c r="H427">
        <v>74399614</v>
      </c>
      <c r="I427" t="s">
        <v>1461</v>
      </c>
      <c r="J427" t="s">
        <v>1456</v>
      </c>
      <c r="K427" t="s">
        <v>25</v>
      </c>
      <c r="L427">
        <v>20</v>
      </c>
      <c r="M427">
        <v>20</v>
      </c>
      <c r="N427" t="s">
        <v>1463</v>
      </c>
      <c r="O427" t="s">
        <v>27</v>
      </c>
      <c r="P427" t="s">
        <v>85</v>
      </c>
      <c r="Q427" s="4">
        <v>886180</v>
      </c>
      <c r="R427" s="4">
        <v>1800</v>
      </c>
      <c r="S427" s="4">
        <v>1650</v>
      </c>
      <c r="T427" s="4">
        <f>Tabla1[[#This Row],[OS-Valor Unitario]]-Tabla1[[#This Row],[costo_antes_iva]]</f>
        <v>-150</v>
      </c>
      <c r="U427" s="4">
        <f>Tabla1[[#This Row],[OS-Valor Unitario]]*Tabla1[[#This Row],[OS-Cantidad]]</f>
        <v>33000</v>
      </c>
      <c r="V427" s="4">
        <f>Tabla1[[#This Row],[costo_antes_iva]]*Tabla1[[#This Row],[OS-Cantidad]]</f>
        <v>36000</v>
      </c>
      <c r="W427" s="4">
        <f>Tabla1[[#This Row],[Valor total OS]]-Tabla1[[#This Row],[valor total op]]</f>
        <v>-3000</v>
      </c>
    </row>
    <row r="428" spans="1:23" x14ac:dyDescent="0.3">
      <c r="A428">
        <v>6377</v>
      </c>
      <c r="B428">
        <v>3</v>
      </c>
      <c r="C428" t="s">
        <v>1464</v>
      </c>
      <c r="D428" t="s">
        <v>1465</v>
      </c>
      <c r="E428" t="s">
        <v>79</v>
      </c>
      <c r="F428" t="s">
        <v>35</v>
      </c>
      <c r="G428" s="2">
        <v>45957</v>
      </c>
      <c r="H428">
        <v>74399620</v>
      </c>
      <c r="I428" t="s">
        <v>1466</v>
      </c>
      <c r="J428" t="s">
        <v>1456</v>
      </c>
      <c r="K428" t="s">
        <v>60</v>
      </c>
      <c r="L428">
        <v>20</v>
      </c>
      <c r="M428">
        <v>20</v>
      </c>
      <c r="N428" t="s">
        <v>1467</v>
      </c>
      <c r="O428" t="s">
        <v>27</v>
      </c>
      <c r="P428" t="s">
        <v>85</v>
      </c>
      <c r="Q428" s="4">
        <v>886180</v>
      </c>
      <c r="R428" s="4">
        <v>12500</v>
      </c>
      <c r="S428" s="4">
        <v>12500</v>
      </c>
      <c r="T428" s="4">
        <f>Tabla1[[#This Row],[OS-Valor Unitario]]-Tabla1[[#This Row],[costo_antes_iva]]</f>
        <v>0</v>
      </c>
      <c r="U428" s="4">
        <f>Tabla1[[#This Row],[OS-Valor Unitario]]*Tabla1[[#This Row],[OS-Cantidad]]</f>
        <v>250000</v>
      </c>
      <c r="V428" s="4">
        <f>Tabla1[[#This Row],[costo_antes_iva]]*Tabla1[[#This Row],[OS-Cantidad]]</f>
        <v>250000</v>
      </c>
      <c r="W428" s="4">
        <f>Tabla1[[#This Row],[Valor total OS]]-Tabla1[[#This Row],[valor total op]]</f>
        <v>0</v>
      </c>
    </row>
    <row r="429" spans="1:23" x14ac:dyDescent="0.3">
      <c r="A429">
        <v>6377</v>
      </c>
      <c r="B429">
        <v>3</v>
      </c>
      <c r="C429" t="s">
        <v>1464</v>
      </c>
      <c r="D429" t="s">
        <v>1465</v>
      </c>
      <c r="E429" t="s">
        <v>79</v>
      </c>
      <c r="F429" t="s">
        <v>35</v>
      </c>
      <c r="G429" s="2">
        <v>45957</v>
      </c>
      <c r="H429">
        <v>74399620</v>
      </c>
      <c r="I429" t="s">
        <v>1466</v>
      </c>
      <c r="J429" t="s">
        <v>1456</v>
      </c>
      <c r="K429" t="s">
        <v>25</v>
      </c>
      <c r="L429">
        <v>20</v>
      </c>
      <c r="M429">
        <v>20</v>
      </c>
      <c r="N429" t="s">
        <v>1468</v>
      </c>
      <c r="O429" t="s">
        <v>27</v>
      </c>
      <c r="P429" t="s">
        <v>85</v>
      </c>
      <c r="Q429" s="4">
        <v>886180</v>
      </c>
      <c r="R429" s="4">
        <v>1800</v>
      </c>
      <c r="S429" s="4">
        <v>1650</v>
      </c>
      <c r="T429" s="4">
        <f>Tabla1[[#This Row],[OS-Valor Unitario]]-Tabla1[[#This Row],[costo_antes_iva]]</f>
        <v>-150</v>
      </c>
      <c r="U429" s="4">
        <f>Tabla1[[#This Row],[OS-Valor Unitario]]*Tabla1[[#This Row],[OS-Cantidad]]</f>
        <v>33000</v>
      </c>
      <c r="V429" s="4">
        <f>Tabla1[[#This Row],[costo_antes_iva]]*Tabla1[[#This Row],[OS-Cantidad]]</f>
        <v>36000</v>
      </c>
      <c r="W429" s="4">
        <f>Tabla1[[#This Row],[Valor total OS]]-Tabla1[[#This Row],[valor total op]]</f>
        <v>-3000</v>
      </c>
    </row>
    <row r="430" spans="1:23" x14ac:dyDescent="0.3">
      <c r="A430">
        <v>6377</v>
      </c>
      <c r="B430">
        <v>4</v>
      </c>
      <c r="C430" t="s">
        <v>1469</v>
      </c>
      <c r="D430" t="s">
        <v>1470</v>
      </c>
      <c r="E430" t="s">
        <v>232</v>
      </c>
      <c r="F430" t="s">
        <v>35</v>
      </c>
      <c r="G430" s="2">
        <v>45957</v>
      </c>
      <c r="H430">
        <v>74403668</v>
      </c>
      <c r="I430" t="s">
        <v>1466</v>
      </c>
      <c r="J430" t="s">
        <v>1456</v>
      </c>
      <c r="K430" t="s">
        <v>60</v>
      </c>
      <c r="L430">
        <v>11</v>
      </c>
      <c r="M430">
        <v>11</v>
      </c>
      <c r="N430" t="s">
        <v>1471</v>
      </c>
      <c r="O430" t="s">
        <v>27</v>
      </c>
      <c r="P430" t="s">
        <v>85</v>
      </c>
      <c r="Q430" s="4">
        <v>449383</v>
      </c>
      <c r="R430" s="4">
        <v>12500</v>
      </c>
      <c r="S430" s="4">
        <v>12000</v>
      </c>
      <c r="T430" s="4">
        <f>Tabla1[[#This Row],[OS-Valor Unitario]]-Tabla1[[#This Row],[costo_antes_iva]]</f>
        <v>-500</v>
      </c>
      <c r="U430" s="4">
        <f>Tabla1[[#This Row],[OS-Valor Unitario]]*Tabla1[[#This Row],[OS-Cantidad]]</f>
        <v>132000</v>
      </c>
      <c r="V430" s="4">
        <f>Tabla1[[#This Row],[costo_antes_iva]]*Tabla1[[#This Row],[OS-Cantidad]]</f>
        <v>137500</v>
      </c>
      <c r="W430" s="4">
        <f>Tabla1[[#This Row],[Valor total OS]]-Tabla1[[#This Row],[valor total op]]</f>
        <v>-5500</v>
      </c>
    </row>
    <row r="431" spans="1:23" x14ac:dyDescent="0.3">
      <c r="A431">
        <v>6377</v>
      </c>
      <c r="B431">
        <v>4</v>
      </c>
      <c r="C431" t="s">
        <v>1469</v>
      </c>
      <c r="D431" t="s">
        <v>1470</v>
      </c>
      <c r="E431" t="s">
        <v>232</v>
      </c>
      <c r="F431" t="s">
        <v>35</v>
      </c>
      <c r="G431" s="2">
        <v>45957</v>
      </c>
      <c r="H431">
        <v>74403668</v>
      </c>
      <c r="I431" t="s">
        <v>1466</v>
      </c>
      <c r="J431" t="s">
        <v>1456</v>
      </c>
      <c r="K431" t="s">
        <v>25</v>
      </c>
      <c r="L431">
        <v>11</v>
      </c>
      <c r="M431">
        <v>11</v>
      </c>
      <c r="N431" t="s">
        <v>1472</v>
      </c>
      <c r="O431" t="s">
        <v>27</v>
      </c>
      <c r="P431" t="s">
        <v>85</v>
      </c>
      <c r="Q431" s="4">
        <v>449383</v>
      </c>
      <c r="R431" s="4">
        <v>1800</v>
      </c>
      <c r="S431" s="4">
        <v>1650</v>
      </c>
      <c r="T431" s="4">
        <f>Tabla1[[#This Row],[OS-Valor Unitario]]-Tabla1[[#This Row],[costo_antes_iva]]</f>
        <v>-150</v>
      </c>
      <c r="U431" s="4">
        <f>Tabla1[[#This Row],[OS-Valor Unitario]]*Tabla1[[#This Row],[OS-Cantidad]]</f>
        <v>18150</v>
      </c>
      <c r="V431" s="4">
        <f>Tabla1[[#This Row],[costo_antes_iva]]*Tabla1[[#This Row],[OS-Cantidad]]</f>
        <v>19800</v>
      </c>
      <c r="W431" s="4">
        <f>Tabla1[[#This Row],[Valor total OS]]-Tabla1[[#This Row],[valor total op]]</f>
        <v>-1650</v>
      </c>
    </row>
    <row r="432" spans="1:23" x14ac:dyDescent="0.3">
      <c r="A432">
        <v>6376</v>
      </c>
      <c r="B432">
        <v>2</v>
      </c>
      <c r="C432" t="s">
        <v>1473</v>
      </c>
      <c r="D432" t="s">
        <v>1474</v>
      </c>
      <c r="E432" t="s">
        <v>1076</v>
      </c>
      <c r="F432" t="s">
        <v>35</v>
      </c>
      <c r="G432" s="2">
        <v>45957</v>
      </c>
      <c r="H432">
        <v>74394103</v>
      </c>
      <c r="I432" t="s">
        <v>1475</v>
      </c>
      <c r="J432" t="s">
        <v>1476</v>
      </c>
      <c r="K432" t="s">
        <v>60</v>
      </c>
      <c r="L432">
        <v>12</v>
      </c>
      <c r="M432">
        <v>12</v>
      </c>
      <c r="N432" t="s">
        <v>1477</v>
      </c>
      <c r="O432" t="s">
        <v>27</v>
      </c>
      <c r="P432" t="s">
        <v>1079</v>
      </c>
      <c r="Q432" s="4">
        <v>530976</v>
      </c>
      <c r="R432" s="4">
        <v>7000</v>
      </c>
      <c r="S432" s="4">
        <v>5500</v>
      </c>
      <c r="T432" s="4">
        <f>Tabla1[[#This Row],[OS-Valor Unitario]]-Tabla1[[#This Row],[costo_antes_iva]]</f>
        <v>-1500</v>
      </c>
      <c r="U432" s="4">
        <f>Tabla1[[#This Row],[OS-Valor Unitario]]*Tabla1[[#This Row],[OS-Cantidad]]</f>
        <v>66000</v>
      </c>
      <c r="V432" s="4">
        <f>Tabla1[[#This Row],[costo_antes_iva]]*Tabla1[[#This Row],[OS-Cantidad]]</f>
        <v>84000</v>
      </c>
      <c r="W432" s="4">
        <f>Tabla1[[#This Row],[Valor total OS]]-Tabla1[[#This Row],[valor total op]]</f>
        <v>-18000</v>
      </c>
    </row>
    <row r="433" spans="1:23" x14ac:dyDescent="0.3">
      <c r="A433">
        <v>6376</v>
      </c>
      <c r="B433">
        <v>3</v>
      </c>
      <c r="C433" t="s">
        <v>1478</v>
      </c>
      <c r="D433" t="s">
        <v>1479</v>
      </c>
      <c r="E433" t="s">
        <v>1086</v>
      </c>
      <c r="F433" t="s">
        <v>35</v>
      </c>
      <c r="G433" s="2">
        <v>45957</v>
      </c>
      <c r="H433">
        <v>74394176</v>
      </c>
      <c r="I433" t="s">
        <v>1480</v>
      </c>
      <c r="J433" t="s">
        <v>1476</v>
      </c>
      <c r="K433" t="s">
        <v>60</v>
      </c>
      <c r="L433">
        <v>4</v>
      </c>
      <c r="M433">
        <v>4</v>
      </c>
      <c r="N433" t="s">
        <v>1481</v>
      </c>
      <c r="O433" t="s">
        <v>27</v>
      </c>
      <c r="P433" t="s">
        <v>169</v>
      </c>
      <c r="Q433" s="4">
        <v>354536</v>
      </c>
      <c r="R433" s="4">
        <v>17000</v>
      </c>
      <c r="S433" s="4">
        <v>17500</v>
      </c>
      <c r="T433" s="4">
        <f>Tabla1[[#This Row],[OS-Valor Unitario]]-Tabla1[[#This Row],[costo_antes_iva]]</f>
        <v>500</v>
      </c>
      <c r="U433" s="4">
        <f>Tabla1[[#This Row],[OS-Valor Unitario]]*Tabla1[[#This Row],[OS-Cantidad]]</f>
        <v>70000</v>
      </c>
      <c r="V433" s="4">
        <f>Tabla1[[#This Row],[costo_antes_iva]]*Tabla1[[#This Row],[OS-Cantidad]]</f>
        <v>68000</v>
      </c>
      <c r="W433" s="4">
        <f>Tabla1[[#This Row],[Valor total OS]]-Tabla1[[#This Row],[valor total op]]</f>
        <v>2000</v>
      </c>
    </row>
    <row r="434" spans="1:23" x14ac:dyDescent="0.3">
      <c r="A434">
        <v>6376</v>
      </c>
      <c r="B434">
        <v>3</v>
      </c>
      <c r="C434" t="s">
        <v>1478</v>
      </c>
      <c r="D434" t="s">
        <v>1479</v>
      </c>
      <c r="E434" t="s">
        <v>1086</v>
      </c>
      <c r="F434" t="s">
        <v>35</v>
      </c>
      <c r="G434" s="2">
        <v>45957</v>
      </c>
      <c r="H434">
        <v>74394176</v>
      </c>
      <c r="I434" t="s">
        <v>1480</v>
      </c>
      <c r="J434" t="s">
        <v>1476</v>
      </c>
      <c r="K434" t="s">
        <v>25</v>
      </c>
      <c r="L434">
        <v>4</v>
      </c>
      <c r="M434">
        <v>4</v>
      </c>
      <c r="N434" t="s">
        <v>1482</v>
      </c>
      <c r="O434" t="s">
        <v>27</v>
      </c>
      <c r="P434" t="s">
        <v>169</v>
      </c>
      <c r="Q434" s="4">
        <v>354536</v>
      </c>
      <c r="R434" s="4">
        <v>1600</v>
      </c>
      <c r="S434" s="4">
        <v>1400</v>
      </c>
      <c r="T434" s="4">
        <f>Tabla1[[#This Row],[OS-Valor Unitario]]-Tabla1[[#This Row],[costo_antes_iva]]</f>
        <v>-200</v>
      </c>
      <c r="U434" s="4">
        <f>Tabla1[[#This Row],[OS-Valor Unitario]]*Tabla1[[#This Row],[OS-Cantidad]]</f>
        <v>5600</v>
      </c>
      <c r="V434" s="4">
        <f>Tabla1[[#This Row],[costo_antes_iva]]*Tabla1[[#This Row],[OS-Cantidad]]</f>
        <v>6400</v>
      </c>
      <c r="W434" s="4">
        <f>Tabla1[[#This Row],[Valor total OS]]-Tabla1[[#This Row],[valor total op]]</f>
        <v>-800</v>
      </c>
    </row>
    <row r="435" spans="1:23" x14ac:dyDescent="0.3">
      <c r="A435">
        <v>6376</v>
      </c>
      <c r="B435">
        <v>4</v>
      </c>
      <c r="C435" t="s">
        <v>1483</v>
      </c>
      <c r="D435" t="s">
        <v>1484</v>
      </c>
      <c r="E435" t="s">
        <v>1086</v>
      </c>
      <c r="F435" t="s">
        <v>35</v>
      </c>
      <c r="G435" s="2">
        <v>45957</v>
      </c>
      <c r="H435">
        <v>74394188</v>
      </c>
      <c r="I435" t="s">
        <v>1485</v>
      </c>
      <c r="J435" t="s">
        <v>1476</v>
      </c>
      <c r="K435" t="s">
        <v>60</v>
      </c>
      <c r="L435">
        <v>4</v>
      </c>
      <c r="M435">
        <v>4</v>
      </c>
      <c r="N435" t="s">
        <v>1486</v>
      </c>
      <c r="O435" t="s">
        <v>27</v>
      </c>
      <c r="P435" t="s">
        <v>169</v>
      </c>
      <c r="Q435" s="4">
        <v>354536</v>
      </c>
      <c r="R435" s="4">
        <v>17000</v>
      </c>
      <c r="S435" s="4">
        <v>17500</v>
      </c>
      <c r="T435" s="4">
        <f>Tabla1[[#This Row],[OS-Valor Unitario]]-Tabla1[[#This Row],[costo_antes_iva]]</f>
        <v>500</v>
      </c>
      <c r="U435" s="4">
        <f>Tabla1[[#This Row],[OS-Valor Unitario]]*Tabla1[[#This Row],[OS-Cantidad]]</f>
        <v>70000</v>
      </c>
      <c r="V435" s="4">
        <f>Tabla1[[#This Row],[costo_antes_iva]]*Tabla1[[#This Row],[OS-Cantidad]]</f>
        <v>68000</v>
      </c>
      <c r="W435" s="4">
        <f>Tabla1[[#This Row],[Valor total OS]]-Tabla1[[#This Row],[valor total op]]</f>
        <v>2000</v>
      </c>
    </row>
    <row r="436" spans="1:23" x14ac:dyDescent="0.3">
      <c r="A436">
        <v>6376</v>
      </c>
      <c r="B436">
        <v>4</v>
      </c>
      <c r="C436" t="s">
        <v>1483</v>
      </c>
      <c r="D436" t="s">
        <v>1484</v>
      </c>
      <c r="E436" t="s">
        <v>1086</v>
      </c>
      <c r="F436" t="s">
        <v>35</v>
      </c>
      <c r="G436" s="2">
        <v>45957</v>
      </c>
      <c r="H436">
        <v>74394188</v>
      </c>
      <c r="I436" t="s">
        <v>1485</v>
      </c>
      <c r="J436" t="s">
        <v>1476</v>
      </c>
      <c r="K436" t="s">
        <v>25</v>
      </c>
      <c r="L436">
        <v>4</v>
      </c>
      <c r="M436">
        <v>4</v>
      </c>
      <c r="N436" t="s">
        <v>1487</v>
      </c>
      <c r="O436" t="s">
        <v>27</v>
      </c>
      <c r="P436" t="s">
        <v>169</v>
      </c>
      <c r="Q436" s="4">
        <v>354536</v>
      </c>
      <c r="R436" s="4">
        <v>1600</v>
      </c>
      <c r="S436" s="4">
        <v>1400</v>
      </c>
      <c r="T436" s="4">
        <f>Tabla1[[#This Row],[OS-Valor Unitario]]-Tabla1[[#This Row],[costo_antes_iva]]</f>
        <v>-200</v>
      </c>
      <c r="U436" s="4">
        <f>Tabla1[[#This Row],[OS-Valor Unitario]]*Tabla1[[#This Row],[OS-Cantidad]]</f>
        <v>5600</v>
      </c>
      <c r="V436" s="4">
        <f>Tabla1[[#This Row],[costo_antes_iva]]*Tabla1[[#This Row],[OS-Cantidad]]</f>
        <v>6400</v>
      </c>
      <c r="W436" s="4">
        <f>Tabla1[[#This Row],[Valor total OS]]-Tabla1[[#This Row],[valor total op]]</f>
        <v>-800</v>
      </c>
    </row>
    <row r="437" spans="1:23" x14ac:dyDescent="0.3">
      <c r="A437">
        <v>6376</v>
      </c>
      <c r="B437">
        <v>5</v>
      </c>
      <c r="C437" t="s">
        <v>1488</v>
      </c>
      <c r="D437" t="s">
        <v>1489</v>
      </c>
      <c r="E437" t="s">
        <v>1086</v>
      </c>
      <c r="F437" t="s">
        <v>35</v>
      </c>
      <c r="G437" s="2">
        <v>45957</v>
      </c>
      <c r="H437">
        <v>74397403</v>
      </c>
      <c r="I437" t="s">
        <v>1490</v>
      </c>
      <c r="J437" t="s">
        <v>1476</v>
      </c>
      <c r="K437" t="s">
        <v>60</v>
      </c>
      <c r="L437">
        <v>4</v>
      </c>
      <c r="M437">
        <v>4</v>
      </c>
      <c r="N437" t="s">
        <v>1491</v>
      </c>
      <c r="O437" t="s">
        <v>27</v>
      </c>
      <c r="P437" t="s">
        <v>169</v>
      </c>
      <c r="Q437" s="4">
        <v>354536</v>
      </c>
      <c r="R437" s="4">
        <v>17000</v>
      </c>
      <c r="S437" s="4">
        <v>17500</v>
      </c>
      <c r="T437" s="4">
        <f>Tabla1[[#This Row],[OS-Valor Unitario]]-Tabla1[[#This Row],[costo_antes_iva]]</f>
        <v>500</v>
      </c>
      <c r="U437" s="4">
        <f>Tabla1[[#This Row],[OS-Valor Unitario]]*Tabla1[[#This Row],[OS-Cantidad]]</f>
        <v>70000</v>
      </c>
      <c r="V437" s="4">
        <f>Tabla1[[#This Row],[costo_antes_iva]]*Tabla1[[#This Row],[OS-Cantidad]]</f>
        <v>68000</v>
      </c>
      <c r="W437" s="4">
        <f>Tabla1[[#This Row],[Valor total OS]]-Tabla1[[#This Row],[valor total op]]</f>
        <v>2000</v>
      </c>
    </row>
    <row r="438" spans="1:23" x14ac:dyDescent="0.3">
      <c r="A438">
        <v>6376</v>
      </c>
      <c r="B438">
        <v>5</v>
      </c>
      <c r="C438" t="s">
        <v>1488</v>
      </c>
      <c r="D438" t="s">
        <v>1489</v>
      </c>
      <c r="E438" t="s">
        <v>1086</v>
      </c>
      <c r="F438" t="s">
        <v>35</v>
      </c>
      <c r="G438" s="2">
        <v>45957</v>
      </c>
      <c r="H438">
        <v>74397403</v>
      </c>
      <c r="I438" t="s">
        <v>1490</v>
      </c>
      <c r="J438" t="s">
        <v>1476</v>
      </c>
      <c r="K438" t="s">
        <v>25</v>
      </c>
      <c r="L438">
        <v>4</v>
      </c>
      <c r="M438">
        <v>4</v>
      </c>
      <c r="N438" t="s">
        <v>1492</v>
      </c>
      <c r="O438" t="s">
        <v>27</v>
      </c>
      <c r="P438" t="s">
        <v>169</v>
      </c>
      <c r="Q438" s="4">
        <v>354536</v>
      </c>
      <c r="R438" s="4">
        <v>1600</v>
      </c>
      <c r="S438" s="4">
        <v>1400</v>
      </c>
      <c r="T438" s="4">
        <f>Tabla1[[#This Row],[OS-Valor Unitario]]-Tabla1[[#This Row],[costo_antes_iva]]</f>
        <v>-200</v>
      </c>
      <c r="U438" s="4">
        <f>Tabla1[[#This Row],[OS-Valor Unitario]]*Tabla1[[#This Row],[OS-Cantidad]]</f>
        <v>5600</v>
      </c>
      <c r="V438" s="4">
        <f>Tabla1[[#This Row],[costo_antes_iva]]*Tabla1[[#This Row],[OS-Cantidad]]</f>
        <v>6400</v>
      </c>
      <c r="W438" s="4">
        <f>Tabla1[[#This Row],[Valor total OS]]-Tabla1[[#This Row],[valor total op]]</f>
        <v>-800</v>
      </c>
    </row>
    <row r="439" spans="1:23" x14ac:dyDescent="0.3">
      <c r="A439">
        <v>6376</v>
      </c>
      <c r="B439">
        <v>6</v>
      </c>
      <c r="C439" t="s">
        <v>1493</v>
      </c>
      <c r="D439" t="s">
        <v>1494</v>
      </c>
      <c r="E439" t="s">
        <v>1061</v>
      </c>
      <c r="F439" t="s">
        <v>35</v>
      </c>
      <c r="G439" s="2">
        <v>45957</v>
      </c>
      <c r="H439">
        <v>74394200</v>
      </c>
      <c r="I439" t="s">
        <v>1495</v>
      </c>
      <c r="J439" t="s">
        <v>1476</v>
      </c>
      <c r="K439" t="s">
        <v>60</v>
      </c>
      <c r="L439">
        <v>5</v>
      </c>
      <c r="M439">
        <v>5</v>
      </c>
      <c r="N439" t="s">
        <v>1496</v>
      </c>
      <c r="O439" t="s">
        <v>27</v>
      </c>
      <c r="P439" t="s">
        <v>169</v>
      </c>
      <c r="Q439" s="4">
        <v>397080</v>
      </c>
      <c r="R439" s="4">
        <v>16000</v>
      </c>
      <c r="S439" s="4">
        <v>16000</v>
      </c>
      <c r="T439" s="4">
        <f>Tabla1[[#This Row],[OS-Valor Unitario]]-Tabla1[[#This Row],[costo_antes_iva]]</f>
        <v>0</v>
      </c>
      <c r="U439" s="4">
        <f>Tabla1[[#This Row],[OS-Valor Unitario]]*Tabla1[[#This Row],[OS-Cantidad]]</f>
        <v>80000</v>
      </c>
      <c r="V439" s="4">
        <f>Tabla1[[#This Row],[costo_antes_iva]]*Tabla1[[#This Row],[OS-Cantidad]]</f>
        <v>80000</v>
      </c>
      <c r="W439" s="4">
        <f>Tabla1[[#This Row],[Valor total OS]]-Tabla1[[#This Row],[valor total op]]</f>
        <v>0</v>
      </c>
    </row>
    <row r="440" spans="1:23" x14ac:dyDescent="0.3">
      <c r="A440">
        <v>6376</v>
      </c>
      <c r="B440">
        <v>6</v>
      </c>
      <c r="C440" t="s">
        <v>1493</v>
      </c>
      <c r="D440" t="s">
        <v>1494</v>
      </c>
      <c r="E440" t="s">
        <v>1061</v>
      </c>
      <c r="F440" t="s">
        <v>35</v>
      </c>
      <c r="G440" s="2">
        <v>45957</v>
      </c>
      <c r="H440">
        <v>74394200</v>
      </c>
      <c r="I440" t="s">
        <v>1495</v>
      </c>
      <c r="J440" t="s">
        <v>1476</v>
      </c>
      <c r="K440" t="s">
        <v>25</v>
      </c>
      <c r="L440">
        <v>5</v>
      </c>
      <c r="M440">
        <v>10</v>
      </c>
      <c r="N440" t="s">
        <v>1497</v>
      </c>
      <c r="O440" t="s">
        <v>27</v>
      </c>
      <c r="P440" t="s">
        <v>169</v>
      </c>
      <c r="Q440" s="4">
        <v>397080</v>
      </c>
      <c r="R440" s="4">
        <v>1600</v>
      </c>
      <c r="S440" s="4">
        <v>1400</v>
      </c>
      <c r="T440" s="4">
        <f>Tabla1[[#This Row],[OS-Valor Unitario]]-Tabla1[[#This Row],[costo_antes_iva]]</f>
        <v>-200</v>
      </c>
      <c r="U440" s="4">
        <f>Tabla1[[#This Row],[OS-Valor Unitario]]*Tabla1[[#This Row],[OS-Cantidad]]</f>
        <v>14000</v>
      </c>
      <c r="V440" s="4">
        <f>Tabla1[[#This Row],[costo_antes_iva]]*Tabla1[[#This Row],[OS-Cantidad]]</f>
        <v>16000</v>
      </c>
      <c r="W440" s="4">
        <f>Tabla1[[#This Row],[Valor total OS]]-Tabla1[[#This Row],[valor total op]]</f>
        <v>-2000</v>
      </c>
    </row>
    <row r="441" spans="1:23" x14ac:dyDescent="0.3">
      <c r="A441">
        <v>6376</v>
      </c>
      <c r="B441">
        <v>6</v>
      </c>
      <c r="C441" t="s">
        <v>1493</v>
      </c>
      <c r="D441" t="s">
        <v>1494</v>
      </c>
      <c r="E441" t="s">
        <v>1061</v>
      </c>
      <c r="F441" t="s">
        <v>35</v>
      </c>
      <c r="G441" s="2">
        <v>45957</v>
      </c>
      <c r="H441">
        <v>74394200</v>
      </c>
      <c r="I441" t="s">
        <v>1495</v>
      </c>
      <c r="J441" t="s">
        <v>1476</v>
      </c>
      <c r="K441" t="s">
        <v>25</v>
      </c>
      <c r="L441">
        <v>5</v>
      </c>
      <c r="M441">
        <v>10</v>
      </c>
      <c r="N441" t="s">
        <v>1497</v>
      </c>
      <c r="O441" t="s">
        <v>27</v>
      </c>
      <c r="P441" t="s">
        <v>169</v>
      </c>
      <c r="Q441" s="4">
        <v>397080</v>
      </c>
      <c r="R441" s="4">
        <v>2000</v>
      </c>
      <c r="S441" s="4">
        <v>1400</v>
      </c>
      <c r="T441" s="4">
        <f>Tabla1[[#This Row],[OS-Valor Unitario]]-Tabla1[[#This Row],[costo_antes_iva]]</f>
        <v>-600</v>
      </c>
      <c r="U441" s="4">
        <f>Tabla1[[#This Row],[OS-Valor Unitario]]*Tabla1[[#This Row],[OS-Cantidad]]</f>
        <v>14000</v>
      </c>
      <c r="V441" s="4">
        <f>Tabla1[[#This Row],[costo_antes_iva]]*Tabla1[[#This Row],[OS-Cantidad]]</f>
        <v>20000</v>
      </c>
      <c r="W441" s="4">
        <f>Tabla1[[#This Row],[Valor total OS]]-Tabla1[[#This Row],[valor total op]]</f>
        <v>-6000</v>
      </c>
    </row>
    <row r="442" spans="1:23" x14ac:dyDescent="0.3">
      <c r="A442">
        <v>6376</v>
      </c>
      <c r="B442">
        <v>7</v>
      </c>
      <c r="C442" t="s">
        <v>1498</v>
      </c>
      <c r="D442" t="s">
        <v>1499</v>
      </c>
      <c r="E442" t="s">
        <v>197</v>
      </c>
      <c r="F442" t="s">
        <v>35</v>
      </c>
      <c r="G442" s="2">
        <v>45957</v>
      </c>
      <c r="H442">
        <v>74394251</v>
      </c>
      <c r="I442" t="s">
        <v>1500</v>
      </c>
      <c r="J442" t="s">
        <v>1476</v>
      </c>
      <c r="K442" t="s">
        <v>60</v>
      </c>
      <c r="L442">
        <v>10</v>
      </c>
      <c r="M442">
        <v>12</v>
      </c>
      <c r="N442" t="s">
        <v>1501</v>
      </c>
      <c r="O442" t="s">
        <v>27</v>
      </c>
      <c r="P442" t="s">
        <v>197</v>
      </c>
      <c r="Q442" s="4">
        <v>197180</v>
      </c>
      <c r="R442" s="4">
        <v>2500</v>
      </c>
      <c r="S442" s="4">
        <v>2000</v>
      </c>
      <c r="T442" s="4">
        <f>Tabla1[[#This Row],[OS-Valor Unitario]]-Tabla1[[#This Row],[costo_antes_iva]]</f>
        <v>-500</v>
      </c>
      <c r="U442" s="4">
        <f>Tabla1[[#This Row],[OS-Valor Unitario]]*Tabla1[[#This Row],[OS-Cantidad]]</f>
        <v>24000</v>
      </c>
      <c r="V442" s="4">
        <f>Tabla1[[#This Row],[costo_antes_iva]]*Tabla1[[#This Row],[OS-Cantidad]]</f>
        <v>30000</v>
      </c>
      <c r="W442" s="4">
        <f>Tabla1[[#This Row],[Valor total OS]]-Tabla1[[#This Row],[valor total op]]</f>
        <v>-6000</v>
      </c>
    </row>
    <row r="443" spans="1:23" x14ac:dyDescent="0.3">
      <c r="A443">
        <v>6376</v>
      </c>
      <c r="B443">
        <v>8</v>
      </c>
      <c r="C443" t="s">
        <v>1502</v>
      </c>
      <c r="D443" t="s">
        <v>1503</v>
      </c>
      <c r="E443" t="s">
        <v>1101</v>
      </c>
      <c r="F443" t="s">
        <v>35</v>
      </c>
      <c r="G443" s="2">
        <v>45957</v>
      </c>
      <c r="H443">
        <v>74394272</v>
      </c>
      <c r="I443" t="s">
        <v>1504</v>
      </c>
      <c r="J443" t="s">
        <v>1476</v>
      </c>
      <c r="K443" t="s">
        <v>60</v>
      </c>
      <c r="L443">
        <v>12</v>
      </c>
      <c r="M443">
        <v>12</v>
      </c>
      <c r="N443" t="s">
        <v>1505</v>
      </c>
      <c r="O443" t="s">
        <v>27</v>
      </c>
      <c r="P443" t="s">
        <v>1104</v>
      </c>
      <c r="Q443" s="4">
        <v>167112</v>
      </c>
      <c r="R443" s="4">
        <v>5000</v>
      </c>
      <c r="S443" s="4">
        <v>5500</v>
      </c>
      <c r="T443" s="4">
        <f>Tabla1[[#This Row],[OS-Valor Unitario]]-Tabla1[[#This Row],[costo_antes_iva]]</f>
        <v>500</v>
      </c>
      <c r="U443" s="4">
        <f>Tabla1[[#This Row],[OS-Valor Unitario]]*Tabla1[[#This Row],[OS-Cantidad]]</f>
        <v>66000</v>
      </c>
      <c r="V443" s="4">
        <f>Tabla1[[#This Row],[costo_antes_iva]]*Tabla1[[#This Row],[OS-Cantidad]]</f>
        <v>60000</v>
      </c>
      <c r="W443" s="4">
        <f>Tabla1[[#This Row],[Valor total OS]]-Tabla1[[#This Row],[valor total op]]</f>
        <v>6000</v>
      </c>
    </row>
    <row r="444" spans="1:23" x14ac:dyDescent="0.3">
      <c r="A444">
        <v>6376</v>
      </c>
      <c r="B444">
        <v>11</v>
      </c>
      <c r="C444" t="s">
        <v>1506</v>
      </c>
      <c r="D444" t="s">
        <v>1507</v>
      </c>
      <c r="E444" t="s">
        <v>528</v>
      </c>
      <c r="F444" t="s">
        <v>35</v>
      </c>
      <c r="G444" s="2">
        <v>45957</v>
      </c>
      <c r="H444">
        <v>74394291</v>
      </c>
      <c r="I444" t="s">
        <v>1508</v>
      </c>
      <c r="J444" t="s">
        <v>1476</v>
      </c>
      <c r="K444" t="s">
        <v>60</v>
      </c>
      <c r="L444">
        <v>4</v>
      </c>
      <c r="M444">
        <v>4</v>
      </c>
      <c r="N444" t="s">
        <v>1509</v>
      </c>
      <c r="O444" t="s">
        <v>27</v>
      </c>
      <c r="P444" t="s">
        <v>72</v>
      </c>
      <c r="Q444" s="4">
        <v>236984</v>
      </c>
      <c r="R444" s="4">
        <v>10000</v>
      </c>
      <c r="S444" s="4">
        <v>10000</v>
      </c>
      <c r="T444" s="4">
        <f>Tabla1[[#This Row],[OS-Valor Unitario]]-Tabla1[[#This Row],[costo_antes_iva]]</f>
        <v>0</v>
      </c>
      <c r="U444" s="4">
        <f>Tabla1[[#This Row],[OS-Valor Unitario]]*Tabla1[[#This Row],[OS-Cantidad]]</f>
        <v>40000</v>
      </c>
      <c r="V444" s="4">
        <f>Tabla1[[#This Row],[costo_antes_iva]]*Tabla1[[#This Row],[OS-Cantidad]]</f>
        <v>40000</v>
      </c>
      <c r="W444" s="4">
        <f>Tabla1[[#This Row],[Valor total OS]]-Tabla1[[#This Row],[valor total op]]</f>
        <v>0</v>
      </c>
    </row>
    <row r="445" spans="1:23" x14ac:dyDescent="0.3">
      <c r="A445">
        <v>6376</v>
      </c>
      <c r="B445">
        <v>12</v>
      </c>
      <c r="C445" t="s">
        <v>1510</v>
      </c>
      <c r="D445" t="s">
        <v>1511</v>
      </c>
      <c r="E445" t="s">
        <v>528</v>
      </c>
      <c r="F445" t="s">
        <v>35</v>
      </c>
      <c r="G445" s="2">
        <v>45957</v>
      </c>
      <c r="H445">
        <v>74394496</v>
      </c>
      <c r="I445" t="s">
        <v>1512</v>
      </c>
      <c r="J445" t="s">
        <v>1476</v>
      </c>
      <c r="K445" t="s">
        <v>60</v>
      </c>
      <c r="L445">
        <v>4</v>
      </c>
      <c r="M445">
        <v>4</v>
      </c>
      <c r="N445" t="s">
        <v>1513</v>
      </c>
      <c r="O445" t="s">
        <v>27</v>
      </c>
      <c r="P445" t="s">
        <v>72</v>
      </c>
      <c r="Q445" s="4">
        <v>236984</v>
      </c>
      <c r="R445" s="4">
        <v>10000</v>
      </c>
      <c r="S445" s="4">
        <v>10000</v>
      </c>
      <c r="T445" s="4">
        <f>Tabla1[[#This Row],[OS-Valor Unitario]]-Tabla1[[#This Row],[costo_antes_iva]]</f>
        <v>0</v>
      </c>
      <c r="U445" s="4">
        <f>Tabla1[[#This Row],[OS-Valor Unitario]]*Tabla1[[#This Row],[OS-Cantidad]]</f>
        <v>40000</v>
      </c>
      <c r="V445" s="4">
        <f>Tabla1[[#This Row],[costo_antes_iva]]*Tabla1[[#This Row],[OS-Cantidad]]</f>
        <v>40000</v>
      </c>
      <c r="W445" s="4">
        <f>Tabla1[[#This Row],[Valor total OS]]-Tabla1[[#This Row],[valor total op]]</f>
        <v>0</v>
      </c>
    </row>
    <row r="446" spans="1:23" x14ac:dyDescent="0.3">
      <c r="A446">
        <v>6376</v>
      </c>
      <c r="B446">
        <v>13</v>
      </c>
      <c r="C446" t="s">
        <v>1514</v>
      </c>
      <c r="D446" t="s">
        <v>1515</v>
      </c>
      <c r="E446" t="s">
        <v>528</v>
      </c>
      <c r="F446" t="s">
        <v>35</v>
      </c>
      <c r="G446" s="2">
        <v>45957</v>
      </c>
      <c r="H446">
        <v>74394506</v>
      </c>
      <c r="I446" t="s">
        <v>1516</v>
      </c>
      <c r="J446" t="s">
        <v>1476</v>
      </c>
      <c r="K446" t="s">
        <v>60</v>
      </c>
      <c r="L446">
        <v>4</v>
      </c>
      <c r="M446">
        <v>4</v>
      </c>
      <c r="N446" t="s">
        <v>1517</v>
      </c>
      <c r="O446" t="s">
        <v>27</v>
      </c>
      <c r="P446" t="s">
        <v>72</v>
      </c>
      <c r="Q446" s="4">
        <v>236984</v>
      </c>
      <c r="R446" s="4">
        <v>10000</v>
      </c>
      <c r="S446" s="4">
        <v>10000</v>
      </c>
      <c r="T446" s="4">
        <f>Tabla1[[#This Row],[OS-Valor Unitario]]-Tabla1[[#This Row],[costo_antes_iva]]</f>
        <v>0</v>
      </c>
      <c r="U446" s="4">
        <f>Tabla1[[#This Row],[OS-Valor Unitario]]*Tabla1[[#This Row],[OS-Cantidad]]</f>
        <v>40000</v>
      </c>
      <c r="V446" s="4">
        <f>Tabla1[[#This Row],[costo_antes_iva]]*Tabla1[[#This Row],[OS-Cantidad]]</f>
        <v>40000</v>
      </c>
      <c r="W446" s="4">
        <f>Tabla1[[#This Row],[Valor total OS]]-Tabla1[[#This Row],[valor total op]]</f>
        <v>0</v>
      </c>
    </row>
    <row r="447" spans="1:23" x14ac:dyDescent="0.3">
      <c r="A447">
        <v>6376</v>
      </c>
      <c r="B447">
        <v>14</v>
      </c>
      <c r="C447" t="s">
        <v>1518</v>
      </c>
      <c r="D447" t="s">
        <v>1519</v>
      </c>
      <c r="E447" t="s">
        <v>1520</v>
      </c>
      <c r="F447" t="s">
        <v>35</v>
      </c>
      <c r="G447" s="2">
        <v>45957</v>
      </c>
      <c r="H447">
        <v>74394389</v>
      </c>
      <c r="I447" t="s">
        <v>1521</v>
      </c>
      <c r="J447" t="s">
        <v>1476</v>
      </c>
      <c r="K447" t="s">
        <v>60</v>
      </c>
      <c r="L447">
        <v>12</v>
      </c>
      <c r="M447">
        <v>12</v>
      </c>
      <c r="N447" t="s">
        <v>1522</v>
      </c>
      <c r="O447" t="s">
        <v>27</v>
      </c>
      <c r="P447" t="s">
        <v>72</v>
      </c>
      <c r="Q447" s="4">
        <v>416376</v>
      </c>
      <c r="R447" s="4">
        <v>5000</v>
      </c>
      <c r="S447" s="4">
        <v>4500</v>
      </c>
      <c r="T447" s="4">
        <f>Tabla1[[#This Row],[OS-Valor Unitario]]-Tabla1[[#This Row],[costo_antes_iva]]</f>
        <v>-500</v>
      </c>
      <c r="U447" s="4">
        <f>Tabla1[[#This Row],[OS-Valor Unitario]]*Tabla1[[#This Row],[OS-Cantidad]]</f>
        <v>54000</v>
      </c>
      <c r="V447" s="4">
        <f>Tabla1[[#This Row],[costo_antes_iva]]*Tabla1[[#This Row],[OS-Cantidad]]</f>
        <v>60000</v>
      </c>
      <c r="W447" s="4">
        <f>Tabla1[[#This Row],[Valor total OS]]-Tabla1[[#This Row],[valor total op]]</f>
        <v>-6000</v>
      </c>
    </row>
    <row r="448" spans="1:23" x14ac:dyDescent="0.3">
      <c r="A448">
        <v>6376</v>
      </c>
      <c r="B448">
        <v>14</v>
      </c>
      <c r="C448" t="s">
        <v>1518</v>
      </c>
      <c r="D448" t="s">
        <v>1519</v>
      </c>
      <c r="E448" t="s">
        <v>1520</v>
      </c>
      <c r="F448" t="s">
        <v>35</v>
      </c>
      <c r="G448" s="2">
        <v>45957</v>
      </c>
      <c r="H448">
        <v>74394389</v>
      </c>
      <c r="I448" t="s">
        <v>1521</v>
      </c>
      <c r="J448" t="s">
        <v>1476</v>
      </c>
      <c r="K448" t="s">
        <v>25</v>
      </c>
      <c r="L448">
        <v>12</v>
      </c>
      <c r="M448">
        <v>12</v>
      </c>
      <c r="N448" t="s">
        <v>1523</v>
      </c>
      <c r="O448" t="s">
        <v>27</v>
      </c>
      <c r="P448" t="s">
        <v>72</v>
      </c>
      <c r="Q448" s="4">
        <v>416376</v>
      </c>
      <c r="R448" s="4">
        <v>700</v>
      </c>
      <c r="S448" s="4">
        <v>700</v>
      </c>
      <c r="T448" s="4">
        <f>Tabla1[[#This Row],[OS-Valor Unitario]]-Tabla1[[#This Row],[costo_antes_iva]]</f>
        <v>0</v>
      </c>
      <c r="U448" s="4">
        <f>Tabla1[[#This Row],[OS-Valor Unitario]]*Tabla1[[#This Row],[OS-Cantidad]]</f>
        <v>8400</v>
      </c>
      <c r="V448" s="4">
        <f>Tabla1[[#This Row],[costo_antes_iva]]*Tabla1[[#This Row],[OS-Cantidad]]</f>
        <v>8400</v>
      </c>
      <c r="W448" s="4">
        <f>Tabla1[[#This Row],[Valor total OS]]-Tabla1[[#This Row],[valor total op]]</f>
        <v>0</v>
      </c>
    </row>
    <row r="449" spans="1:23" x14ac:dyDescent="0.3">
      <c r="A449">
        <v>6373</v>
      </c>
      <c r="B449">
        <v>1</v>
      </c>
      <c r="C449" t="s">
        <v>1524</v>
      </c>
      <c r="D449" t="s">
        <v>1525</v>
      </c>
      <c r="E449" t="s">
        <v>1061</v>
      </c>
      <c r="F449" t="s">
        <v>35</v>
      </c>
      <c r="G449" s="2">
        <v>45954</v>
      </c>
      <c r="H449">
        <v>74280383</v>
      </c>
      <c r="I449" t="s">
        <v>1526</v>
      </c>
      <c r="J449" t="s">
        <v>1527</v>
      </c>
      <c r="K449" t="s">
        <v>60</v>
      </c>
      <c r="L449">
        <v>1</v>
      </c>
      <c r="M449">
        <v>1</v>
      </c>
      <c r="N449" t="s">
        <v>1528</v>
      </c>
      <c r="O449" t="s">
        <v>27</v>
      </c>
      <c r="P449" t="s">
        <v>169</v>
      </c>
      <c r="Q449" s="4">
        <v>57536</v>
      </c>
      <c r="R449" s="4">
        <v>17000</v>
      </c>
      <c r="S449" s="4">
        <v>15000</v>
      </c>
      <c r="T449" s="4">
        <f>Tabla1[[#This Row],[OS-Valor Unitario]]-Tabla1[[#This Row],[costo_antes_iva]]</f>
        <v>-2000</v>
      </c>
      <c r="U449" s="4">
        <f>Tabla1[[#This Row],[OS-Valor Unitario]]*Tabla1[[#This Row],[OS-Cantidad]]</f>
        <v>15000</v>
      </c>
      <c r="V449" s="4">
        <f>Tabla1[[#This Row],[costo_antes_iva]]*Tabla1[[#This Row],[OS-Cantidad]]</f>
        <v>17000</v>
      </c>
      <c r="W449" s="4">
        <f>Tabla1[[#This Row],[Valor total OS]]-Tabla1[[#This Row],[valor total op]]</f>
        <v>-2000</v>
      </c>
    </row>
    <row r="450" spans="1:23" x14ac:dyDescent="0.3">
      <c r="A450">
        <v>6373</v>
      </c>
      <c r="B450">
        <v>1</v>
      </c>
      <c r="C450" t="s">
        <v>1524</v>
      </c>
      <c r="D450" t="s">
        <v>1525</v>
      </c>
      <c r="E450" t="s">
        <v>1061</v>
      </c>
      <c r="F450" t="s">
        <v>35</v>
      </c>
      <c r="G450" s="2">
        <v>45954</v>
      </c>
      <c r="H450">
        <v>74280383</v>
      </c>
      <c r="I450" t="s">
        <v>1526</v>
      </c>
      <c r="J450" t="s">
        <v>1527</v>
      </c>
      <c r="K450" t="s">
        <v>25</v>
      </c>
      <c r="L450">
        <v>1</v>
      </c>
      <c r="M450">
        <v>1</v>
      </c>
      <c r="N450" t="s">
        <v>1529</v>
      </c>
      <c r="O450" t="s">
        <v>27</v>
      </c>
      <c r="P450" t="s">
        <v>169</v>
      </c>
      <c r="Q450" s="4">
        <v>57536</v>
      </c>
      <c r="R450" s="4">
        <v>2500</v>
      </c>
      <c r="S450" s="4">
        <v>1000</v>
      </c>
      <c r="T450" s="4">
        <f>Tabla1[[#This Row],[OS-Valor Unitario]]-Tabla1[[#This Row],[costo_antes_iva]]</f>
        <v>-1500</v>
      </c>
      <c r="U450" s="4">
        <f>Tabla1[[#This Row],[OS-Valor Unitario]]*Tabla1[[#This Row],[OS-Cantidad]]</f>
        <v>1000</v>
      </c>
      <c r="V450" s="4">
        <f>Tabla1[[#This Row],[costo_antes_iva]]*Tabla1[[#This Row],[OS-Cantidad]]</f>
        <v>2500</v>
      </c>
      <c r="W450" s="4">
        <f>Tabla1[[#This Row],[Valor total OS]]-Tabla1[[#This Row],[valor total op]]</f>
        <v>-1500</v>
      </c>
    </row>
    <row r="451" spans="1:23" x14ac:dyDescent="0.3">
      <c r="A451">
        <v>6373</v>
      </c>
      <c r="B451">
        <v>2</v>
      </c>
      <c r="C451" t="s">
        <v>1530</v>
      </c>
      <c r="D451" t="s">
        <v>1531</v>
      </c>
      <c r="E451" t="s">
        <v>1061</v>
      </c>
      <c r="F451" t="s">
        <v>35</v>
      </c>
      <c r="G451" s="2">
        <v>45954</v>
      </c>
      <c r="H451">
        <v>74289414</v>
      </c>
      <c r="I451" t="s">
        <v>1532</v>
      </c>
      <c r="J451" t="s">
        <v>1527</v>
      </c>
      <c r="K451" t="s">
        <v>60</v>
      </c>
      <c r="L451">
        <v>16</v>
      </c>
      <c r="M451">
        <v>16</v>
      </c>
      <c r="N451" t="s">
        <v>1533</v>
      </c>
      <c r="O451" t="s">
        <v>27</v>
      </c>
      <c r="P451" t="s">
        <v>169</v>
      </c>
      <c r="Q451" s="4">
        <v>920576</v>
      </c>
      <c r="R451" s="4">
        <v>17000</v>
      </c>
      <c r="S451" s="4">
        <v>15000</v>
      </c>
      <c r="T451" s="4">
        <f>Tabla1[[#This Row],[OS-Valor Unitario]]-Tabla1[[#This Row],[costo_antes_iva]]</f>
        <v>-2000</v>
      </c>
      <c r="U451" s="4">
        <f>Tabla1[[#This Row],[OS-Valor Unitario]]*Tabla1[[#This Row],[OS-Cantidad]]</f>
        <v>240000</v>
      </c>
      <c r="V451" s="4">
        <f>Tabla1[[#This Row],[costo_antes_iva]]*Tabla1[[#This Row],[OS-Cantidad]]</f>
        <v>272000</v>
      </c>
      <c r="W451" s="4">
        <f>Tabla1[[#This Row],[Valor total OS]]-Tabla1[[#This Row],[valor total op]]</f>
        <v>-32000</v>
      </c>
    </row>
    <row r="452" spans="1:23" x14ac:dyDescent="0.3">
      <c r="A452">
        <v>6373</v>
      </c>
      <c r="B452">
        <v>2</v>
      </c>
      <c r="C452" t="s">
        <v>1530</v>
      </c>
      <c r="D452" t="s">
        <v>1531</v>
      </c>
      <c r="E452" t="s">
        <v>1061</v>
      </c>
      <c r="F452" t="s">
        <v>35</v>
      </c>
      <c r="G452" s="2">
        <v>45954</v>
      </c>
      <c r="H452">
        <v>74289414</v>
      </c>
      <c r="I452" t="s">
        <v>1532</v>
      </c>
      <c r="J452" t="s">
        <v>1527</v>
      </c>
      <c r="K452" t="s">
        <v>25</v>
      </c>
      <c r="L452">
        <v>16</v>
      </c>
      <c r="M452">
        <v>16</v>
      </c>
      <c r="N452" t="s">
        <v>1534</v>
      </c>
      <c r="O452" t="s">
        <v>27</v>
      </c>
      <c r="P452" t="s">
        <v>169</v>
      </c>
      <c r="Q452" s="4">
        <v>920576</v>
      </c>
      <c r="R452" s="4">
        <v>2500</v>
      </c>
      <c r="S452" s="4">
        <v>1000</v>
      </c>
      <c r="T452" s="4">
        <f>Tabla1[[#This Row],[OS-Valor Unitario]]-Tabla1[[#This Row],[costo_antes_iva]]</f>
        <v>-1500</v>
      </c>
      <c r="U452" s="4">
        <f>Tabla1[[#This Row],[OS-Valor Unitario]]*Tabla1[[#This Row],[OS-Cantidad]]</f>
        <v>16000</v>
      </c>
      <c r="V452" s="4">
        <f>Tabla1[[#This Row],[costo_antes_iva]]*Tabla1[[#This Row],[OS-Cantidad]]</f>
        <v>40000</v>
      </c>
      <c r="W452" s="4">
        <f>Tabla1[[#This Row],[Valor total OS]]-Tabla1[[#This Row],[valor total op]]</f>
        <v>-24000</v>
      </c>
    </row>
    <row r="453" spans="1:23" x14ac:dyDescent="0.3">
      <c r="A453">
        <v>6372</v>
      </c>
      <c r="B453">
        <v>1</v>
      </c>
      <c r="C453" t="s">
        <v>1535</v>
      </c>
      <c r="D453" t="s">
        <v>1536</v>
      </c>
      <c r="E453" t="s">
        <v>1076</v>
      </c>
      <c r="F453" t="s">
        <v>1537</v>
      </c>
      <c r="G453" s="2">
        <v>45953</v>
      </c>
      <c r="H453">
        <v>74213806</v>
      </c>
      <c r="I453" t="s">
        <v>1538</v>
      </c>
      <c r="J453" t="s">
        <v>1539</v>
      </c>
      <c r="K453" t="s">
        <v>25</v>
      </c>
      <c r="L453">
        <v>25</v>
      </c>
      <c r="M453">
        <v>25</v>
      </c>
      <c r="N453" t="s">
        <v>1540</v>
      </c>
      <c r="O453" t="s">
        <v>27</v>
      </c>
      <c r="P453" t="s">
        <v>1079</v>
      </c>
      <c r="Q453" s="4">
        <v>2000050</v>
      </c>
      <c r="R453" s="4">
        <v>4000</v>
      </c>
      <c r="S453" s="4">
        <v>4000</v>
      </c>
      <c r="T453" s="4">
        <f>Tabla1[[#This Row],[OS-Valor Unitario]]-Tabla1[[#This Row],[costo_antes_iva]]</f>
        <v>0</v>
      </c>
      <c r="U453" s="4">
        <f>Tabla1[[#This Row],[OS-Valor Unitario]]*Tabla1[[#This Row],[OS-Cantidad]]</f>
        <v>100000</v>
      </c>
      <c r="V453" s="4">
        <f>Tabla1[[#This Row],[costo_antes_iva]]*Tabla1[[#This Row],[OS-Cantidad]]</f>
        <v>100000</v>
      </c>
      <c r="W453" s="4">
        <f>Tabla1[[#This Row],[Valor total OS]]-Tabla1[[#This Row],[valor total op]]</f>
        <v>0</v>
      </c>
    </row>
    <row r="454" spans="1:23" x14ac:dyDescent="0.3">
      <c r="A454">
        <v>6372</v>
      </c>
      <c r="B454">
        <v>2</v>
      </c>
      <c r="C454" t="s">
        <v>1541</v>
      </c>
      <c r="D454" t="s">
        <v>1542</v>
      </c>
      <c r="E454" t="s">
        <v>454</v>
      </c>
      <c r="F454" t="s">
        <v>1537</v>
      </c>
      <c r="G454" s="2">
        <v>45953</v>
      </c>
      <c r="H454">
        <v>74213810</v>
      </c>
      <c r="I454" t="s">
        <v>1543</v>
      </c>
      <c r="J454" t="s">
        <v>1539</v>
      </c>
      <c r="K454" t="s">
        <v>25</v>
      </c>
      <c r="L454">
        <v>25</v>
      </c>
      <c r="M454">
        <v>25</v>
      </c>
      <c r="N454" t="s">
        <v>1544</v>
      </c>
      <c r="O454" t="s">
        <v>27</v>
      </c>
      <c r="P454" t="s">
        <v>127</v>
      </c>
      <c r="Q454" s="4">
        <v>1253225</v>
      </c>
      <c r="R454" s="4">
        <v>4000</v>
      </c>
      <c r="S454" s="4">
        <v>4000</v>
      </c>
      <c r="T454" s="4">
        <f>Tabla1[[#This Row],[OS-Valor Unitario]]-Tabla1[[#This Row],[costo_antes_iva]]</f>
        <v>0</v>
      </c>
      <c r="U454" s="4">
        <f>Tabla1[[#This Row],[OS-Valor Unitario]]*Tabla1[[#This Row],[OS-Cantidad]]</f>
        <v>100000</v>
      </c>
      <c r="V454" s="4">
        <f>Tabla1[[#This Row],[costo_antes_iva]]*Tabla1[[#This Row],[OS-Cantidad]]</f>
        <v>100000</v>
      </c>
      <c r="W454" s="4">
        <f>Tabla1[[#This Row],[Valor total OS]]-Tabla1[[#This Row],[valor total op]]</f>
        <v>0</v>
      </c>
    </row>
    <row r="455" spans="1:23" x14ac:dyDescent="0.3">
      <c r="A455">
        <v>6372</v>
      </c>
      <c r="B455">
        <v>3</v>
      </c>
      <c r="C455" t="s">
        <v>1545</v>
      </c>
      <c r="D455" t="s">
        <v>1546</v>
      </c>
      <c r="E455" t="s">
        <v>34</v>
      </c>
      <c r="F455" t="s">
        <v>1537</v>
      </c>
      <c r="G455" s="2">
        <v>45953</v>
      </c>
      <c r="H455">
        <v>74213816</v>
      </c>
      <c r="I455" t="s">
        <v>1547</v>
      </c>
      <c r="J455" t="s">
        <v>1539</v>
      </c>
      <c r="K455" t="s">
        <v>25</v>
      </c>
      <c r="L455">
        <v>25</v>
      </c>
      <c r="M455">
        <v>25</v>
      </c>
      <c r="N455" t="s">
        <v>1548</v>
      </c>
      <c r="O455" t="s">
        <v>27</v>
      </c>
      <c r="P455" t="s">
        <v>40</v>
      </c>
      <c r="Q455" s="4">
        <v>626475</v>
      </c>
      <c r="R455" s="4">
        <v>4000</v>
      </c>
      <c r="S455" s="4">
        <v>4000</v>
      </c>
      <c r="T455" s="4">
        <f>Tabla1[[#This Row],[OS-Valor Unitario]]-Tabla1[[#This Row],[costo_antes_iva]]</f>
        <v>0</v>
      </c>
      <c r="U455" s="4">
        <f>Tabla1[[#This Row],[OS-Valor Unitario]]*Tabla1[[#This Row],[OS-Cantidad]]</f>
        <v>100000</v>
      </c>
      <c r="V455" s="4">
        <f>Tabla1[[#This Row],[costo_antes_iva]]*Tabla1[[#This Row],[OS-Cantidad]]</f>
        <v>100000</v>
      </c>
      <c r="W455" s="4">
        <f>Tabla1[[#This Row],[Valor total OS]]-Tabla1[[#This Row],[valor total op]]</f>
        <v>0</v>
      </c>
    </row>
    <row r="456" spans="1:23" x14ac:dyDescent="0.3">
      <c r="A456">
        <v>6371</v>
      </c>
      <c r="B456">
        <v>1</v>
      </c>
      <c r="C456" t="s">
        <v>1549</v>
      </c>
      <c r="D456" t="s">
        <v>1550</v>
      </c>
      <c r="E456" t="s">
        <v>826</v>
      </c>
      <c r="F456" t="s">
        <v>122</v>
      </c>
      <c r="G456" s="2">
        <v>45953</v>
      </c>
      <c r="H456">
        <v>74212926</v>
      </c>
      <c r="I456" t="s">
        <v>1551</v>
      </c>
      <c r="J456" t="s">
        <v>1552</v>
      </c>
      <c r="K456" t="s">
        <v>170</v>
      </c>
      <c r="L456">
        <v>48</v>
      </c>
      <c r="M456">
        <v>48</v>
      </c>
      <c r="N456" t="s">
        <v>1553</v>
      </c>
      <c r="P456" t="s">
        <v>253</v>
      </c>
      <c r="Q456" s="4">
        <v>2583696</v>
      </c>
      <c r="R456" s="4">
        <v>800</v>
      </c>
      <c r="S456" s="4">
        <v>1900</v>
      </c>
      <c r="T456" s="4">
        <f>Tabla1[[#This Row],[OS-Valor Unitario]]-Tabla1[[#This Row],[costo_antes_iva]]</f>
        <v>1100</v>
      </c>
      <c r="U456" s="4">
        <f>Tabla1[[#This Row],[OS-Valor Unitario]]*Tabla1[[#This Row],[OS-Cantidad]]</f>
        <v>91200</v>
      </c>
      <c r="V456" s="4">
        <f>Tabla1[[#This Row],[costo_antes_iva]]*Tabla1[[#This Row],[OS-Cantidad]]</f>
        <v>38400</v>
      </c>
      <c r="W456" s="4">
        <f>Tabla1[[#This Row],[Valor total OS]]-Tabla1[[#This Row],[valor total op]]</f>
        <v>52800</v>
      </c>
    </row>
    <row r="457" spans="1:23" x14ac:dyDescent="0.3">
      <c r="A457">
        <v>6371</v>
      </c>
      <c r="B457">
        <v>1</v>
      </c>
      <c r="C457" t="s">
        <v>1549</v>
      </c>
      <c r="D457" t="s">
        <v>1550</v>
      </c>
      <c r="E457" t="s">
        <v>826</v>
      </c>
      <c r="F457" t="s">
        <v>122</v>
      </c>
      <c r="G457" s="2">
        <v>45953</v>
      </c>
      <c r="H457">
        <v>74212926</v>
      </c>
      <c r="I457" t="s">
        <v>1551</v>
      </c>
      <c r="J457" t="s">
        <v>1552</v>
      </c>
      <c r="K457" t="s">
        <v>60</v>
      </c>
      <c r="L457">
        <v>48</v>
      </c>
      <c r="M457">
        <v>48</v>
      </c>
      <c r="N457" t="s">
        <v>1554</v>
      </c>
      <c r="P457" t="s">
        <v>253</v>
      </c>
      <c r="Q457" s="4">
        <v>2583696</v>
      </c>
      <c r="R457" s="4">
        <v>12500</v>
      </c>
      <c r="S457" s="4">
        <v>8000</v>
      </c>
      <c r="T457" s="4">
        <f>Tabla1[[#This Row],[OS-Valor Unitario]]-Tabla1[[#This Row],[costo_antes_iva]]</f>
        <v>-4500</v>
      </c>
      <c r="U457" s="4">
        <f>Tabla1[[#This Row],[OS-Valor Unitario]]*Tabla1[[#This Row],[OS-Cantidad]]</f>
        <v>384000</v>
      </c>
      <c r="V457" s="4">
        <f>Tabla1[[#This Row],[costo_antes_iva]]*Tabla1[[#This Row],[OS-Cantidad]]</f>
        <v>600000</v>
      </c>
      <c r="W457" s="4">
        <f>Tabla1[[#This Row],[Valor total OS]]-Tabla1[[#This Row],[valor total op]]</f>
        <v>-216000</v>
      </c>
    </row>
    <row r="458" spans="1:23" x14ac:dyDescent="0.3">
      <c r="A458">
        <v>6371</v>
      </c>
      <c r="B458">
        <v>2</v>
      </c>
      <c r="C458" t="s">
        <v>1555</v>
      </c>
      <c r="D458" t="s">
        <v>1556</v>
      </c>
      <c r="E458" t="s">
        <v>864</v>
      </c>
      <c r="F458" t="s">
        <v>122</v>
      </c>
      <c r="G458" s="2">
        <v>45953</v>
      </c>
      <c r="H458">
        <v>74212668</v>
      </c>
      <c r="I458" t="s">
        <v>1557</v>
      </c>
      <c r="J458" t="s">
        <v>748</v>
      </c>
      <c r="K458" t="s">
        <v>25</v>
      </c>
      <c r="L458">
        <v>16</v>
      </c>
      <c r="M458">
        <v>16</v>
      </c>
      <c r="N458" t="s">
        <v>1558</v>
      </c>
      <c r="O458" t="s">
        <v>126</v>
      </c>
      <c r="P458" t="s">
        <v>867</v>
      </c>
      <c r="Q458" s="4">
        <v>1322960</v>
      </c>
      <c r="R458" s="4">
        <v>900</v>
      </c>
      <c r="S458" s="4">
        <v>900</v>
      </c>
      <c r="T458" s="4">
        <f>Tabla1[[#This Row],[OS-Valor Unitario]]-Tabla1[[#This Row],[costo_antes_iva]]</f>
        <v>0</v>
      </c>
      <c r="U458" s="4">
        <f>Tabla1[[#This Row],[OS-Valor Unitario]]*Tabla1[[#This Row],[OS-Cantidad]]</f>
        <v>14400</v>
      </c>
      <c r="V458" s="4">
        <f>Tabla1[[#This Row],[costo_antes_iva]]*Tabla1[[#This Row],[OS-Cantidad]]</f>
        <v>14400</v>
      </c>
      <c r="W458" s="4">
        <f>Tabla1[[#This Row],[Valor total OS]]-Tabla1[[#This Row],[valor total op]]</f>
        <v>0</v>
      </c>
    </row>
    <row r="459" spans="1:23" x14ac:dyDescent="0.3">
      <c r="A459">
        <v>6371</v>
      </c>
      <c r="B459">
        <v>2</v>
      </c>
      <c r="C459" t="s">
        <v>1555</v>
      </c>
      <c r="D459" t="s">
        <v>1556</v>
      </c>
      <c r="E459" t="s">
        <v>864</v>
      </c>
      <c r="F459" t="s">
        <v>122</v>
      </c>
      <c r="G459" s="2">
        <v>45953</v>
      </c>
      <c r="H459">
        <v>74212668</v>
      </c>
      <c r="I459" t="s">
        <v>1557</v>
      </c>
      <c r="J459" t="s">
        <v>748</v>
      </c>
      <c r="K459" t="s">
        <v>60</v>
      </c>
      <c r="L459">
        <v>16</v>
      </c>
      <c r="M459">
        <v>16</v>
      </c>
      <c r="N459" t="s">
        <v>1559</v>
      </c>
      <c r="O459" t="s">
        <v>126</v>
      </c>
      <c r="P459" t="s">
        <v>867</v>
      </c>
      <c r="Q459" s="4">
        <v>1322960</v>
      </c>
      <c r="R459" s="4">
        <v>13000</v>
      </c>
      <c r="S459" s="4">
        <v>12000</v>
      </c>
      <c r="T459" s="4">
        <f>Tabla1[[#This Row],[OS-Valor Unitario]]-Tabla1[[#This Row],[costo_antes_iva]]</f>
        <v>-1000</v>
      </c>
      <c r="U459" s="4">
        <f>Tabla1[[#This Row],[OS-Valor Unitario]]*Tabla1[[#This Row],[OS-Cantidad]]</f>
        <v>192000</v>
      </c>
      <c r="V459" s="4">
        <f>Tabla1[[#This Row],[costo_antes_iva]]*Tabla1[[#This Row],[OS-Cantidad]]</f>
        <v>208000</v>
      </c>
      <c r="W459" s="4">
        <f>Tabla1[[#This Row],[Valor total OS]]-Tabla1[[#This Row],[valor total op]]</f>
        <v>-16000</v>
      </c>
    </row>
    <row r="460" spans="1:23" x14ac:dyDescent="0.3">
      <c r="A460">
        <v>6371</v>
      </c>
      <c r="B460">
        <v>3</v>
      </c>
      <c r="C460" t="s">
        <v>1560</v>
      </c>
      <c r="D460" t="s">
        <v>1561</v>
      </c>
      <c r="E460" t="s">
        <v>826</v>
      </c>
      <c r="F460" t="s">
        <v>122</v>
      </c>
      <c r="G460" s="2">
        <v>45953</v>
      </c>
      <c r="H460">
        <v>74212941</v>
      </c>
      <c r="I460" t="s">
        <v>1562</v>
      </c>
      <c r="J460" t="s">
        <v>1563</v>
      </c>
      <c r="K460" t="s">
        <v>60</v>
      </c>
      <c r="L460">
        <v>12</v>
      </c>
      <c r="M460">
        <v>12</v>
      </c>
      <c r="N460" t="s">
        <v>1564</v>
      </c>
      <c r="O460" t="s">
        <v>126</v>
      </c>
      <c r="P460" t="s">
        <v>253</v>
      </c>
      <c r="Q460" s="4">
        <v>810732</v>
      </c>
      <c r="R460" s="4">
        <v>11200</v>
      </c>
      <c r="S460" s="4">
        <v>13000</v>
      </c>
      <c r="T460" s="4">
        <f>Tabla1[[#This Row],[OS-Valor Unitario]]-Tabla1[[#This Row],[costo_antes_iva]]</f>
        <v>1800</v>
      </c>
      <c r="U460" s="4">
        <f>Tabla1[[#This Row],[OS-Valor Unitario]]*Tabla1[[#This Row],[OS-Cantidad]]</f>
        <v>156000</v>
      </c>
      <c r="V460" s="4">
        <f>Tabla1[[#This Row],[costo_antes_iva]]*Tabla1[[#This Row],[OS-Cantidad]]</f>
        <v>134400</v>
      </c>
      <c r="W460" s="4">
        <f>Tabla1[[#This Row],[Valor total OS]]-Tabla1[[#This Row],[valor total op]]</f>
        <v>21600</v>
      </c>
    </row>
    <row r="461" spans="1:23" x14ac:dyDescent="0.3">
      <c r="A461">
        <v>6371</v>
      </c>
      <c r="B461">
        <v>3</v>
      </c>
      <c r="C461" t="s">
        <v>1560</v>
      </c>
      <c r="D461" t="s">
        <v>1561</v>
      </c>
      <c r="E461" t="s">
        <v>826</v>
      </c>
      <c r="F461" t="s">
        <v>122</v>
      </c>
      <c r="G461" s="2">
        <v>45953</v>
      </c>
      <c r="H461">
        <v>74212941</v>
      </c>
      <c r="I461" t="s">
        <v>1562</v>
      </c>
      <c r="J461" t="s">
        <v>1563</v>
      </c>
      <c r="K461" t="s">
        <v>170</v>
      </c>
      <c r="L461">
        <v>12</v>
      </c>
      <c r="M461">
        <v>12</v>
      </c>
      <c r="N461" t="s">
        <v>1565</v>
      </c>
      <c r="O461" t="s">
        <v>126</v>
      </c>
      <c r="P461" t="s">
        <v>253</v>
      </c>
      <c r="Q461" s="4">
        <v>810732</v>
      </c>
      <c r="R461" s="4">
        <v>6200</v>
      </c>
      <c r="S461" s="4">
        <v>4200</v>
      </c>
      <c r="T461" s="4">
        <f>Tabla1[[#This Row],[OS-Valor Unitario]]-Tabla1[[#This Row],[costo_antes_iva]]</f>
        <v>-2000</v>
      </c>
      <c r="U461" s="4">
        <f>Tabla1[[#This Row],[OS-Valor Unitario]]*Tabla1[[#This Row],[OS-Cantidad]]</f>
        <v>50400</v>
      </c>
      <c r="V461" s="4">
        <f>Tabla1[[#This Row],[costo_antes_iva]]*Tabla1[[#This Row],[OS-Cantidad]]</f>
        <v>74400</v>
      </c>
      <c r="W461" s="4">
        <f>Tabla1[[#This Row],[Valor total OS]]-Tabla1[[#This Row],[valor total op]]</f>
        <v>-24000</v>
      </c>
    </row>
    <row r="462" spans="1:23" x14ac:dyDescent="0.3">
      <c r="A462">
        <v>6370</v>
      </c>
      <c r="B462">
        <v>1</v>
      </c>
      <c r="C462" t="s">
        <v>1566</v>
      </c>
      <c r="D462" t="s">
        <v>1567</v>
      </c>
      <c r="E462" t="s">
        <v>1076</v>
      </c>
      <c r="F462" t="s">
        <v>1568</v>
      </c>
      <c r="G462" s="2">
        <v>45953</v>
      </c>
      <c r="H462">
        <v>74208230</v>
      </c>
      <c r="I462" t="s">
        <v>1569</v>
      </c>
      <c r="J462" t="s">
        <v>1570</v>
      </c>
      <c r="K462" t="s">
        <v>25</v>
      </c>
      <c r="L462">
        <v>58</v>
      </c>
      <c r="M462">
        <v>58</v>
      </c>
      <c r="N462" t="s">
        <v>1571</v>
      </c>
      <c r="O462" t="s">
        <v>27</v>
      </c>
      <c r="P462" t="s">
        <v>1079</v>
      </c>
      <c r="Q462" s="4">
        <v>4182032</v>
      </c>
      <c r="R462" s="4">
        <v>1665</v>
      </c>
      <c r="S462" s="4">
        <v>3500</v>
      </c>
      <c r="T462" s="4">
        <f>Tabla1[[#This Row],[OS-Valor Unitario]]-Tabla1[[#This Row],[costo_antes_iva]]</f>
        <v>1835</v>
      </c>
      <c r="U462" s="4">
        <f>Tabla1[[#This Row],[OS-Valor Unitario]]*Tabla1[[#This Row],[OS-Cantidad]]</f>
        <v>203000</v>
      </c>
      <c r="V462" s="4">
        <f>Tabla1[[#This Row],[costo_antes_iva]]*Tabla1[[#This Row],[OS-Cantidad]]</f>
        <v>96570</v>
      </c>
      <c r="W462" s="4">
        <f>Tabla1[[#This Row],[Valor total OS]]-Tabla1[[#This Row],[valor total op]]</f>
        <v>106430</v>
      </c>
    </row>
    <row r="463" spans="1:23" x14ac:dyDescent="0.3">
      <c r="A463">
        <v>6370</v>
      </c>
      <c r="B463">
        <v>2</v>
      </c>
      <c r="C463" t="s">
        <v>1572</v>
      </c>
      <c r="D463" t="s">
        <v>1573</v>
      </c>
      <c r="E463" t="s">
        <v>34</v>
      </c>
      <c r="F463" t="s">
        <v>1568</v>
      </c>
      <c r="G463" s="2">
        <v>45953</v>
      </c>
      <c r="H463">
        <v>74208232</v>
      </c>
      <c r="I463" t="s">
        <v>1574</v>
      </c>
      <c r="J463" t="s">
        <v>1570</v>
      </c>
      <c r="K463" t="s">
        <v>25</v>
      </c>
      <c r="L463">
        <v>58</v>
      </c>
      <c r="M463">
        <v>58</v>
      </c>
      <c r="N463" t="s">
        <v>1575</v>
      </c>
      <c r="O463" t="s">
        <v>27</v>
      </c>
      <c r="P463" t="s">
        <v>40</v>
      </c>
      <c r="Q463" s="4">
        <v>842624</v>
      </c>
      <c r="R463" s="4">
        <v>3800</v>
      </c>
      <c r="S463" s="4">
        <v>3200</v>
      </c>
      <c r="T463" s="4">
        <f>Tabla1[[#This Row],[OS-Valor Unitario]]-Tabla1[[#This Row],[costo_antes_iva]]</f>
        <v>-600</v>
      </c>
      <c r="U463" s="4">
        <f>Tabla1[[#This Row],[OS-Valor Unitario]]*Tabla1[[#This Row],[OS-Cantidad]]</f>
        <v>185600</v>
      </c>
      <c r="V463" s="4">
        <f>Tabla1[[#This Row],[costo_antes_iva]]*Tabla1[[#This Row],[OS-Cantidad]]</f>
        <v>220400</v>
      </c>
      <c r="W463" s="4">
        <f>Tabla1[[#This Row],[Valor total OS]]-Tabla1[[#This Row],[valor total op]]</f>
        <v>-34800</v>
      </c>
    </row>
    <row r="464" spans="1:23" x14ac:dyDescent="0.3">
      <c r="A464">
        <v>6364</v>
      </c>
      <c r="B464">
        <v>6</v>
      </c>
      <c r="C464" t="s">
        <v>1576</v>
      </c>
      <c r="D464" t="s">
        <v>1577</v>
      </c>
      <c r="E464" t="s">
        <v>1578</v>
      </c>
      <c r="F464" t="s">
        <v>670</v>
      </c>
      <c r="G464" s="2">
        <v>45952</v>
      </c>
      <c r="H464">
        <v>74126431</v>
      </c>
      <c r="I464" t="s">
        <v>1579</v>
      </c>
      <c r="J464" t="s">
        <v>1580</v>
      </c>
      <c r="K464" t="s">
        <v>60</v>
      </c>
      <c r="L464">
        <v>70</v>
      </c>
      <c r="M464">
        <v>70</v>
      </c>
      <c r="N464" t="s">
        <v>1581</v>
      </c>
      <c r="O464" t="s">
        <v>27</v>
      </c>
      <c r="P464" t="s">
        <v>177</v>
      </c>
      <c r="Q464" s="4">
        <v>3149230</v>
      </c>
      <c r="R464" s="4">
        <v>12500</v>
      </c>
      <c r="S464" s="4">
        <v>13000</v>
      </c>
      <c r="T464" s="4">
        <f>Tabla1[[#This Row],[OS-Valor Unitario]]-Tabla1[[#This Row],[costo_antes_iva]]</f>
        <v>500</v>
      </c>
      <c r="U464" s="4">
        <f>Tabla1[[#This Row],[OS-Valor Unitario]]*Tabla1[[#This Row],[OS-Cantidad]]</f>
        <v>910000</v>
      </c>
      <c r="V464" s="4">
        <f>Tabla1[[#This Row],[costo_antes_iva]]*Tabla1[[#This Row],[OS-Cantidad]]</f>
        <v>875000</v>
      </c>
      <c r="W464" s="4">
        <f>Tabla1[[#This Row],[Valor total OS]]-Tabla1[[#This Row],[valor total op]]</f>
        <v>35000</v>
      </c>
    </row>
    <row r="465" spans="1:23" x14ac:dyDescent="0.3">
      <c r="A465">
        <v>6364</v>
      </c>
      <c r="B465">
        <v>6</v>
      </c>
      <c r="C465" t="s">
        <v>1576</v>
      </c>
      <c r="D465" t="s">
        <v>1577</v>
      </c>
      <c r="E465" t="s">
        <v>1578</v>
      </c>
      <c r="F465" t="s">
        <v>670</v>
      </c>
      <c r="G465" s="2">
        <v>45952</v>
      </c>
      <c r="H465">
        <v>74126431</v>
      </c>
      <c r="I465" t="s">
        <v>1579</v>
      </c>
      <c r="J465" t="s">
        <v>1580</v>
      </c>
      <c r="K465" t="s">
        <v>25</v>
      </c>
      <c r="L465">
        <v>70</v>
      </c>
      <c r="M465">
        <v>122</v>
      </c>
      <c r="N465" t="s">
        <v>1582</v>
      </c>
      <c r="O465" t="s">
        <v>27</v>
      </c>
      <c r="P465" t="s">
        <v>177</v>
      </c>
      <c r="Q465" s="4">
        <v>3149230</v>
      </c>
      <c r="R465" s="4">
        <v>4250</v>
      </c>
      <c r="S465" s="4">
        <v>2000</v>
      </c>
      <c r="T465" s="4">
        <f>Tabla1[[#This Row],[OS-Valor Unitario]]-Tabla1[[#This Row],[costo_antes_iva]]</f>
        <v>-2250</v>
      </c>
      <c r="U465" s="4">
        <f>Tabla1[[#This Row],[OS-Valor Unitario]]*Tabla1[[#This Row],[OS-Cantidad]]</f>
        <v>244000</v>
      </c>
      <c r="V465" s="4">
        <f>Tabla1[[#This Row],[costo_antes_iva]]*Tabla1[[#This Row],[OS-Cantidad]]</f>
        <v>518500</v>
      </c>
      <c r="W465" s="4">
        <f>Tabla1[[#This Row],[Valor total OS]]-Tabla1[[#This Row],[valor total op]]</f>
        <v>-274500</v>
      </c>
    </row>
    <row r="466" spans="1:23" x14ac:dyDescent="0.3">
      <c r="A466">
        <v>6363</v>
      </c>
      <c r="B466">
        <v>1</v>
      </c>
      <c r="C466" t="s">
        <v>1583</v>
      </c>
      <c r="D466" t="s">
        <v>1584</v>
      </c>
      <c r="E466" t="s">
        <v>232</v>
      </c>
      <c r="F466" t="s">
        <v>1585</v>
      </c>
      <c r="G466" s="2">
        <v>45951</v>
      </c>
      <c r="H466">
        <v>74081481</v>
      </c>
      <c r="I466" t="s">
        <v>1586</v>
      </c>
      <c r="J466" t="s">
        <v>1587</v>
      </c>
      <c r="K466" t="s">
        <v>25</v>
      </c>
      <c r="L466">
        <v>2</v>
      </c>
      <c r="M466">
        <v>2</v>
      </c>
      <c r="N466" t="s">
        <v>1588</v>
      </c>
      <c r="O466" t="s">
        <v>886</v>
      </c>
      <c r="P466" t="s">
        <v>85</v>
      </c>
      <c r="Q466" s="4">
        <v>129408</v>
      </c>
      <c r="R466" s="4">
        <v>1300</v>
      </c>
      <c r="S466" s="4">
        <v>2300</v>
      </c>
      <c r="T466" s="4">
        <f>Tabla1[[#This Row],[OS-Valor Unitario]]-Tabla1[[#This Row],[costo_antes_iva]]</f>
        <v>1000</v>
      </c>
      <c r="U466" s="4">
        <f>Tabla1[[#This Row],[OS-Valor Unitario]]*Tabla1[[#This Row],[OS-Cantidad]]</f>
        <v>4600</v>
      </c>
      <c r="V466" s="4">
        <f>Tabla1[[#This Row],[costo_antes_iva]]*Tabla1[[#This Row],[OS-Cantidad]]</f>
        <v>2600</v>
      </c>
      <c r="W466" s="4">
        <f>Tabla1[[#This Row],[Valor total OS]]-Tabla1[[#This Row],[valor total op]]</f>
        <v>2000</v>
      </c>
    </row>
    <row r="467" spans="1:23" x14ac:dyDescent="0.3">
      <c r="A467">
        <v>6363</v>
      </c>
      <c r="B467">
        <v>1</v>
      </c>
      <c r="C467" t="s">
        <v>1583</v>
      </c>
      <c r="D467" t="s">
        <v>1584</v>
      </c>
      <c r="E467" t="s">
        <v>232</v>
      </c>
      <c r="F467" t="s">
        <v>1585</v>
      </c>
      <c r="G467" s="2">
        <v>45951</v>
      </c>
      <c r="H467">
        <v>74081481</v>
      </c>
      <c r="I467" t="s">
        <v>1586</v>
      </c>
      <c r="J467" t="s">
        <v>1587</v>
      </c>
      <c r="K467" t="s">
        <v>60</v>
      </c>
      <c r="L467">
        <v>2</v>
      </c>
      <c r="M467">
        <v>2</v>
      </c>
      <c r="N467" t="s">
        <v>1589</v>
      </c>
      <c r="O467" t="s">
        <v>886</v>
      </c>
      <c r="P467" t="s">
        <v>85</v>
      </c>
      <c r="Q467" s="4">
        <v>129408</v>
      </c>
      <c r="R467" s="4">
        <v>12000</v>
      </c>
      <c r="S467" s="4">
        <v>11500</v>
      </c>
      <c r="T467" s="4">
        <f>Tabla1[[#This Row],[OS-Valor Unitario]]-Tabla1[[#This Row],[costo_antes_iva]]</f>
        <v>-500</v>
      </c>
      <c r="U467" s="4">
        <f>Tabla1[[#This Row],[OS-Valor Unitario]]*Tabla1[[#This Row],[OS-Cantidad]]</f>
        <v>23000</v>
      </c>
      <c r="V467" s="4">
        <f>Tabla1[[#This Row],[costo_antes_iva]]*Tabla1[[#This Row],[OS-Cantidad]]</f>
        <v>24000</v>
      </c>
      <c r="W467" s="4">
        <f>Tabla1[[#This Row],[Valor total OS]]-Tabla1[[#This Row],[valor total op]]</f>
        <v>-1000</v>
      </c>
    </row>
    <row r="468" spans="1:23" x14ac:dyDescent="0.3">
      <c r="A468">
        <v>6363</v>
      </c>
      <c r="B468">
        <v>2</v>
      </c>
      <c r="C468" t="s">
        <v>1590</v>
      </c>
      <c r="D468" t="s">
        <v>1591</v>
      </c>
      <c r="E468" t="s">
        <v>396</v>
      </c>
      <c r="F468" t="s">
        <v>1585</v>
      </c>
      <c r="G468" s="2">
        <v>45951</v>
      </c>
      <c r="H468">
        <v>74081540</v>
      </c>
      <c r="I468" t="s">
        <v>1592</v>
      </c>
      <c r="J468" t="s">
        <v>1587</v>
      </c>
      <c r="K468" t="s">
        <v>25</v>
      </c>
      <c r="L468">
        <v>2</v>
      </c>
      <c r="M468">
        <v>2</v>
      </c>
      <c r="N468" t="s">
        <v>1593</v>
      </c>
      <c r="O468" t="s">
        <v>886</v>
      </c>
      <c r="P468" t="s">
        <v>72</v>
      </c>
      <c r="Q468" s="4">
        <v>133356</v>
      </c>
      <c r="R468" s="4">
        <v>1200</v>
      </c>
      <c r="S468" s="4">
        <v>1100</v>
      </c>
      <c r="T468" s="4">
        <f>Tabla1[[#This Row],[OS-Valor Unitario]]-Tabla1[[#This Row],[costo_antes_iva]]</f>
        <v>-100</v>
      </c>
      <c r="U468" s="4">
        <f>Tabla1[[#This Row],[OS-Valor Unitario]]*Tabla1[[#This Row],[OS-Cantidad]]</f>
        <v>2200</v>
      </c>
      <c r="V468" s="4">
        <f>Tabla1[[#This Row],[costo_antes_iva]]*Tabla1[[#This Row],[OS-Cantidad]]</f>
        <v>2400</v>
      </c>
      <c r="W468" s="4">
        <f>Tabla1[[#This Row],[Valor total OS]]-Tabla1[[#This Row],[valor total op]]</f>
        <v>-200</v>
      </c>
    </row>
    <row r="469" spans="1:23" x14ac:dyDescent="0.3">
      <c r="A469">
        <v>6362</v>
      </c>
      <c r="B469">
        <v>3</v>
      </c>
      <c r="C469" t="s">
        <v>1594</v>
      </c>
      <c r="D469" t="s">
        <v>1595</v>
      </c>
      <c r="E469" t="s">
        <v>79</v>
      </c>
      <c r="F469" t="s">
        <v>1596</v>
      </c>
      <c r="G469" s="2">
        <v>45951</v>
      </c>
      <c r="H469">
        <v>74072922</v>
      </c>
      <c r="I469" t="s">
        <v>1597</v>
      </c>
      <c r="J469" t="s">
        <v>1598</v>
      </c>
      <c r="K469" t="s">
        <v>25</v>
      </c>
      <c r="L469">
        <v>6</v>
      </c>
      <c r="M469">
        <v>6</v>
      </c>
      <c r="N469" t="s">
        <v>1599</v>
      </c>
      <c r="O469" t="s">
        <v>27</v>
      </c>
      <c r="P469" t="s">
        <v>85</v>
      </c>
      <c r="Q469" s="4">
        <v>272886</v>
      </c>
      <c r="R469" s="4">
        <v>4000</v>
      </c>
      <c r="S469" s="4">
        <v>4000</v>
      </c>
      <c r="T469" s="4">
        <f>Tabla1[[#This Row],[OS-Valor Unitario]]-Tabla1[[#This Row],[costo_antes_iva]]</f>
        <v>0</v>
      </c>
      <c r="U469" s="4">
        <f>Tabla1[[#This Row],[OS-Valor Unitario]]*Tabla1[[#This Row],[OS-Cantidad]]</f>
        <v>24000</v>
      </c>
      <c r="V469" s="4">
        <f>Tabla1[[#This Row],[costo_antes_iva]]*Tabla1[[#This Row],[OS-Cantidad]]</f>
        <v>24000</v>
      </c>
      <c r="W469" s="4">
        <f>Tabla1[[#This Row],[Valor total OS]]-Tabla1[[#This Row],[valor total op]]</f>
        <v>0</v>
      </c>
    </row>
    <row r="470" spans="1:23" x14ac:dyDescent="0.3">
      <c r="A470">
        <v>6362</v>
      </c>
      <c r="B470">
        <v>4</v>
      </c>
      <c r="C470" t="s">
        <v>1600</v>
      </c>
      <c r="D470" t="s">
        <v>1601</v>
      </c>
      <c r="E470" t="s">
        <v>79</v>
      </c>
      <c r="F470" t="s">
        <v>1596</v>
      </c>
      <c r="G470" s="2">
        <v>45951</v>
      </c>
      <c r="H470">
        <v>74073065</v>
      </c>
      <c r="I470" t="s">
        <v>1602</v>
      </c>
      <c r="J470" t="s">
        <v>1598</v>
      </c>
      <c r="K470" t="s">
        <v>25</v>
      </c>
      <c r="L470">
        <v>10</v>
      </c>
      <c r="M470">
        <v>10</v>
      </c>
      <c r="N470" t="s">
        <v>1603</v>
      </c>
      <c r="O470" t="s">
        <v>27</v>
      </c>
      <c r="P470" t="s">
        <v>85</v>
      </c>
      <c r="Q470" s="4">
        <v>452390</v>
      </c>
      <c r="R470" s="4">
        <v>4000</v>
      </c>
      <c r="S470" s="4">
        <v>4000</v>
      </c>
      <c r="T470" s="4">
        <f>Tabla1[[#This Row],[OS-Valor Unitario]]-Tabla1[[#This Row],[costo_antes_iva]]</f>
        <v>0</v>
      </c>
      <c r="U470" s="4">
        <f>Tabla1[[#This Row],[OS-Valor Unitario]]*Tabla1[[#This Row],[OS-Cantidad]]</f>
        <v>40000</v>
      </c>
      <c r="V470" s="4">
        <f>Tabla1[[#This Row],[costo_antes_iva]]*Tabla1[[#This Row],[OS-Cantidad]]</f>
        <v>40000</v>
      </c>
      <c r="W470" s="4">
        <f>Tabla1[[#This Row],[Valor total OS]]-Tabla1[[#This Row],[valor total op]]</f>
        <v>0</v>
      </c>
    </row>
    <row r="471" spans="1:23" x14ac:dyDescent="0.3">
      <c r="U471" s="4"/>
      <c r="V471" s="4"/>
      <c r="W471" s="4">
        <f>SUBTOTAL(109,Tabla1[Diferencia])</f>
        <v>-23616583.000000015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2026-04-21T02:01:44Z</dcterms:created>
  <dcterms:modified xsi:type="dcterms:W3CDTF">2026-04-23T18:51:03Z</dcterms:modified>
</cp:coreProperties>
</file>